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 procesar\"/>
    </mc:Choice>
  </mc:AlternateContent>
  <bookViews>
    <workbookView xWindow="0" yWindow="0" windowWidth="15360" windowHeight="1170" tabRatio="949"/>
  </bookViews>
  <sheets>
    <sheet name="Clientes" sheetId="28" r:id="rId1"/>
    <sheet name="arcusin" sheetId="10" r:id="rId2"/>
    <sheet name="Alvarez V." sheetId="1" r:id="rId3"/>
    <sheet name="ALDAZ MARLENE" sheetId="176" r:id="rId4"/>
    <sheet name="Alfaro" sheetId="70" r:id="rId5"/>
    <sheet name="Aizaga Florencia" sheetId="160" r:id="rId6"/>
    <sheet name="azcurrain yani" sheetId="91" r:id="rId7"/>
    <sheet name="Azcurrain Cesar" sheetId="117" r:id="rId8"/>
    <sheet name="ARANDA PEDRO" sheetId="192" r:id="rId9"/>
    <sheet name="ADELA BARRETO" sheetId="134" r:id="rId10"/>
    <sheet name="Azcurrain Mariano" sheetId="140" r:id="rId11"/>
    <sheet name="Azcurrain" sheetId="71" r:id="rId12"/>
    <sheet name="Batista" sheetId="92" r:id="rId13"/>
    <sheet name="Barreto Claudio" sheetId="3" r:id="rId14"/>
    <sheet name="BERRUEZO " sheetId="243" r:id="rId15"/>
    <sheet name="Bellingueri Elbio" sheetId="4" r:id="rId16"/>
    <sheet name="pitura cristina" sheetId="154" r:id="rId17"/>
    <sheet name="BECKER oscar" sheetId="137" r:id="rId18"/>
    <sheet name="Bentos Karen" sheetId="237" r:id="rId19"/>
    <sheet name="BENITEZ PABLO" sheetId="116" r:id="rId20"/>
    <sheet name="Boujon Tomas" sheetId="5" r:id="rId21"/>
    <sheet name="Hoja2" sheetId="213" state="hidden" r:id="rId22"/>
    <sheet name="Boujon D" sheetId="69" r:id="rId23"/>
    <sheet name="Cabrera Marcela" sheetId="214" r:id="rId24"/>
    <sheet name="chamillard" sheetId="84" r:id="rId25"/>
    <sheet name="Casares" sheetId="185" r:id="rId26"/>
    <sheet name="Canela" sheetId="6" r:id="rId27"/>
    <sheet name="cardozo roberto" sheetId="149" r:id="rId28"/>
    <sheet name="Cettour Silvia" sheetId="175" r:id="rId29"/>
    <sheet name="CARDOZO NATY" sheetId="204" r:id="rId30"/>
    <sheet name="Caballero Hector" sheetId="236" r:id="rId31"/>
    <sheet name="Cettour J." sheetId="66" r:id="rId32"/>
    <sheet name="CARDOZO CARLOS" sheetId="109" r:id="rId33"/>
    <sheet name="Cicerone" sheetId="90" r:id="rId34"/>
    <sheet name="CHULE--VILLA" sheetId="191" r:id="rId35"/>
    <sheet name="CICOGNINI" sheetId="148" r:id="rId36"/>
    <sheet name="Corra" sheetId="136" r:id="rId37"/>
    <sheet name="Coronel" sheetId="115" r:id="rId38"/>
    <sheet name="Corales Alberto" sheetId="65" r:id="rId39"/>
    <sheet name="CRUZ LUCAS" sheetId="178" r:id="rId40"/>
    <sheet name="Cruz Diego" sheetId="208" r:id="rId41"/>
    <sheet name="Cruz" sheetId="68" r:id="rId42"/>
    <sheet name="DEBATSITA JANET" sheetId="64" r:id="rId43"/>
    <sheet name="DELFINO" sheetId="216" r:id="rId44"/>
    <sheet name="DE GRACIA" sheetId="74" r:id="rId45"/>
    <sheet name="DIAZ MARISA" sheetId="177" r:id="rId46"/>
    <sheet name="Dorn H" sheetId="63" r:id="rId47"/>
    <sheet name="DORN OMAR" sheetId="151" r:id="rId48"/>
    <sheet name="Dus R." sheetId="62" r:id="rId49"/>
    <sheet name="ERBES SILVIO" sheetId="218" r:id="rId50"/>
    <sheet name="Ekert Aixa" sheetId="190" r:id="rId51"/>
    <sheet name="Hoja1" sheetId="210" state="hidden" r:id="rId52"/>
    <sheet name="Evequoz" sheetId="7" r:id="rId53"/>
    <sheet name="FAEL AMILCAR" sheetId="211" r:id="rId54"/>
    <sheet name="FLORES GRACIELA" sheetId="67" r:id="rId55"/>
    <sheet name="Flores Gisela" sheetId="197" r:id="rId56"/>
    <sheet name="FLEITA" sheetId="189" r:id="rId57"/>
    <sheet name="FORNERON" sheetId="215" r:id="rId58"/>
    <sheet name="Fredes Yemina" sheetId="181" r:id="rId59"/>
    <sheet name="fredes omar" sheetId="141" r:id="rId60"/>
    <sheet name="Fredes Francisco" sheetId="241" r:id="rId61"/>
    <sheet name="fredes Lelia" sheetId="165" r:id="rId62"/>
    <sheet name="FRIES" sheetId="94" r:id="rId63"/>
    <sheet name="Ferreyra" sheetId="8" r:id="rId64"/>
    <sheet name="Garcia" sheetId="61" r:id="rId65"/>
    <sheet name="Garrigue" sheetId="9" r:id="rId66"/>
    <sheet name="GEROSA" sheetId="169" r:id="rId67"/>
    <sheet name="Gerber Dante" sheetId="76" r:id="rId68"/>
    <sheet name="Gerber" sheetId="11" r:id="rId69"/>
    <sheet name="GOMEZ Matias" sheetId="113" r:id="rId70"/>
    <sheet name="Gonzalez A" sheetId="59" r:id="rId71"/>
    <sheet name="Grane Franco" sheetId="142" r:id="rId72"/>
    <sheet name="Yani gorelik" sheetId="145" r:id="rId73"/>
    <sheet name="Gorelik Enique" sheetId="167" r:id="rId74"/>
    <sheet name="Gonzalez Vivi" sheetId="27" r:id="rId75"/>
    <sheet name="HEER" sheetId="132" r:id="rId76"/>
    <sheet name="HAAS jose " sheetId="58" r:id="rId77"/>
    <sheet name="Hecker Laura y Rodriguez" sheetId="206" r:id="rId78"/>
    <sheet name="Hecker Sofi" sheetId="133" r:id="rId79"/>
    <sheet name="Hoja3" sheetId="225" state="hidden" r:id="rId80"/>
    <sheet name="Hecker M." sheetId="12" r:id="rId81"/>
    <sheet name="HEIDEL CRISTHIAN" sheetId="226" r:id="rId82"/>
    <sheet name="Hernandez Alba" sheetId="13" r:id="rId83"/>
    <sheet name="HERMAN PATRY" sheetId="198" r:id="rId84"/>
    <sheet name="Herman S." sheetId="56" r:id="rId85"/>
    <sheet name="Herman Agust" sheetId="230" r:id="rId86"/>
    <sheet name="Herman Ezequiel" sheetId="55" r:id="rId87"/>
    <sheet name="Heyde Milton" sheetId="77" r:id="rId88"/>
    <sheet name="HILDT FERNANDO" sheetId="194" r:id="rId89"/>
    <sheet name="Heyde Mario" sheetId="73" r:id="rId90"/>
    <sheet name="Hornus I." sheetId="54" r:id="rId91"/>
    <sheet name="Hornus Juan Federico" sheetId="139" r:id="rId92"/>
    <sheet name="Hornus Ivan" sheetId="233" r:id="rId93"/>
    <sheet name="Hornus Javier R" sheetId="108" r:id="rId94"/>
    <sheet name="Hornus Pedro" sheetId="118" r:id="rId95"/>
    <sheet name="Hornus Jose" sheetId="53" r:id="rId96"/>
    <sheet name="Hornus Marcelo." sheetId="52" r:id="rId97"/>
    <sheet name="HUCK EDUARDO" sheetId="203" r:id="rId98"/>
    <sheet name="Huck Ruben" sheetId="79" r:id="rId99"/>
    <sheet name="Huck Natan" sheetId="78" r:id="rId100"/>
    <sheet name="Huck O.J." sheetId="57" r:id="rId101"/>
    <sheet name="HUCK Javier" sheetId="240" r:id="rId102"/>
    <sheet name="huck luciano y javier" sheetId="60" r:id="rId103"/>
    <sheet name="Huck Adrian" sheetId="224" r:id="rId104"/>
    <sheet name="Jacob joselo " sheetId="153" r:id="rId105"/>
    <sheet name="JAUCK CESAR" sheetId="123" r:id="rId106"/>
    <sheet name="Kinderk Mariela" sheetId="221" r:id="rId107"/>
    <sheet name="Kinderknech" sheetId="50" r:id="rId108"/>
    <sheet name="KLOSTER" sheetId="187" r:id="rId109"/>
    <sheet name="ISELLI" sheetId="51" r:id="rId110"/>
    <sheet name="LAPUCHESKY WALTER" sheetId="107" r:id="rId111"/>
    <sheet name="ledesma Griselda" sheetId="183" r:id="rId112"/>
    <sheet name="Ledesma Florencia" sheetId="205" r:id="rId113"/>
    <sheet name="Ledesma Norma" sheetId="182" r:id="rId114"/>
    <sheet name="LEDESMA BAUSINGER" sheetId="146" r:id="rId115"/>
    <sheet name="LENSISA" sheetId="164" r:id="rId116"/>
    <sheet name="LOZANO DARIO" sheetId="242" r:id="rId117"/>
    <sheet name="LOZANO PABLO" sheetId="209" r:id="rId118"/>
    <sheet name="Lenciza Daiana" sheetId="207" r:id="rId119"/>
    <sheet name="LEVITZKY ELIANA" sheetId="227" r:id="rId120"/>
    <sheet name="Lonardi Elias" sheetId="228" r:id="rId121"/>
    <sheet name="HORMIGA" sheetId="150" r:id="rId122"/>
    <sheet name="Nuñez Pichi" sheetId="127" r:id="rId123"/>
    <sheet name="Nuñez E." sheetId="47" r:id="rId124"/>
    <sheet name="Naibert Yani" sheetId="85" r:id="rId125"/>
    <sheet name="Marchand" sheetId="102" r:id="rId126"/>
    <sheet name="MARCHESE" sheetId="170" r:id="rId127"/>
    <sheet name="MANTEGAZZA ILE" sheetId="86" r:id="rId128"/>
    <sheet name="Mantegazza dani" sheetId="126" r:id="rId129"/>
    <sheet name="Michel Hnos" sheetId="219" r:id="rId130"/>
    <sheet name="MICHEL DELIA" sheetId="125" r:id="rId131"/>
    <sheet name="MEDINA ANGEL" sheetId="195" r:id="rId132"/>
    <sheet name="Melita Hector" sheetId="83" r:id="rId133"/>
    <sheet name="Magno S.A." sheetId="48" r:id="rId134"/>
    <sheet name="Moreno" sheetId="14" r:id="rId135"/>
    <sheet name="MUÑIZ MARIO" sheetId="166" r:id="rId136"/>
    <sheet name="Muñiz Julian" sheetId="49" r:id="rId137"/>
    <sheet name="Obispo Saul" sheetId="114" r:id="rId138"/>
    <sheet name="Obispo A" sheetId="46" r:id="rId139"/>
    <sheet name="Orcajo Pichay" sheetId="180" r:id="rId140"/>
    <sheet name="Obispo Lucas" sheetId="143" r:id="rId141"/>
    <sheet name="OBHOLZ" sheetId="45" r:id="rId142"/>
    <sheet name="Ovalle Diego" sheetId="239" r:id="rId143"/>
    <sheet name="Parodi Ezequiel" sheetId="220" r:id="rId144"/>
    <sheet name="Parodi Hnos" sheetId="128" r:id="rId145"/>
    <sheet name="parodi luis" sheetId="119" r:id="rId146"/>
    <sheet name="Peiretti" sheetId="124" r:id="rId147"/>
    <sheet name="PEREZ ALEJANDRO" sheetId="193" r:id="rId148"/>
    <sheet name="Perez Fabian" sheetId="82" r:id="rId149"/>
    <sheet name="Pena P." sheetId="15" r:id="rId150"/>
    <sheet name="Perrochaud Alfredo" sheetId="179" r:id="rId151"/>
    <sheet name="Pena Carlos" sheetId="103" r:id="rId152"/>
    <sheet name="Pitura Raul y Milton" sheetId="196" r:id="rId153"/>
    <sheet name="pitura Gretel" sheetId="156" r:id="rId154"/>
    <sheet name="Pitura Juan" sheetId="188" r:id="rId155"/>
    <sheet name="pitman berta" sheetId="173" r:id="rId156"/>
    <sheet name="Pitura Miguel" sheetId="42" r:id="rId157"/>
    <sheet name="Pioli Pasion" sheetId="200" r:id="rId158"/>
    <sheet name="Pioli Lisandro" sheetId="43" r:id="rId159"/>
    <sheet name="PIRIZ GUSTAVO" sheetId="131" r:id="rId160"/>
    <sheet name="Pioli Hugo." sheetId="17" r:id="rId161"/>
    <sheet name="Portillo J" sheetId="41" r:id="rId162"/>
    <sheet name="PONCE Uriel" sheetId="168" r:id="rId163"/>
    <sheet name="PREISZ Sergio" sheetId="44" r:id="rId164"/>
    <sheet name="Ramounat" sheetId="104" r:id="rId165"/>
    <sheet name="Ramos Maria Virg" sheetId="202" r:id="rId166"/>
    <sheet name="Raffo Charli" sheetId="138" r:id="rId167"/>
    <sheet name="repettur" sheetId="217" r:id="rId168"/>
    <sheet name="Reichel Silvia" sheetId="130" r:id="rId169"/>
    <sheet name="Ramirez Jorge" sheetId="120" r:id="rId170"/>
    <sheet name="Riedel W." sheetId="39" r:id="rId171"/>
    <sheet name="Rielo" sheetId="16" r:id="rId172"/>
    <sheet name="Romero Eli" sheetId="184" r:id="rId173"/>
    <sheet name="Rodriguez A." sheetId="18" r:id="rId174"/>
    <sheet name="Rossi Matias" sheetId="229" r:id="rId175"/>
    <sheet name="Rossi Oscar" sheetId="163" r:id="rId176"/>
    <sheet name="Rozich" sheetId="40" r:id="rId177"/>
    <sheet name="tomasini" sheetId="31" r:id="rId178"/>
    <sheet name="Terlecky" sheetId="88" r:id="rId179"/>
    <sheet name="Tomassi E." sheetId="30" r:id="rId180"/>
    <sheet name="TOLEDO" sheetId="158" r:id="rId181"/>
    <sheet name="Saint paul gaston" sheetId="122" r:id="rId182"/>
    <sheet name="Sack ELIANA" sheetId="129" r:id="rId183"/>
    <sheet name="Sack Osvaldo" sheetId="89" r:id="rId184"/>
    <sheet name="Salvareza Carlos" sheetId="238" r:id="rId185"/>
    <sheet name="Salvatori" sheetId="87" r:id="rId186"/>
    <sheet name="Savornin Ofelia" sheetId="20" r:id="rId187"/>
    <sheet name="Savornin Josefina" sheetId="72" r:id="rId188"/>
    <sheet name="scolamieri peccin" sheetId="35" r:id="rId189"/>
    <sheet name="SCHAFF NELSON" sheetId="100" r:id="rId190"/>
    <sheet name="Scharton Hugo" sheetId="98" r:id="rId191"/>
    <sheet name="Scharton Enrique" sheetId="97" r:id="rId192"/>
    <sheet name="Scharton O." sheetId="33" r:id="rId193"/>
    <sheet name="Schaton Leti" sheetId="75" r:id="rId194"/>
    <sheet name="Scharton R." sheetId="32" r:id="rId195"/>
    <sheet name="SCHLEGEL Pablo" sheetId="21" r:id="rId196"/>
    <sheet name="SCHLEIN DANIEL" sheetId="159" r:id="rId197"/>
    <sheet name="SCHILD OMAR" sheetId="222" r:id="rId198"/>
    <sheet name="SCHILD Silvio" sheetId="223" r:id="rId199"/>
    <sheet name="Schild E." sheetId="38" r:id="rId200"/>
    <sheet name="Schwarz Hnos " sheetId="36" r:id="rId201"/>
    <sheet name="Schwarz Ricardo" sheetId="95" r:id="rId202"/>
    <sheet name="ARIEL SCWARZ" sheetId="106" r:id="rId203"/>
    <sheet name="Schwab Victor" sheetId="80" r:id="rId204"/>
    <sheet name="Schwarzt Judit" sheetId="81" r:id="rId205"/>
    <sheet name="silva franco" sheetId="201" r:id="rId206"/>
    <sheet name="Silva Maria" sheetId="162" r:id="rId207"/>
    <sheet name="SOLANO JOSE" sheetId="199" r:id="rId208"/>
    <sheet name="SCHNAIMULLER MARIA" sheetId="121" r:id="rId209"/>
    <sheet name="vela Amadeo" sheetId="155" r:id="rId210"/>
    <sheet name="Vera Laura" sheetId="144" r:id="rId211"/>
    <sheet name="Van Bredan Heber" sheetId="212" r:id="rId212"/>
    <sheet name="vanlanker alejandra" sheetId="172" r:id="rId213"/>
    <sheet name="VELAZQUEZ ELSA" sheetId="152" r:id="rId214"/>
    <sheet name="Villarreal Laura" sheetId="25" r:id="rId215"/>
    <sheet name="QUIQUE" sheetId="147" r:id="rId216"/>
    <sheet name="VIÑEG" sheetId="174" r:id="rId217"/>
    <sheet name="Vannier y Cordoba" sheetId="19" r:id="rId218"/>
    <sheet name="Guillo" sheetId="23" r:id="rId219"/>
    <sheet name="Slootmans" sheetId="37" r:id="rId220"/>
    <sheet name="Soifer M" sheetId="24" r:id="rId221"/>
    <sheet name="soirifman" sheetId="93" r:id="rId222"/>
    <sheet name="SOIFER JOSE" sheetId="34" r:id="rId223"/>
    <sheet name="Strauch" sheetId="22" r:id="rId224"/>
    <sheet name="wagner adrian" sheetId="161" r:id="rId225"/>
    <sheet name="WILHEM" sheetId="171" r:id="rId226"/>
    <sheet name="Wagner N." sheetId="29" r:id="rId227"/>
    <sheet name="Yaquemes" sheetId="186" r:id="rId228"/>
    <sheet name="Zitter" sheetId="135" r:id="rId229"/>
    <sheet name="Zitterkop" sheetId="105" r:id="rId230"/>
    <sheet name="Ziegler" sheetId="26" r:id="rId231"/>
    <sheet name="HONORARIOS" sheetId="111" r:id="rId232"/>
  </sheets>
  <calcPr calcId="152511"/>
</workbook>
</file>

<file path=xl/calcChain.xml><?xml version="1.0" encoding="utf-8"?>
<calcChain xmlns="http://schemas.openxmlformats.org/spreadsheetml/2006/main">
  <c r="H11" i="151" l="1"/>
  <c r="F33" i="170"/>
  <c r="G36" i="54"/>
  <c r="F32" i="120"/>
  <c r="B15" i="243"/>
  <c r="B17" i="243" s="1"/>
  <c r="C5" i="243" s="1"/>
  <c r="C15" i="243" s="1"/>
  <c r="C17" i="243" s="1"/>
  <c r="D5" i="243" s="1"/>
  <c r="D15" i="243" s="1"/>
  <c r="D17" i="243" s="1"/>
  <c r="E5" i="243" s="1"/>
  <c r="E15" i="243" s="1"/>
  <c r="E17" i="243" s="1"/>
  <c r="F5" i="243" s="1"/>
  <c r="F15" i="243" s="1"/>
  <c r="F17" i="243" s="1"/>
  <c r="G5" i="243" s="1"/>
  <c r="G15" i="243" s="1"/>
  <c r="G17" i="243" s="1"/>
  <c r="H5" i="243" s="1"/>
  <c r="H15" i="243" s="1"/>
  <c r="H17" i="243" s="1"/>
  <c r="I5" i="243" s="1"/>
  <c r="I15" i="243" s="1"/>
  <c r="I17" i="243" s="1"/>
  <c r="J5" i="243" s="1"/>
  <c r="J15" i="243" s="1"/>
  <c r="J17" i="243" s="1"/>
  <c r="K5" i="243" s="1"/>
  <c r="K15" i="243" s="1"/>
  <c r="K17" i="243" s="1"/>
  <c r="L5" i="243" s="1"/>
  <c r="L15" i="243" s="1"/>
  <c r="L17" i="243" s="1"/>
  <c r="M5" i="243" s="1"/>
  <c r="M15" i="243" s="1"/>
  <c r="M17" i="243" s="1"/>
  <c r="F38" i="76"/>
  <c r="F34" i="76"/>
  <c r="F31" i="199"/>
  <c r="G11" i="151"/>
  <c r="F11" i="56"/>
  <c r="F29" i="58"/>
  <c r="G19" i="151"/>
  <c r="E31" i="90"/>
  <c r="G10" i="118"/>
  <c r="G12" i="151"/>
  <c r="F30" i="140"/>
  <c r="M17" i="84"/>
  <c r="E34" i="76"/>
  <c r="D34" i="76"/>
  <c r="E38" i="76"/>
  <c r="F11" i="151"/>
  <c r="F15" i="151"/>
  <c r="E11" i="56"/>
  <c r="E11" i="8"/>
  <c r="E30" i="204"/>
  <c r="E30" i="140"/>
  <c r="L15" i="237"/>
  <c r="M19" i="41"/>
  <c r="D38" i="76"/>
  <c r="E11" i="151"/>
  <c r="B14" i="242"/>
  <c r="B16" i="242" s="1"/>
  <c r="C5" i="242" s="1"/>
  <c r="C14" i="242" s="1"/>
  <c r="C16" i="242" s="1"/>
  <c r="D5" i="242" s="1"/>
  <c r="D14" i="242" s="1"/>
  <c r="D16" i="242" s="1"/>
  <c r="E5" i="242" s="1"/>
  <c r="E14" i="242" s="1"/>
  <c r="E16" i="242" s="1"/>
  <c r="F5" i="242" s="1"/>
  <c r="F14" i="242" s="1"/>
  <c r="F16" i="242" s="1"/>
  <c r="G5" i="242" s="1"/>
  <c r="G14" i="242" s="1"/>
  <c r="G16" i="242" s="1"/>
  <c r="H5" i="242" s="1"/>
  <c r="H14" i="242" s="1"/>
  <c r="H16" i="242" s="1"/>
  <c r="I5" i="242" s="1"/>
  <c r="I14" i="242" s="1"/>
  <c r="I16" i="242" s="1"/>
  <c r="J5" i="242" s="1"/>
  <c r="J14" i="242" s="1"/>
  <c r="J16" i="242" s="1"/>
  <c r="K5" i="242" s="1"/>
  <c r="K14" i="242" s="1"/>
  <c r="K16" i="242" s="1"/>
  <c r="L5" i="242" s="1"/>
  <c r="L14" i="242" s="1"/>
  <c r="L16" i="242" s="1"/>
  <c r="M5" i="242" s="1"/>
  <c r="M14" i="242" s="1"/>
  <c r="M16" i="242" s="1"/>
  <c r="E19" i="151"/>
  <c r="C38" i="76"/>
  <c r="D30" i="140"/>
  <c r="C33" i="164"/>
  <c r="C29" i="197"/>
  <c r="C32" i="187"/>
  <c r="C34" i="43"/>
  <c r="B32" i="146"/>
  <c r="C11" i="151"/>
  <c r="C21" i="82"/>
  <c r="C26" i="87"/>
  <c r="C30" i="140"/>
  <c r="M16" i="188"/>
  <c r="B13" i="241"/>
  <c r="B15" i="241" s="1"/>
  <c r="C4" i="241" s="1"/>
  <c r="C13" i="241" s="1"/>
  <c r="C15" i="241" s="1"/>
  <c r="D4" i="241" s="1"/>
  <c r="D13" i="241" s="1"/>
  <c r="D15" i="241" s="1"/>
  <c r="E4" i="241" s="1"/>
  <c r="E13" i="241" s="1"/>
  <c r="E15" i="241" s="1"/>
  <c r="F4" i="241" s="1"/>
  <c r="F13" i="241" s="1"/>
  <c r="F15" i="241" s="1"/>
  <c r="G4" i="241" s="1"/>
  <c r="G13" i="241" s="1"/>
  <c r="G15" i="241" s="1"/>
  <c r="H4" i="241" s="1"/>
  <c r="H13" i="241" s="1"/>
  <c r="H15" i="241" s="1"/>
  <c r="I4" i="241" s="1"/>
  <c r="I13" i="241" s="1"/>
  <c r="I15" i="241" s="1"/>
  <c r="J4" i="241" s="1"/>
  <c r="J13" i="241" s="1"/>
  <c r="J15" i="241" s="1"/>
  <c r="K4" i="241" s="1"/>
  <c r="K13" i="241" s="1"/>
  <c r="K15" i="241" s="1"/>
  <c r="L4" i="241" s="1"/>
  <c r="L13" i="241" s="1"/>
  <c r="L15" i="241" s="1"/>
  <c r="M4" i="241" s="1"/>
  <c r="M13" i="241" s="1"/>
  <c r="M15" i="241" s="1"/>
  <c r="B29" i="236"/>
  <c r="B31" i="236" s="1"/>
  <c r="C20" i="236" s="1"/>
  <c r="C29" i="236" s="1"/>
  <c r="C31" i="236" s="1"/>
  <c r="D20" i="236" s="1"/>
  <c r="D29" i="236" s="1"/>
  <c r="D31" i="236" s="1"/>
  <c r="E20" i="236" s="1"/>
  <c r="E29" i="236" s="1"/>
  <c r="E31" i="236" s="1"/>
  <c r="F20" i="236" s="1"/>
  <c r="F29" i="236" s="1"/>
  <c r="F31" i="236" s="1"/>
  <c r="G20" i="236" s="1"/>
  <c r="G29" i="236" s="1"/>
  <c r="G31" i="236" s="1"/>
  <c r="H20" i="236" s="1"/>
  <c r="H29" i="236" s="1"/>
  <c r="H31" i="236" s="1"/>
  <c r="I20" i="236" s="1"/>
  <c r="I29" i="236" s="1"/>
  <c r="I31" i="236" s="1"/>
  <c r="J20" i="236" s="1"/>
  <c r="J29" i="236" s="1"/>
  <c r="J31" i="236" s="1"/>
  <c r="K20" i="236" s="1"/>
  <c r="K29" i="236" s="1"/>
  <c r="K31" i="236" s="1"/>
  <c r="L20" i="236" s="1"/>
  <c r="L29" i="236" s="1"/>
  <c r="L31" i="236" s="1"/>
  <c r="M20" i="236" s="1"/>
  <c r="M29" i="236" s="1"/>
  <c r="M31" i="236" s="1"/>
  <c r="B11" i="151"/>
  <c r="B18" i="151" s="1"/>
  <c r="B20" i="151" s="1"/>
  <c r="C9" i="151" s="1"/>
  <c r="C18" i="151" s="1"/>
  <c r="C20" i="151" s="1"/>
  <c r="D9" i="151" s="1"/>
  <c r="D18" i="151" s="1"/>
  <c r="D20" i="151" s="1"/>
  <c r="E9" i="151" s="1"/>
  <c r="E18" i="151" s="1"/>
  <c r="E20" i="151" s="1"/>
  <c r="F9" i="151" s="1"/>
  <c r="F18" i="151" s="1"/>
  <c r="F20" i="151" s="1"/>
  <c r="G9" i="151" s="1"/>
  <c r="G18" i="151" s="1"/>
  <c r="G20" i="151" s="1"/>
  <c r="H9" i="151" s="1"/>
  <c r="H18" i="151" s="1"/>
  <c r="H20" i="151" s="1"/>
  <c r="I9" i="151" s="1"/>
  <c r="I18" i="151" s="1"/>
  <c r="I20" i="151" s="1"/>
  <c r="J9" i="151" s="1"/>
  <c r="J18" i="151" s="1"/>
  <c r="J20" i="151" s="1"/>
  <c r="K9" i="151" s="1"/>
  <c r="K18" i="151" s="1"/>
  <c r="K20" i="151" s="1"/>
  <c r="L9" i="151" s="1"/>
  <c r="L18" i="151" s="1"/>
  <c r="L20" i="151" s="1"/>
  <c r="M9" i="151" s="1"/>
  <c r="M18" i="151" s="1"/>
  <c r="M20" i="151" s="1"/>
  <c r="N9" i="151" s="1"/>
  <c r="N18" i="151" s="1"/>
  <c r="N20" i="151" s="1"/>
  <c r="B38" i="76"/>
  <c r="B29" i="238"/>
  <c r="B31" i="238" s="1"/>
  <c r="C20" i="238" s="1"/>
  <c r="C29" i="238" s="1"/>
  <c r="C31" i="238" s="1"/>
  <c r="D20" i="238" s="1"/>
  <c r="D29" i="238" s="1"/>
  <c r="D31" i="238" s="1"/>
  <c r="E20" i="238" s="1"/>
  <c r="E29" i="238" s="1"/>
  <c r="E31" i="238" s="1"/>
  <c r="F20" i="238" s="1"/>
  <c r="F29" i="238" s="1"/>
  <c r="F31" i="238" s="1"/>
  <c r="G20" i="238" s="1"/>
  <c r="G29" i="238" s="1"/>
  <c r="G31" i="238" s="1"/>
  <c r="H20" i="238" s="1"/>
  <c r="H29" i="238" s="1"/>
  <c r="H31" i="238" s="1"/>
  <c r="I20" i="238" s="1"/>
  <c r="I29" i="238" s="1"/>
  <c r="I31" i="238" s="1"/>
  <c r="J20" i="238" s="1"/>
  <c r="J29" i="238" s="1"/>
  <c r="J31" i="238" s="1"/>
  <c r="K20" i="238" s="1"/>
  <c r="K29" i="238" s="1"/>
  <c r="K31" i="238" s="1"/>
  <c r="L20" i="238" s="1"/>
  <c r="L29" i="238" s="1"/>
  <c r="L31" i="238" s="1"/>
  <c r="M20" i="238" s="1"/>
  <c r="M29" i="238" s="1"/>
  <c r="M31" i="238" s="1"/>
  <c r="B28" i="229"/>
  <c r="B30" i="229"/>
  <c r="C19" i="229" s="1"/>
  <c r="C28" i="229" s="1"/>
  <c r="C30" i="229" s="1"/>
  <c r="D19" i="229"/>
  <c r="D28" i="229" s="1"/>
  <c r="D30" i="229" s="1"/>
  <c r="E19" i="229" s="1"/>
  <c r="E28" i="229" s="1"/>
  <c r="E30" i="229" s="1"/>
  <c r="F19" i="229" s="1"/>
  <c r="F28" i="229" s="1"/>
  <c r="F30" i="229" s="1"/>
  <c r="G19" i="229" s="1"/>
  <c r="G28" i="229" s="1"/>
  <c r="G30" i="229" s="1"/>
  <c r="H19" i="229" s="1"/>
  <c r="H28" i="229" s="1"/>
  <c r="H30" i="229" s="1"/>
  <c r="I19" i="229" s="1"/>
  <c r="I28" i="229" s="1"/>
  <c r="I30" i="229" s="1"/>
  <c r="J19" i="229" s="1"/>
  <c r="J28" i="229" s="1"/>
  <c r="J30" i="229" s="1"/>
  <c r="B32" i="170"/>
  <c r="B34" i="170" s="1"/>
  <c r="C23" i="170" s="1"/>
  <c r="C32" i="170" s="1"/>
  <c r="C34" i="170" s="1"/>
  <c r="D23" i="170" s="1"/>
  <c r="D32" i="170" s="1"/>
  <c r="D34" i="170" s="1"/>
  <c r="E23" i="170" s="1"/>
  <c r="E32" i="170" s="1"/>
  <c r="E34" i="170" s="1"/>
  <c r="F23" i="170" s="1"/>
  <c r="F32" i="170" s="1"/>
  <c r="F34" i="170" s="1"/>
  <c r="G23" i="170" s="1"/>
  <c r="G32" i="170" s="1"/>
  <c r="G34" i="170" s="1"/>
  <c r="H23" i="170" s="1"/>
  <c r="H32" i="170" s="1"/>
  <c r="H34" i="170" s="1"/>
  <c r="I23" i="170" s="1"/>
  <c r="I32" i="170" s="1"/>
  <c r="I34" i="170" s="1"/>
  <c r="J23" i="170" s="1"/>
  <c r="J32" i="170" s="1"/>
  <c r="J34" i="170" s="1"/>
  <c r="K23" i="170" s="1"/>
  <c r="K32" i="170" s="1"/>
  <c r="K34" i="170" s="1"/>
  <c r="L23" i="170" s="1"/>
  <c r="L32" i="170" s="1"/>
  <c r="L34" i="170" s="1"/>
  <c r="M23" i="170" s="1"/>
  <c r="M32" i="170" s="1"/>
  <c r="M34" i="170" s="1"/>
  <c r="B29" i="224"/>
  <c r="B31" i="224" s="1"/>
  <c r="C20" i="224" s="1"/>
  <c r="C29" i="224" s="1"/>
  <c r="C31" i="224" s="1"/>
  <c r="D20" i="224" s="1"/>
  <c r="D29" i="224" s="1"/>
  <c r="D31" i="224" s="1"/>
  <c r="E20" i="224" s="1"/>
  <c r="E29" i="224" s="1"/>
  <c r="E31" i="224" s="1"/>
  <c r="F20" i="224" s="1"/>
  <c r="F29" i="224" s="1"/>
  <c r="F31" i="224" s="1"/>
  <c r="G20" i="224" s="1"/>
  <c r="G29" i="224" s="1"/>
  <c r="G31" i="224" s="1"/>
  <c r="H20" i="224" s="1"/>
  <c r="H29" i="224" s="1"/>
  <c r="H31" i="224" s="1"/>
  <c r="I20" i="224" s="1"/>
  <c r="I29" i="224" s="1"/>
  <c r="I31" i="224" s="1"/>
  <c r="J20" i="224" s="1"/>
  <c r="J29" i="224" s="1"/>
  <c r="J31" i="224" s="1"/>
  <c r="K20" i="224" s="1"/>
  <c r="K29" i="224" s="1"/>
  <c r="K31" i="224" s="1"/>
  <c r="L20" i="224" s="1"/>
  <c r="L29" i="224" s="1"/>
  <c r="L31" i="224" s="1"/>
  <c r="M20" i="224" s="1"/>
  <c r="M29" i="224" s="1"/>
  <c r="M31" i="224" s="1"/>
  <c r="C13" i="240"/>
  <c r="C15" i="240"/>
  <c r="D4" i="240" s="1"/>
  <c r="D13" i="240" s="1"/>
  <c r="D15" i="240" s="1"/>
  <c r="E4" i="240" s="1"/>
  <c r="E13" i="240" s="1"/>
  <c r="E15" i="240" s="1"/>
  <c r="F4" i="240" s="1"/>
  <c r="F13" i="240" s="1"/>
  <c r="F15" i="240" s="1"/>
  <c r="G4" i="240" s="1"/>
  <c r="G13" i="240" s="1"/>
  <c r="G15" i="240" s="1"/>
  <c r="H4" i="240" s="1"/>
  <c r="H13" i="240" s="1"/>
  <c r="H15" i="240" s="1"/>
  <c r="I4" i="240" s="1"/>
  <c r="I13" i="240" s="1"/>
  <c r="I15" i="240" s="1"/>
  <c r="J4" i="240" s="1"/>
  <c r="J13" i="240" s="1"/>
  <c r="J15" i="240" s="1"/>
  <c r="K4" i="240" s="1"/>
  <c r="K13" i="240" s="1"/>
  <c r="K15" i="240" s="1"/>
  <c r="L4" i="240" s="1"/>
  <c r="L13" i="240" s="1"/>
  <c r="L15" i="240" s="1"/>
  <c r="M4" i="240" s="1"/>
  <c r="M13" i="240" s="1"/>
  <c r="M15" i="240" s="1"/>
  <c r="N4" i="240" s="1"/>
  <c r="N13" i="240" s="1"/>
  <c r="N15" i="240" s="1"/>
  <c r="B15" i="13"/>
  <c r="B30" i="233"/>
  <c r="B30" i="227"/>
  <c r="B32" i="227"/>
  <c r="C21" i="227" s="1"/>
  <c r="C30" i="227" s="1"/>
  <c r="C32" i="227" s="1"/>
  <c r="D21" i="227" s="1"/>
  <c r="D30" i="227" s="1"/>
  <c r="D32" i="227" s="1"/>
  <c r="E21" i="227" s="1"/>
  <c r="E30" i="227" s="1"/>
  <c r="E32" i="227" s="1"/>
  <c r="F21" i="227" s="1"/>
  <c r="F30" i="227" s="1"/>
  <c r="F32" i="227" s="1"/>
  <c r="G21" i="227" s="1"/>
  <c r="G30" i="227" s="1"/>
  <c r="G32" i="227" s="1"/>
  <c r="H21" i="227" s="1"/>
  <c r="H30" i="227" s="1"/>
  <c r="H32" i="227" s="1"/>
  <c r="I21" i="227" s="1"/>
  <c r="I30" i="227" s="1"/>
  <c r="I32" i="227" s="1"/>
  <c r="J21" i="227" s="1"/>
  <c r="J30" i="227" s="1"/>
  <c r="J32" i="227" s="1"/>
  <c r="K21" i="227" s="1"/>
  <c r="K30" i="227" s="1"/>
  <c r="K32" i="227" s="1"/>
  <c r="L21" i="227" s="1"/>
  <c r="L30" i="227" s="1"/>
  <c r="L32" i="227" s="1"/>
  <c r="M21" i="227" s="1"/>
  <c r="M30" i="227" s="1"/>
  <c r="M32" i="227" s="1"/>
  <c r="B27" i="190"/>
  <c r="B29" i="190" s="1"/>
  <c r="C18" i="190" s="1"/>
  <c r="C27" i="190" s="1"/>
  <c r="C29" i="190" s="1"/>
  <c r="D18" i="190" s="1"/>
  <c r="D27" i="190" s="1"/>
  <c r="D29" i="190" s="1"/>
  <c r="E18" i="190" s="1"/>
  <c r="E27" i="190" s="1"/>
  <c r="E29" i="190" s="1"/>
  <c r="F18" i="190" s="1"/>
  <c r="F27" i="190" s="1"/>
  <c r="F29" i="190" s="1"/>
  <c r="G18" i="190" s="1"/>
  <c r="G27" i="190" s="1"/>
  <c r="G29" i="190" s="1"/>
  <c r="H18" i="190" s="1"/>
  <c r="H27" i="190" s="1"/>
  <c r="H29" i="190" s="1"/>
  <c r="I18" i="190" s="1"/>
  <c r="I27" i="190" s="1"/>
  <c r="I29" i="190" s="1"/>
  <c r="J18" i="190" s="1"/>
  <c r="J27" i="190" s="1"/>
  <c r="J29" i="190" s="1"/>
  <c r="K18" i="190" s="1"/>
  <c r="K27" i="190" s="1"/>
  <c r="K29" i="190" s="1"/>
  <c r="L18" i="190" s="1"/>
  <c r="L27" i="190" s="1"/>
  <c r="L29" i="190" s="1"/>
  <c r="M18" i="190" s="1"/>
  <c r="M27" i="190" s="1"/>
  <c r="M29" i="190" s="1"/>
  <c r="M21" i="76"/>
  <c r="B29" i="233"/>
  <c r="B30" i="237"/>
  <c r="B32" i="237" s="1"/>
  <c r="C21" i="237" s="1"/>
  <c r="C30" i="237" s="1"/>
  <c r="C32" i="237" s="1"/>
  <c r="D21" i="237" s="1"/>
  <c r="D30" i="237" s="1"/>
  <c r="D32" i="237" s="1"/>
  <c r="E21" i="237" s="1"/>
  <c r="E30" i="237" s="1"/>
  <c r="E32" i="237" s="1"/>
  <c r="F21" i="237" s="1"/>
  <c r="F30" i="237" s="1"/>
  <c r="F32" i="237" s="1"/>
  <c r="G21" i="237" s="1"/>
  <c r="G30" i="237" s="1"/>
  <c r="G32" i="237" s="1"/>
  <c r="H21" i="237" s="1"/>
  <c r="H30" i="237" s="1"/>
  <c r="H32" i="237" s="1"/>
  <c r="I21" i="237" s="1"/>
  <c r="I30" i="237" s="1"/>
  <c r="I32" i="237" s="1"/>
  <c r="J21" i="237" s="1"/>
  <c r="J30" i="237" s="1"/>
  <c r="J32" i="237" s="1"/>
  <c r="K21" i="237" s="1"/>
  <c r="K30" i="237" s="1"/>
  <c r="K32" i="237" s="1"/>
  <c r="L21" i="237" s="1"/>
  <c r="L30" i="237" s="1"/>
  <c r="L32" i="237" s="1"/>
  <c r="M21" i="237" s="1"/>
  <c r="M30" i="237" s="1"/>
  <c r="M32" i="237" s="1"/>
  <c r="B11" i="56"/>
  <c r="B27" i="212"/>
  <c r="B29" i="212" s="1"/>
  <c r="C18" i="212" s="1"/>
  <c r="C27" i="212" s="1"/>
  <c r="C29" i="212" s="1"/>
  <c r="D18" i="212" s="1"/>
  <c r="D27" i="212" s="1"/>
  <c r="D29" i="212" s="1"/>
  <c r="E18" i="212" s="1"/>
  <c r="E27" i="212" s="1"/>
  <c r="E29" i="212" s="1"/>
  <c r="F18" i="212" s="1"/>
  <c r="F27" i="212" s="1"/>
  <c r="F29" i="212" s="1"/>
  <c r="G18" i="212" s="1"/>
  <c r="G27" i="212" s="1"/>
  <c r="G29" i="212" s="1"/>
  <c r="H18" i="212" s="1"/>
  <c r="H27" i="212" s="1"/>
  <c r="H29" i="212" s="1"/>
  <c r="I18" i="212" s="1"/>
  <c r="I27" i="212" s="1"/>
  <c r="I29" i="212" s="1"/>
  <c r="J18" i="212" s="1"/>
  <c r="J27" i="212" s="1"/>
  <c r="J29" i="212" s="1"/>
  <c r="K18" i="212" s="1"/>
  <c r="K27" i="212" s="1"/>
  <c r="K29" i="212" s="1"/>
  <c r="L18" i="212" s="1"/>
  <c r="L27" i="212" s="1"/>
  <c r="L29" i="212" s="1"/>
  <c r="M18" i="212" s="1"/>
  <c r="M27" i="212" s="1"/>
  <c r="M29" i="212" s="1"/>
  <c r="B32" i="5"/>
  <c r="B34" i="5" s="1"/>
  <c r="C23" i="5" s="1"/>
  <c r="C32" i="5" s="1"/>
  <c r="C34" i="5" s="1"/>
  <c r="D23" i="5" s="1"/>
  <c r="D32" i="5" s="1"/>
  <c r="D34" i="5" s="1"/>
  <c r="E23" i="5" s="1"/>
  <c r="E32" i="5" s="1"/>
  <c r="E34" i="5" s="1"/>
  <c r="F23" i="5" s="1"/>
  <c r="F32" i="5" s="1"/>
  <c r="F34" i="5" s="1"/>
  <c r="G23" i="5" s="1"/>
  <c r="G32" i="5" s="1"/>
  <c r="G34" i="5" s="1"/>
  <c r="H23" i="5" s="1"/>
  <c r="H32" i="5" s="1"/>
  <c r="H34" i="5" s="1"/>
  <c r="I23" i="5" s="1"/>
  <c r="I32" i="5" s="1"/>
  <c r="I34" i="5" s="1"/>
  <c r="J23" i="5" s="1"/>
  <c r="J32" i="5" s="1"/>
  <c r="J34" i="5" s="1"/>
  <c r="K23" i="5" s="1"/>
  <c r="K32" i="5" s="1"/>
  <c r="K34" i="5" s="1"/>
  <c r="L23" i="5" s="1"/>
  <c r="L32" i="5" s="1"/>
  <c r="L34" i="5" s="1"/>
  <c r="M23" i="5" s="1"/>
  <c r="M32" i="5" s="1"/>
  <c r="M34" i="5" s="1"/>
  <c r="M17" i="120"/>
  <c r="B30" i="239"/>
  <c r="B32" i="239" s="1"/>
  <c r="C21" i="239" s="1"/>
  <c r="C30" i="239" s="1"/>
  <c r="B30" i="140"/>
  <c r="M13" i="140"/>
  <c r="C32" i="239"/>
  <c r="D21" i="239" s="1"/>
  <c r="D30" i="239" s="1"/>
  <c r="D32" i="239" s="1"/>
  <c r="E21" i="239" s="1"/>
  <c r="E30" i="239" s="1"/>
  <c r="E32" i="239" s="1"/>
  <c r="F21" i="239" s="1"/>
  <c r="F30" i="239" s="1"/>
  <c r="F32" i="239" s="1"/>
  <c r="G21" i="239" s="1"/>
  <c r="G30" i="239" s="1"/>
  <c r="G32" i="239" s="1"/>
  <c r="H21" i="239" s="1"/>
  <c r="H30" i="239" s="1"/>
  <c r="H32" i="239" s="1"/>
  <c r="I21" i="239" s="1"/>
  <c r="I30" i="239" s="1"/>
  <c r="I32" i="239" s="1"/>
  <c r="J21" i="239" s="1"/>
  <c r="J30" i="239" s="1"/>
  <c r="J32" i="239" s="1"/>
  <c r="K21" i="239" s="1"/>
  <c r="K30" i="239" s="1"/>
  <c r="K32" i="239" s="1"/>
  <c r="L21" i="239" s="1"/>
  <c r="L30" i="239" s="1"/>
  <c r="L32" i="239" s="1"/>
  <c r="M21" i="239" s="1"/>
  <c r="M30" i="239" s="1"/>
  <c r="M32" i="239" s="1"/>
  <c r="C30" i="203"/>
  <c r="M16" i="106"/>
  <c r="L14" i="197"/>
  <c r="M11" i="87"/>
  <c r="M29" i="151"/>
  <c r="M18" i="76"/>
  <c r="M29" i="56"/>
  <c r="L21" i="76"/>
  <c r="L15" i="239"/>
  <c r="L14" i="236"/>
  <c r="M30" i="151"/>
  <c r="L16" i="133"/>
  <c r="L33" i="95"/>
  <c r="L18" i="76"/>
  <c r="K18" i="76"/>
  <c r="L36" i="56"/>
  <c r="L29" i="56"/>
  <c r="L27" i="7"/>
  <c r="L29" i="151"/>
  <c r="L11" i="87"/>
  <c r="B14" i="239"/>
  <c r="B16" i="239" s="1"/>
  <c r="C5" i="239" s="1"/>
  <c r="C14" i="239" s="1"/>
  <c r="C16" i="239" s="1"/>
  <c r="D5" i="239" s="1"/>
  <c r="D14" i="239"/>
  <c r="D16" i="239" s="1"/>
  <c r="E5" i="239" s="1"/>
  <c r="E14" i="239" s="1"/>
  <c r="E16" i="239" s="1"/>
  <c r="F5" i="239" s="1"/>
  <c r="F14" i="239" s="1"/>
  <c r="F16" i="239" s="1"/>
  <c r="G5" i="239" s="1"/>
  <c r="G14" i="239" s="1"/>
  <c r="G16" i="239" s="1"/>
  <c r="H5" i="239" s="1"/>
  <c r="H14" i="239" s="1"/>
  <c r="H16" i="239" s="1"/>
  <c r="I5" i="239" s="1"/>
  <c r="I14" i="239" s="1"/>
  <c r="I16" i="239" s="1"/>
  <c r="J5" i="239" s="1"/>
  <c r="J14" i="239" s="1"/>
  <c r="J16" i="239" s="1"/>
  <c r="K5" i="239" s="1"/>
  <c r="K14" i="239" s="1"/>
  <c r="K16" i="239" s="1"/>
  <c r="L5" i="239" s="1"/>
  <c r="L14" i="239" s="1"/>
  <c r="L16" i="239" s="1"/>
  <c r="M5" i="239" s="1"/>
  <c r="M14" i="239" s="1"/>
  <c r="M16" i="239" s="1"/>
  <c r="K21" i="76"/>
  <c r="L13" i="140"/>
  <c r="K29" i="151"/>
  <c r="K29" i="56"/>
  <c r="K11" i="87"/>
  <c r="K13" i="140"/>
  <c r="I29" i="223"/>
  <c r="J21" i="76"/>
  <c r="I21" i="76"/>
  <c r="J18" i="76"/>
  <c r="I24" i="107"/>
  <c r="J29" i="56"/>
  <c r="H15" i="206"/>
  <c r="J10" i="58"/>
  <c r="J10" i="130"/>
  <c r="J29" i="151"/>
  <c r="B13" i="238"/>
  <c r="B15" i="238" s="1"/>
  <c r="C4" i="238" s="1"/>
  <c r="C13" i="238" s="1"/>
  <c r="C15" i="238" s="1"/>
  <c r="D4" i="238" s="1"/>
  <c r="D13" i="238" s="1"/>
  <c r="D15" i="238" s="1"/>
  <c r="E4" i="238" s="1"/>
  <c r="E13" i="238" s="1"/>
  <c r="E15" i="238" s="1"/>
  <c r="F4" i="238" s="1"/>
  <c r="F13" i="238" s="1"/>
  <c r="F15" i="238" s="1"/>
  <c r="G4" i="238" s="1"/>
  <c r="G13" i="238" s="1"/>
  <c r="G15" i="238" s="1"/>
  <c r="H4" i="238" s="1"/>
  <c r="H13" i="238" s="1"/>
  <c r="H15" i="238" s="1"/>
  <c r="I4" i="238" s="1"/>
  <c r="I13" i="238" s="1"/>
  <c r="I15" i="238" s="1"/>
  <c r="J4" i="238" s="1"/>
  <c r="J13" i="238" s="1"/>
  <c r="J15" i="238" s="1"/>
  <c r="K4" i="238" s="1"/>
  <c r="K13" i="238" s="1"/>
  <c r="K15" i="238" s="1"/>
  <c r="L4" i="238" s="1"/>
  <c r="L13" i="238" s="1"/>
  <c r="L15" i="238" s="1"/>
  <c r="M4" i="238" s="1"/>
  <c r="M13" i="238" s="1"/>
  <c r="M15" i="238" s="1"/>
  <c r="B14" i="237"/>
  <c r="B16" i="237" s="1"/>
  <c r="C5" i="237" s="1"/>
  <c r="C14" i="237" s="1"/>
  <c r="C16" i="237" s="1"/>
  <c r="D5" i="237" s="1"/>
  <c r="D14" i="237" s="1"/>
  <c r="D16" i="237" s="1"/>
  <c r="E5" i="237" s="1"/>
  <c r="E14" i="237" s="1"/>
  <c r="E16" i="237" s="1"/>
  <c r="F5" i="237" s="1"/>
  <c r="F14" i="237" s="1"/>
  <c r="F16" i="237" s="1"/>
  <c r="G5" i="237" s="1"/>
  <c r="G14" i="237" s="1"/>
  <c r="G16" i="237" s="1"/>
  <c r="H5" i="237" s="1"/>
  <c r="H14" i="237" s="1"/>
  <c r="H16" i="237" s="1"/>
  <c r="I5" i="237" s="1"/>
  <c r="I14" i="237" s="1"/>
  <c r="I16" i="237" s="1"/>
  <c r="J5" i="237" s="1"/>
  <c r="J14" i="237" s="1"/>
  <c r="J16" i="237" s="1"/>
  <c r="K5" i="237" s="1"/>
  <c r="K14" i="237" s="1"/>
  <c r="K16" i="237" s="1"/>
  <c r="L5" i="237" s="1"/>
  <c r="L14" i="237" s="1"/>
  <c r="L16" i="237" s="1"/>
  <c r="M5" i="237" s="1"/>
  <c r="M14" i="237" s="1"/>
  <c r="M16" i="237" s="1"/>
  <c r="J13" i="140"/>
  <c r="J11" i="87"/>
  <c r="B13" i="236"/>
  <c r="B15" i="236" s="1"/>
  <c r="C4" i="236" s="1"/>
  <c r="C13" i="236" s="1"/>
  <c r="C15" i="236" s="1"/>
  <c r="D4" i="236" s="1"/>
  <c r="D13" i="236" s="1"/>
  <c r="D15" i="236" s="1"/>
  <c r="E4" i="236" s="1"/>
  <c r="E13" i="236" s="1"/>
  <c r="E15" i="236" s="1"/>
  <c r="F4" i="236" s="1"/>
  <c r="F13" i="236" s="1"/>
  <c r="F15" i="236" s="1"/>
  <c r="G4" i="236" s="1"/>
  <c r="G13" i="236" s="1"/>
  <c r="G15" i="236" s="1"/>
  <c r="H4" i="236" s="1"/>
  <c r="H13" i="236" s="1"/>
  <c r="H15" i="236" s="1"/>
  <c r="I4" i="236" s="1"/>
  <c r="I13" i="236" s="1"/>
  <c r="I15" i="236" s="1"/>
  <c r="J4" i="236" s="1"/>
  <c r="J13" i="236" s="1"/>
  <c r="J15" i="236" s="1"/>
  <c r="K4" i="236" s="1"/>
  <c r="K13" i="236" s="1"/>
  <c r="K15" i="236" s="1"/>
  <c r="L4" i="236" s="1"/>
  <c r="L13" i="236" s="1"/>
  <c r="L15" i="236" s="1"/>
  <c r="M4" i="236" s="1"/>
  <c r="M13" i="236" s="1"/>
  <c r="M15" i="236" s="1"/>
  <c r="I14" i="212"/>
  <c r="I12" i="214"/>
  <c r="I15" i="131"/>
  <c r="I18" i="76"/>
  <c r="I29" i="56"/>
  <c r="I32" i="151"/>
  <c r="I29" i="151"/>
  <c r="H25" i="27"/>
  <c r="I25" i="27"/>
  <c r="G25" i="27"/>
  <c r="I12" i="185"/>
  <c r="B13" i="233"/>
  <c r="B15" i="233" s="1"/>
  <c r="C4" i="233" s="1"/>
  <c r="C13" i="233" s="1"/>
  <c r="C15" i="233" s="1"/>
  <c r="D4" i="233" s="1"/>
  <c r="D13" i="233" s="1"/>
  <c r="D15" i="233" s="1"/>
  <c r="E4" i="233" s="1"/>
  <c r="E13" i="233" s="1"/>
  <c r="E15" i="233" s="1"/>
  <c r="F4" i="233" s="1"/>
  <c r="F13" i="233" s="1"/>
  <c r="F15" i="233" s="1"/>
  <c r="G4" i="233" s="1"/>
  <c r="G13" i="233" s="1"/>
  <c r="G15" i="233" s="1"/>
  <c r="H4" i="233"/>
  <c r="H13" i="233" s="1"/>
  <c r="H15" i="233" s="1"/>
  <c r="I4" i="233" s="1"/>
  <c r="I13" i="233" s="1"/>
  <c r="I15" i="233" s="1"/>
  <c r="J4" i="233" s="1"/>
  <c r="J13" i="233" s="1"/>
  <c r="J15" i="233" s="1"/>
  <c r="K4" i="233" s="1"/>
  <c r="K13" i="233" s="1"/>
  <c r="K15" i="233" s="1"/>
  <c r="L4" i="233" s="1"/>
  <c r="L13" i="233" s="1"/>
  <c r="L15" i="233" s="1"/>
  <c r="M4" i="233" s="1"/>
  <c r="M13" i="233" s="1"/>
  <c r="M15" i="233" s="1"/>
  <c r="O9" i="206"/>
  <c r="O8" i="206"/>
  <c r="I31" i="207"/>
  <c r="I6" i="61"/>
  <c r="I11" i="87"/>
  <c r="I13" i="140"/>
  <c r="H15" i="87"/>
  <c r="H16" i="214"/>
  <c r="F15" i="206"/>
  <c r="H29" i="151"/>
  <c r="H21" i="76"/>
  <c r="E25" i="222"/>
  <c r="B28" i="223"/>
  <c r="B30" i="223"/>
  <c r="C19" i="223"/>
  <c r="C28" i="223" s="1"/>
  <c r="C30" i="223" s="1"/>
  <c r="D19" i="223" s="1"/>
  <c r="D28" i="223" s="1"/>
  <c r="D30" i="223" s="1"/>
  <c r="E19" i="223" s="1"/>
  <c r="E28" i="223" s="1"/>
  <c r="E30" i="223" s="1"/>
  <c r="F19" i="223" s="1"/>
  <c r="F28" i="223" s="1"/>
  <c r="F30" i="223" s="1"/>
  <c r="G19" i="223" s="1"/>
  <c r="G28" i="223" s="1"/>
  <c r="G30" i="223" s="1"/>
  <c r="H19" i="223" s="1"/>
  <c r="H28" i="223" s="1"/>
  <c r="H30" i="223" s="1"/>
  <c r="I19" i="223" s="1"/>
  <c r="I28" i="223" s="1"/>
  <c r="I30" i="223" s="1"/>
  <c r="J19" i="223" s="1"/>
  <c r="J28" i="223" s="1"/>
  <c r="J30" i="223" s="1"/>
  <c r="K19" i="223" s="1"/>
  <c r="K28" i="223" s="1"/>
  <c r="K30" i="223" s="1"/>
  <c r="L19" i="223" s="1"/>
  <c r="L28" i="223" s="1"/>
  <c r="L30" i="223" s="1"/>
  <c r="M19" i="223" s="1"/>
  <c r="M28" i="223" s="1"/>
  <c r="M30" i="223" s="1"/>
  <c r="H18" i="76"/>
  <c r="H30" i="82"/>
  <c r="H29" i="56"/>
  <c r="H10" i="58"/>
  <c r="H53" i="53"/>
  <c r="H12" i="214"/>
  <c r="C12" i="230"/>
  <c r="C14" i="230" s="1"/>
  <c r="D3" i="230" s="1"/>
  <c r="D12" i="230" s="1"/>
  <c r="D14" i="230" s="1"/>
  <c r="E3" i="230" s="1"/>
  <c r="E12" i="230" s="1"/>
  <c r="E14" i="230" s="1"/>
  <c r="F3" i="230" s="1"/>
  <c r="F12" i="230" s="1"/>
  <c r="F14" i="230" s="1"/>
  <c r="G3" i="230" s="1"/>
  <c r="G12" i="230" s="1"/>
  <c r="G14" i="230" s="1"/>
  <c r="H3" i="230" s="1"/>
  <c r="H12" i="230" s="1"/>
  <c r="H14" i="230" s="1"/>
  <c r="I3" i="230" s="1"/>
  <c r="I12" i="230" s="1"/>
  <c r="I14" i="230" s="1"/>
  <c r="J3" i="230" s="1"/>
  <c r="J12" i="230" s="1"/>
  <c r="J14" i="230" s="1"/>
  <c r="K3" i="230" s="1"/>
  <c r="K12" i="230" s="1"/>
  <c r="K14" i="230" s="1"/>
  <c r="L3" i="230" s="1"/>
  <c r="L12" i="230" s="1"/>
  <c r="L14" i="230" s="1"/>
  <c r="M3" i="230" s="1"/>
  <c r="M12" i="230" s="1"/>
  <c r="M14" i="230" s="1"/>
  <c r="N3" i="230" s="1"/>
  <c r="N12" i="230" s="1"/>
  <c r="N14" i="230" s="1"/>
  <c r="G26" i="4"/>
  <c r="G16" i="153"/>
  <c r="B28" i="111"/>
  <c r="C28" i="111"/>
  <c r="D28" i="111"/>
  <c r="F28" i="111"/>
  <c r="G28" i="111"/>
  <c r="B15" i="26"/>
  <c r="B17" i="26" s="1"/>
  <c r="C6" i="26" s="1"/>
  <c r="C15" i="26" s="1"/>
  <c r="C17" i="26" s="1"/>
  <c r="D6" i="26" s="1"/>
  <c r="D15" i="26" s="1"/>
  <c r="D17" i="26" s="1"/>
  <c r="E6" i="26" s="1"/>
  <c r="E15" i="26" s="1"/>
  <c r="E17" i="26" s="1"/>
  <c r="F6" i="26" s="1"/>
  <c r="F15" i="26" s="1"/>
  <c r="F17" i="26" s="1"/>
  <c r="G6" i="26" s="1"/>
  <c r="G15" i="26" s="1"/>
  <c r="G17" i="26" s="1"/>
  <c r="H6" i="26" s="1"/>
  <c r="H15" i="26" s="1"/>
  <c r="H17" i="26" s="1"/>
  <c r="I6" i="26" s="1"/>
  <c r="I15" i="26" s="1"/>
  <c r="I17" i="26" s="1"/>
  <c r="J6" i="26" s="1"/>
  <c r="J15" i="26" s="1"/>
  <c r="J17" i="26" s="1"/>
  <c r="K6" i="26" s="1"/>
  <c r="K15" i="26" s="1"/>
  <c r="K17" i="26" s="1"/>
  <c r="L6" i="26" s="1"/>
  <c r="L15" i="26" s="1"/>
  <c r="L17" i="26" s="1"/>
  <c r="M6" i="26" s="1"/>
  <c r="M15" i="26" s="1"/>
  <c r="M17" i="26" s="1"/>
  <c r="B31" i="26"/>
  <c r="B33" i="26" s="1"/>
  <c r="C22" i="26" s="1"/>
  <c r="C31" i="26" s="1"/>
  <c r="C33" i="26" s="1"/>
  <c r="D22" i="26" s="1"/>
  <c r="D31" i="26" s="1"/>
  <c r="D33" i="26" s="1"/>
  <c r="E22" i="26" s="1"/>
  <c r="E31" i="26" s="1"/>
  <c r="E33" i="26" s="1"/>
  <c r="F22" i="26" s="1"/>
  <c r="F31" i="26" s="1"/>
  <c r="F33" i="26" s="1"/>
  <c r="G22" i="26" s="1"/>
  <c r="G31" i="26" s="1"/>
  <c r="G33" i="26" s="1"/>
  <c r="H22" i="26" s="1"/>
  <c r="H31" i="26" s="1"/>
  <c r="H33" i="26" s="1"/>
  <c r="I22" i="26" s="1"/>
  <c r="I31" i="26" s="1"/>
  <c r="I33" i="26" s="1"/>
  <c r="J22" i="26" s="1"/>
  <c r="J31" i="26" s="1"/>
  <c r="J33" i="26" s="1"/>
  <c r="K22" i="26" s="1"/>
  <c r="K31" i="26" s="1"/>
  <c r="K33" i="26" s="1"/>
  <c r="L22" i="26" s="1"/>
  <c r="L31" i="26" s="1"/>
  <c r="L33" i="26" s="1"/>
  <c r="M22" i="26" s="1"/>
  <c r="M31" i="26" s="1"/>
  <c r="M33" i="26" s="1"/>
  <c r="K47" i="26"/>
  <c r="L47" i="26"/>
  <c r="B49" i="26"/>
  <c r="B51" i="26" s="1"/>
  <c r="C40" i="26" s="1"/>
  <c r="C49" i="26" s="1"/>
  <c r="C51" i="26" s="1"/>
  <c r="D40" i="26" s="1"/>
  <c r="D49" i="26" s="1"/>
  <c r="D51" i="26" s="1"/>
  <c r="E40" i="26" s="1"/>
  <c r="E49" i="26" s="1"/>
  <c r="E51" i="26" s="1"/>
  <c r="F40" i="26" s="1"/>
  <c r="F49" i="26" s="1"/>
  <c r="F51" i="26" s="1"/>
  <c r="G40" i="26" s="1"/>
  <c r="G49" i="26" s="1"/>
  <c r="G51" i="26" s="1"/>
  <c r="H40" i="26" s="1"/>
  <c r="H49" i="26" s="1"/>
  <c r="H51" i="26" s="1"/>
  <c r="I40" i="26" s="1"/>
  <c r="I49" i="26" s="1"/>
  <c r="I50" i="26"/>
  <c r="D54" i="26"/>
  <c r="D55" i="26"/>
  <c r="B56" i="26"/>
  <c r="D56" i="26"/>
  <c r="B71" i="26"/>
  <c r="D73" i="26"/>
  <c r="B20" i="105"/>
  <c r="B22" i="105" s="1"/>
  <c r="C11" i="105" s="1"/>
  <c r="C20" i="105" s="1"/>
  <c r="C22" i="105" s="1"/>
  <c r="D11" i="105" s="1"/>
  <c r="D20" i="105" s="1"/>
  <c r="D22" i="105" s="1"/>
  <c r="E11" i="105" s="1"/>
  <c r="E20" i="105" s="1"/>
  <c r="E22" i="105" s="1"/>
  <c r="F11" i="105" s="1"/>
  <c r="F20" i="105" s="1"/>
  <c r="F22" i="105" s="1"/>
  <c r="G11" i="105" s="1"/>
  <c r="G20" i="105" s="1"/>
  <c r="G22" i="105" s="1"/>
  <c r="H11" i="105" s="1"/>
  <c r="H20" i="105" s="1"/>
  <c r="H22" i="105" s="1"/>
  <c r="I11" i="105" s="1"/>
  <c r="I20" i="105" s="1"/>
  <c r="I22" i="105" s="1"/>
  <c r="J11" i="105" s="1"/>
  <c r="J20" i="105" s="1"/>
  <c r="J22" i="105" s="1"/>
  <c r="K11" i="105" s="1"/>
  <c r="K20" i="105" s="1"/>
  <c r="K22" i="105" s="1"/>
  <c r="L11" i="105" s="1"/>
  <c r="L20" i="105" s="1"/>
  <c r="L22" i="105" s="1"/>
  <c r="M11" i="105" s="1"/>
  <c r="M20" i="105" s="1"/>
  <c r="M22" i="105" s="1"/>
  <c r="B37" i="105"/>
  <c r="B39" i="105"/>
  <c r="C28" i="105" s="1"/>
  <c r="C37" i="105" s="1"/>
  <c r="C39" i="105" s="1"/>
  <c r="D28" i="105" s="1"/>
  <c r="D37" i="105" s="1"/>
  <c r="D39" i="105" s="1"/>
  <c r="E28" i="105" s="1"/>
  <c r="E37" i="105" s="1"/>
  <c r="E39" i="105" s="1"/>
  <c r="F28" i="105" s="1"/>
  <c r="F37" i="105" s="1"/>
  <c r="F39" i="105" s="1"/>
  <c r="G28" i="105" s="1"/>
  <c r="G37" i="105" s="1"/>
  <c r="G39" i="105" s="1"/>
  <c r="H28" i="105" s="1"/>
  <c r="H37" i="105" s="1"/>
  <c r="H39" i="105" s="1"/>
  <c r="I28" i="105" s="1"/>
  <c r="I37" i="105" s="1"/>
  <c r="I39" i="105" s="1"/>
  <c r="J28" i="105" s="1"/>
  <c r="J37" i="105" s="1"/>
  <c r="J39" i="105" s="1"/>
  <c r="K28" i="105" s="1"/>
  <c r="K37" i="105" s="1"/>
  <c r="K39" i="105" s="1"/>
  <c r="L28" i="105" s="1"/>
  <c r="L37" i="105" s="1"/>
  <c r="L39" i="105" s="1"/>
  <c r="M28" i="105" s="1"/>
  <c r="M37" i="105" s="1"/>
  <c r="M39" i="105" s="1"/>
  <c r="B15" i="135"/>
  <c r="B17" i="135" s="1"/>
  <c r="C6" i="135" s="1"/>
  <c r="C15" i="135"/>
  <c r="C17" i="135" s="1"/>
  <c r="D6" i="135" s="1"/>
  <c r="D15" i="135" s="1"/>
  <c r="D17" i="135" s="1"/>
  <c r="E6" i="135" s="1"/>
  <c r="E15" i="135" s="1"/>
  <c r="E17" i="135" s="1"/>
  <c r="F6" i="135" s="1"/>
  <c r="F15" i="135" s="1"/>
  <c r="F17" i="135" s="1"/>
  <c r="G6" i="135" s="1"/>
  <c r="G15" i="135" s="1"/>
  <c r="G17" i="135" s="1"/>
  <c r="H6" i="135" s="1"/>
  <c r="H15" i="135" s="1"/>
  <c r="H17" i="135" s="1"/>
  <c r="I6" i="135" s="1"/>
  <c r="I15" i="135" s="1"/>
  <c r="I17" i="135" s="1"/>
  <c r="J6" i="135" s="1"/>
  <c r="J15" i="135" s="1"/>
  <c r="J17" i="135" s="1"/>
  <c r="K6" i="135" s="1"/>
  <c r="K15" i="135" s="1"/>
  <c r="K17" i="135" s="1"/>
  <c r="L6" i="135" s="1"/>
  <c r="L15" i="135" s="1"/>
  <c r="L17" i="135" s="1"/>
  <c r="M6" i="135" s="1"/>
  <c r="M15" i="135" s="1"/>
  <c r="M17" i="135" s="1"/>
  <c r="M16" i="135"/>
  <c r="B35" i="135"/>
  <c r="B37" i="135"/>
  <c r="C26" i="135" s="1"/>
  <c r="C35" i="135" s="1"/>
  <c r="C37" i="135" s="1"/>
  <c r="D26" i="135" s="1"/>
  <c r="D35" i="135" s="1"/>
  <c r="D37" i="135" s="1"/>
  <c r="E26" i="135" s="1"/>
  <c r="E35" i="135" s="1"/>
  <c r="E37" i="135" s="1"/>
  <c r="F26" i="135" s="1"/>
  <c r="F35" i="135" s="1"/>
  <c r="F37" i="135" s="1"/>
  <c r="G26" i="135" s="1"/>
  <c r="G35" i="135" s="1"/>
  <c r="G37" i="135" s="1"/>
  <c r="H26" i="135" s="1"/>
  <c r="H35" i="135" s="1"/>
  <c r="H37" i="135" s="1"/>
  <c r="I26" i="135" s="1"/>
  <c r="I35" i="135" s="1"/>
  <c r="I37" i="135" s="1"/>
  <c r="J26" i="135" s="1"/>
  <c r="J35" i="135" s="1"/>
  <c r="J37" i="135" s="1"/>
  <c r="K26" i="135" s="1"/>
  <c r="K35" i="135" s="1"/>
  <c r="K37" i="135" s="1"/>
  <c r="L26" i="135" s="1"/>
  <c r="L35" i="135" s="1"/>
  <c r="L37" i="135" s="1"/>
  <c r="M26" i="135" s="1"/>
  <c r="M35" i="135" s="1"/>
  <c r="M37" i="135" s="1"/>
  <c r="B53" i="135"/>
  <c r="B55" i="135" s="1"/>
  <c r="C44" i="135" s="1"/>
  <c r="C53" i="135" s="1"/>
  <c r="C55" i="135" s="1"/>
  <c r="D44" i="135" s="1"/>
  <c r="D53" i="135" s="1"/>
  <c r="D55" i="135" s="1"/>
  <c r="E44" i="135" s="1"/>
  <c r="E53" i="135" s="1"/>
  <c r="E55" i="135" s="1"/>
  <c r="F44" i="135" s="1"/>
  <c r="F53" i="135" s="1"/>
  <c r="F55" i="135" s="1"/>
  <c r="G44" i="135" s="1"/>
  <c r="G53" i="135" s="1"/>
  <c r="G55" i="135" s="1"/>
  <c r="H44" i="135" s="1"/>
  <c r="H53" i="135" s="1"/>
  <c r="H55" i="135" s="1"/>
  <c r="I44" i="135" s="1"/>
  <c r="I53" i="135" s="1"/>
  <c r="I55" i="135" s="1"/>
  <c r="J44" i="135" s="1"/>
  <c r="J53" i="135" s="1"/>
  <c r="J55" i="135" s="1"/>
  <c r="K44" i="135" s="1"/>
  <c r="K53" i="135" s="1"/>
  <c r="K55" i="135" s="1"/>
  <c r="L44" i="135" s="1"/>
  <c r="L53" i="135" s="1"/>
  <c r="L55" i="135" s="1"/>
  <c r="M44" i="135" s="1"/>
  <c r="M53" i="135" s="1"/>
  <c r="M55" i="135" s="1"/>
  <c r="B13" i="186"/>
  <c r="B15" i="186" s="1"/>
  <c r="C4" i="186" s="1"/>
  <c r="C13" i="186" s="1"/>
  <c r="C15" i="186" s="1"/>
  <c r="D4" i="186" s="1"/>
  <c r="D13" i="186" s="1"/>
  <c r="D15" i="186" s="1"/>
  <c r="E4" i="186" s="1"/>
  <c r="E13" i="186" s="1"/>
  <c r="E15" i="186"/>
  <c r="F4" i="186" s="1"/>
  <c r="F13" i="186" s="1"/>
  <c r="F15" i="186" s="1"/>
  <c r="G4" i="186" s="1"/>
  <c r="G13" i="186" s="1"/>
  <c r="G15" i="186" s="1"/>
  <c r="H4" i="186" s="1"/>
  <c r="H13" i="186" s="1"/>
  <c r="H15" i="186" s="1"/>
  <c r="I4" i="186" s="1"/>
  <c r="I13" i="186" s="1"/>
  <c r="I15" i="186" s="1"/>
  <c r="J4" i="186" s="1"/>
  <c r="J13" i="186" s="1"/>
  <c r="J15" i="186" s="1"/>
  <c r="K4" i="186" s="1"/>
  <c r="K13" i="186" s="1"/>
  <c r="K15" i="186" s="1"/>
  <c r="L4" i="186" s="1"/>
  <c r="L13" i="186" s="1"/>
  <c r="L15" i="186" s="1"/>
  <c r="M4" i="186" s="1"/>
  <c r="M13" i="186" s="1"/>
  <c r="M15" i="186" s="1"/>
  <c r="B28" i="186"/>
  <c r="B30" i="186" s="1"/>
  <c r="C19" i="186" s="1"/>
  <c r="C28" i="186" s="1"/>
  <c r="C30" i="186" s="1"/>
  <c r="D19" i="186" s="1"/>
  <c r="D28" i="186" s="1"/>
  <c r="D30" i="186" s="1"/>
  <c r="E19" i="186" s="1"/>
  <c r="E28" i="186" s="1"/>
  <c r="E30" i="186" s="1"/>
  <c r="F19" i="186" s="1"/>
  <c r="F28" i="186" s="1"/>
  <c r="F30" i="186" s="1"/>
  <c r="G19" i="186" s="1"/>
  <c r="G28" i="186" s="1"/>
  <c r="G30" i="186" s="1"/>
  <c r="H19" i="186" s="1"/>
  <c r="H28" i="186" s="1"/>
  <c r="H30" i="186" s="1"/>
  <c r="I19" i="186" s="1"/>
  <c r="I28" i="186" s="1"/>
  <c r="I30" i="186" s="1"/>
  <c r="J19" i="186" s="1"/>
  <c r="J28" i="186" s="1"/>
  <c r="J30" i="186" s="1"/>
  <c r="K19" i="186" s="1"/>
  <c r="K28" i="186" s="1"/>
  <c r="K30" i="186" s="1"/>
  <c r="L19" i="186" s="1"/>
  <c r="L28" i="186" s="1"/>
  <c r="L30" i="186" s="1"/>
  <c r="M19" i="186" s="1"/>
  <c r="M28" i="186" s="1"/>
  <c r="M30" i="186" s="1"/>
  <c r="B43" i="186"/>
  <c r="B45" i="186" s="1"/>
  <c r="C34" i="186" s="1"/>
  <c r="C43" i="186" s="1"/>
  <c r="C45" i="186" s="1"/>
  <c r="D34" i="186" s="1"/>
  <c r="D43" i="186" s="1"/>
  <c r="D45" i="186" s="1"/>
  <c r="E34" i="186" s="1"/>
  <c r="E43" i="186" s="1"/>
  <c r="E45" i="186" s="1"/>
  <c r="F34" i="186" s="1"/>
  <c r="F43" i="186" s="1"/>
  <c r="F45" i="186" s="1"/>
  <c r="G34" i="186" s="1"/>
  <c r="G43" i="186" s="1"/>
  <c r="G45" i="186" s="1"/>
  <c r="H34" i="186" s="1"/>
  <c r="H43" i="186" s="1"/>
  <c r="H45" i="186" s="1"/>
  <c r="I34" i="186" s="1"/>
  <c r="I43" i="186" s="1"/>
  <c r="I45" i="186" s="1"/>
  <c r="J34" i="186" s="1"/>
  <c r="J43" i="186" s="1"/>
  <c r="J45" i="186" s="1"/>
  <c r="K34" i="186" s="1"/>
  <c r="K43" i="186" s="1"/>
  <c r="K45" i="186" s="1"/>
  <c r="L34" i="186" s="1"/>
  <c r="L43" i="186" s="1"/>
  <c r="L45" i="186" s="1"/>
  <c r="M34" i="186" s="1"/>
  <c r="M43" i="186" s="1"/>
  <c r="M45" i="186" s="1"/>
  <c r="F4" i="29"/>
  <c r="F13" i="29" s="1"/>
  <c r="F15" i="29" s="1"/>
  <c r="G4" i="29" s="1"/>
  <c r="G13" i="29" s="1"/>
  <c r="G15" i="29" s="1"/>
  <c r="H4" i="29" s="1"/>
  <c r="H13" i="29" s="1"/>
  <c r="H15" i="29" s="1"/>
  <c r="I4" i="29" s="1"/>
  <c r="I13" i="29" s="1"/>
  <c r="I15" i="29" s="1"/>
  <c r="J4" i="29" s="1"/>
  <c r="J13" i="29" s="1"/>
  <c r="J15" i="29" s="1"/>
  <c r="K4" i="29" s="1"/>
  <c r="K13" i="29" s="1"/>
  <c r="K15" i="29" s="1"/>
  <c r="L4" i="29" s="1"/>
  <c r="L13" i="29" s="1"/>
  <c r="L15" i="29" s="1"/>
  <c r="M4" i="29" s="1"/>
  <c r="M13" i="29" s="1"/>
  <c r="M15" i="29" s="1"/>
  <c r="B13" i="29"/>
  <c r="B15" i="29"/>
  <c r="C4" i="29" s="1"/>
  <c r="C13" i="29" s="1"/>
  <c r="C15" i="29"/>
  <c r="D4" i="29" s="1"/>
  <c r="D13" i="29" s="1"/>
  <c r="D15" i="29" s="1"/>
  <c r="E4" i="29" s="1"/>
  <c r="E13" i="29" s="1"/>
  <c r="E15" i="29"/>
  <c r="N22" i="29"/>
  <c r="B30" i="29"/>
  <c r="B32" i="29" s="1"/>
  <c r="C21" i="29" s="1"/>
  <c r="C30" i="29"/>
  <c r="C32" i="29" s="1"/>
  <c r="D21" i="29" s="1"/>
  <c r="D30" i="29" s="1"/>
  <c r="D32" i="29" s="1"/>
  <c r="E21" i="29" s="1"/>
  <c r="E30" i="29" s="1"/>
  <c r="E32" i="29" s="1"/>
  <c r="F21" i="29" s="1"/>
  <c r="F30" i="29" s="1"/>
  <c r="F32" i="29" s="1"/>
  <c r="G21" i="29" s="1"/>
  <c r="G30" i="29" s="1"/>
  <c r="G32" i="29" s="1"/>
  <c r="H21" i="29" s="1"/>
  <c r="H30" i="29" s="1"/>
  <c r="H32" i="29" s="1"/>
  <c r="I21" i="29" s="1"/>
  <c r="I30" i="29" s="1"/>
  <c r="I32" i="29" s="1"/>
  <c r="J21" i="29" s="1"/>
  <c r="J30" i="29" s="1"/>
  <c r="J32" i="29" s="1"/>
  <c r="K21" i="29" s="1"/>
  <c r="K30" i="29" s="1"/>
  <c r="K32" i="29" s="1"/>
  <c r="L21" i="29" s="1"/>
  <c r="L30" i="29" s="1"/>
  <c r="L32" i="29" s="1"/>
  <c r="M21" i="29" s="1"/>
  <c r="M30" i="29" s="1"/>
  <c r="M32" i="29" s="1"/>
  <c r="B47" i="29"/>
  <c r="B49" i="29" s="1"/>
  <c r="C38" i="29" s="1"/>
  <c r="C47" i="29" s="1"/>
  <c r="C49" i="29" s="1"/>
  <c r="D38" i="29" s="1"/>
  <c r="D47" i="29" s="1"/>
  <c r="D49" i="29" s="1"/>
  <c r="E38" i="29" s="1"/>
  <c r="E47" i="29" s="1"/>
  <c r="E49" i="29" s="1"/>
  <c r="F38" i="29" s="1"/>
  <c r="F47" i="29" s="1"/>
  <c r="F49" i="29" s="1"/>
  <c r="G38" i="29" s="1"/>
  <c r="G47" i="29" s="1"/>
  <c r="G49" i="29" s="1"/>
  <c r="H38" i="29" s="1"/>
  <c r="H47" i="29" s="1"/>
  <c r="H49" i="29" s="1"/>
  <c r="I38" i="29" s="1"/>
  <c r="I47" i="29" s="1"/>
  <c r="I49" i="29" s="1"/>
  <c r="J38" i="29" s="1"/>
  <c r="J47" i="29" s="1"/>
  <c r="J49" i="29" s="1"/>
  <c r="K38" i="29" s="1"/>
  <c r="K47" i="29" s="1"/>
  <c r="K49" i="29" s="1"/>
  <c r="L38" i="29" s="1"/>
  <c r="L47" i="29" s="1"/>
  <c r="L49" i="29" s="1"/>
  <c r="M38" i="29" s="1"/>
  <c r="M47" i="29" s="1"/>
  <c r="M49" i="29" s="1"/>
  <c r="B62" i="29"/>
  <c r="B64" i="29" s="1"/>
  <c r="C53" i="29" s="1"/>
  <c r="C62" i="29" s="1"/>
  <c r="C64" i="29" s="1"/>
  <c r="D53" i="29" s="1"/>
  <c r="D62" i="29" s="1"/>
  <c r="D64" i="29" s="1"/>
  <c r="E53" i="29" s="1"/>
  <c r="E62" i="29" s="1"/>
  <c r="E64" i="29" s="1"/>
  <c r="F53" i="29" s="1"/>
  <c r="F62" i="29" s="1"/>
  <c r="F64" i="29" s="1"/>
  <c r="G53" i="29" s="1"/>
  <c r="G62" i="29" s="1"/>
  <c r="G64" i="29" s="1"/>
  <c r="H53" i="29" s="1"/>
  <c r="H62" i="29" s="1"/>
  <c r="H64" i="29" s="1"/>
  <c r="I53" i="29" s="1"/>
  <c r="I62" i="29" s="1"/>
  <c r="I64" i="29" s="1"/>
  <c r="J53" i="29" s="1"/>
  <c r="J62" i="29" s="1"/>
  <c r="J64" i="29" s="1"/>
  <c r="K53" i="29" s="1"/>
  <c r="K62" i="29" s="1"/>
  <c r="K64" i="29" s="1"/>
  <c r="L53" i="29" s="1"/>
  <c r="L62" i="29" s="1"/>
  <c r="L64" i="29" s="1"/>
  <c r="M53" i="29" s="1"/>
  <c r="M62" i="29" s="1"/>
  <c r="M64" i="29" s="1"/>
  <c r="B77" i="29"/>
  <c r="B79" i="29" s="1"/>
  <c r="C68" i="29" s="1"/>
  <c r="C77" i="29" s="1"/>
  <c r="C79" i="29" s="1"/>
  <c r="D68" i="29" s="1"/>
  <c r="D77" i="29" s="1"/>
  <c r="D79" i="29" s="1"/>
  <c r="E68" i="29" s="1"/>
  <c r="E77" i="29" s="1"/>
  <c r="E79" i="29" s="1"/>
  <c r="F68" i="29" s="1"/>
  <c r="F77" i="29" s="1"/>
  <c r="F79" i="29" s="1"/>
  <c r="G68" i="29" s="1"/>
  <c r="G77" i="29" s="1"/>
  <c r="G79" i="29" s="1"/>
  <c r="H68" i="29" s="1"/>
  <c r="H77" i="29" s="1"/>
  <c r="H79" i="29" s="1"/>
  <c r="I68" i="29" s="1"/>
  <c r="I77" i="29" s="1"/>
  <c r="I79" i="29" s="1"/>
  <c r="J68" i="29" s="1"/>
  <c r="J77" i="29" s="1"/>
  <c r="J79" i="29" s="1"/>
  <c r="K68" i="29" s="1"/>
  <c r="K77" i="29" s="1"/>
  <c r="K79" i="29" s="1"/>
  <c r="L68" i="29" s="1"/>
  <c r="L77" i="29" s="1"/>
  <c r="L79" i="29"/>
  <c r="M68" i="29" s="1"/>
  <c r="M77" i="29" s="1"/>
  <c r="M79" i="29" s="1"/>
  <c r="E85" i="29"/>
  <c r="E94" i="29" s="1"/>
  <c r="E96" i="29" s="1"/>
  <c r="F85" i="29" s="1"/>
  <c r="F94" i="29" s="1"/>
  <c r="F96" i="29" s="1"/>
  <c r="G85" i="29" s="1"/>
  <c r="G94" i="29" s="1"/>
  <c r="G96" i="29" s="1"/>
  <c r="H85" i="29" s="1"/>
  <c r="H94" i="29" s="1"/>
  <c r="H96" i="29" s="1"/>
  <c r="I85" i="29" s="1"/>
  <c r="I94" i="29" s="1"/>
  <c r="I96" i="29" s="1"/>
  <c r="J85" i="29" s="1"/>
  <c r="J94" i="29" s="1"/>
  <c r="J96" i="29" s="1"/>
  <c r="K85" i="29" s="1"/>
  <c r="K94" i="29" s="1"/>
  <c r="K96" i="29" s="1"/>
  <c r="L85" i="29" s="1"/>
  <c r="L94" i="29" s="1"/>
  <c r="L96" i="29" s="1"/>
  <c r="M85" i="29" s="1"/>
  <c r="M94" i="29" s="1"/>
  <c r="M96" i="29" s="1"/>
  <c r="B94" i="29"/>
  <c r="B96" i="29" s="1"/>
  <c r="C85" i="29" s="1"/>
  <c r="C94" i="29" s="1"/>
  <c r="C96" i="29" s="1"/>
  <c r="D85" i="29" s="1"/>
  <c r="D94" i="29" s="1"/>
  <c r="D96" i="29" s="1"/>
  <c r="B14" i="171"/>
  <c r="B16" i="171" s="1"/>
  <c r="C5" i="171" s="1"/>
  <c r="C14" i="171" s="1"/>
  <c r="C16" i="171" s="1"/>
  <c r="D5" i="171" s="1"/>
  <c r="D14" i="171" s="1"/>
  <c r="D16" i="171" s="1"/>
  <c r="E5" i="171" s="1"/>
  <c r="E14" i="171" s="1"/>
  <c r="E16" i="171" s="1"/>
  <c r="F5" i="171" s="1"/>
  <c r="F14" i="171" s="1"/>
  <c r="F16" i="171" s="1"/>
  <c r="G5" i="171" s="1"/>
  <c r="G14" i="171" s="1"/>
  <c r="G16" i="171" s="1"/>
  <c r="H5" i="171" s="1"/>
  <c r="H14" i="171" s="1"/>
  <c r="H16" i="171" s="1"/>
  <c r="I5" i="171" s="1"/>
  <c r="I14" i="171" s="1"/>
  <c r="I16" i="171" s="1"/>
  <c r="J5" i="171" s="1"/>
  <c r="J14" i="171" s="1"/>
  <c r="J16" i="171" s="1"/>
  <c r="K5" i="171" s="1"/>
  <c r="K14" i="171" s="1"/>
  <c r="K16" i="171" s="1"/>
  <c r="L5" i="171" s="1"/>
  <c r="L14" i="171" s="1"/>
  <c r="L16" i="171" s="1"/>
  <c r="M5" i="171" s="1"/>
  <c r="M14" i="171" s="1"/>
  <c r="M16" i="171" s="1"/>
  <c r="B31" i="171"/>
  <c r="B33" i="171" s="1"/>
  <c r="C22" i="171" s="1"/>
  <c r="C31" i="171" s="1"/>
  <c r="C33" i="171" s="1"/>
  <c r="D22" i="171" s="1"/>
  <c r="D31" i="171" s="1"/>
  <c r="D33" i="171" s="1"/>
  <c r="E22" i="171" s="1"/>
  <c r="E31" i="171" s="1"/>
  <c r="E33" i="171" s="1"/>
  <c r="F22" i="171" s="1"/>
  <c r="F31" i="171" s="1"/>
  <c r="F33" i="171" s="1"/>
  <c r="G22" i="171" s="1"/>
  <c r="G31" i="171" s="1"/>
  <c r="G33" i="171" s="1"/>
  <c r="H22" i="171" s="1"/>
  <c r="H31" i="171" s="1"/>
  <c r="H33" i="171" s="1"/>
  <c r="I22" i="171" s="1"/>
  <c r="I31" i="171" s="1"/>
  <c r="I33" i="171" s="1"/>
  <c r="J22" i="171" s="1"/>
  <c r="J31" i="171" s="1"/>
  <c r="J33" i="171" s="1"/>
  <c r="K22" i="171" s="1"/>
  <c r="K31" i="171" s="1"/>
  <c r="K33" i="171" s="1"/>
  <c r="L22" i="171" s="1"/>
  <c r="L31" i="171" s="1"/>
  <c r="L33" i="171" s="1"/>
  <c r="M22" i="171" s="1"/>
  <c r="M31" i="171" s="1"/>
  <c r="M33" i="171" s="1"/>
  <c r="B14" i="161"/>
  <c r="D15" i="161"/>
  <c r="B16" i="161"/>
  <c r="C5" i="161" s="1"/>
  <c r="C14" i="161" s="1"/>
  <c r="C16" i="161" s="1"/>
  <c r="D5" i="161" s="1"/>
  <c r="D14" i="161" s="1"/>
  <c r="D16" i="161" s="1"/>
  <c r="E5" i="161" s="1"/>
  <c r="E14" i="161" s="1"/>
  <c r="E16" i="161" s="1"/>
  <c r="F5" i="161" s="1"/>
  <c r="F14" i="161" s="1"/>
  <c r="F16" i="161" s="1"/>
  <c r="G5" i="161" s="1"/>
  <c r="G14" i="161" s="1"/>
  <c r="G16" i="161" s="1"/>
  <c r="H5" i="161" s="1"/>
  <c r="H14" i="161" s="1"/>
  <c r="H16" i="161" s="1"/>
  <c r="I5" i="161" s="1"/>
  <c r="I14" i="161" s="1"/>
  <c r="I16" i="161" s="1"/>
  <c r="J5" i="161" s="1"/>
  <c r="J14" i="161" s="1"/>
  <c r="J16" i="161" s="1"/>
  <c r="K5" i="161" s="1"/>
  <c r="K14" i="161" s="1"/>
  <c r="K16" i="161" s="1"/>
  <c r="L5" i="161" s="1"/>
  <c r="L14" i="161" s="1"/>
  <c r="L16" i="161" s="1"/>
  <c r="M5" i="161" s="1"/>
  <c r="M14" i="161" s="1"/>
  <c r="M16" i="161" s="1"/>
  <c r="E23" i="161"/>
  <c r="B30" i="161"/>
  <c r="E31" i="161"/>
  <c r="B32" i="161"/>
  <c r="C21" i="161" s="1"/>
  <c r="C30" i="161" s="1"/>
  <c r="C32" i="161" s="1"/>
  <c r="D21" i="161" s="1"/>
  <c r="D30" i="161" s="1"/>
  <c r="D32" i="161" s="1"/>
  <c r="E21" i="161" s="1"/>
  <c r="E30" i="161" s="1"/>
  <c r="E32" i="161" s="1"/>
  <c r="F21" i="161" s="1"/>
  <c r="F30" i="161" s="1"/>
  <c r="F32" i="161" s="1"/>
  <c r="G21" i="161" s="1"/>
  <c r="G30" i="161" s="1"/>
  <c r="G32" i="161" s="1"/>
  <c r="H21" i="161" s="1"/>
  <c r="H30" i="161" s="1"/>
  <c r="H32" i="161" s="1"/>
  <c r="I21" i="161" s="1"/>
  <c r="I30" i="161" s="1"/>
  <c r="I32" i="161" s="1"/>
  <c r="J21" i="161" s="1"/>
  <c r="J30" i="161" s="1"/>
  <c r="J32" i="161" s="1"/>
  <c r="K21" i="161" s="1"/>
  <c r="K30" i="161" s="1"/>
  <c r="K32" i="161" s="1"/>
  <c r="L21" i="161" s="1"/>
  <c r="L30" i="161" s="1"/>
  <c r="L32" i="161" s="1"/>
  <c r="M21" i="161" s="1"/>
  <c r="M30" i="161" s="1"/>
  <c r="M32" i="161" s="1"/>
  <c r="B45" i="161"/>
  <c r="B47" i="161" s="1"/>
  <c r="C36" i="161" s="1"/>
  <c r="C45" i="161" s="1"/>
  <c r="C47" i="161" s="1"/>
  <c r="D36" i="161" s="1"/>
  <c r="D45" i="161" s="1"/>
  <c r="D47" i="161" s="1"/>
  <c r="E36" i="161" s="1"/>
  <c r="E45" i="161" s="1"/>
  <c r="E47" i="161" s="1"/>
  <c r="F36" i="161" s="1"/>
  <c r="F45" i="161" s="1"/>
  <c r="F47" i="161" s="1"/>
  <c r="G36" i="161" s="1"/>
  <c r="G45" i="161" s="1"/>
  <c r="G47" i="161" s="1"/>
  <c r="H36" i="161" s="1"/>
  <c r="H45" i="161" s="1"/>
  <c r="H47" i="161" s="1"/>
  <c r="I36" i="161" s="1"/>
  <c r="I45" i="161" s="1"/>
  <c r="I47" i="161" s="1"/>
  <c r="J36" i="161" s="1"/>
  <c r="J45" i="161" s="1"/>
  <c r="J47" i="161" s="1"/>
  <c r="K36" i="161" s="1"/>
  <c r="K45" i="161" s="1"/>
  <c r="K47" i="161" s="1"/>
  <c r="L36" i="161" s="1"/>
  <c r="L45" i="161" s="1"/>
  <c r="L47" i="161" s="1"/>
  <c r="M36" i="161" s="1"/>
  <c r="M45" i="161" s="1"/>
  <c r="M47" i="161" s="1"/>
  <c r="F46" i="161"/>
  <c r="J46" i="161"/>
  <c r="B15" i="22"/>
  <c r="B17" i="22" s="1"/>
  <c r="C6" i="22" s="1"/>
  <c r="C15" i="22" s="1"/>
  <c r="C17" i="22" s="1"/>
  <c r="D6" i="22" s="1"/>
  <c r="D15" i="22" s="1"/>
  <c r="D17" i="22" s="1"/>
  <c r="E6" i="22" s="1"/>
  <c r="E15" i="22" s="1"/>
  <c r="E17" i="22" s="1"/>
  <c r="F6" i="22" s="1"/>
  <c r="F15" i="22" s="1"/>
  <c r="F17" i="22" s="1"/>
  <c r="G6" i="22" s="1"/>
  <c r="G15" i="22" s="1"/>
  <c r="G17" i="22" s="1"/>
  <c r="H6" i="22" s="1"/>
  <c r="H15" i="22" s="1"/>
  <c r="H17" i="22" s="1"/>
  <c r="I6" i="22" s="1"/>
  <c r="I15" i="22" s="1"/>
  <c r="I17" i="22" s="1"/>
  <c r="J6" i="22" s="1"/>
  <c r="J15" i="22" s="1"/>
  <c r="J17" i="22" s="1"/>
  <c r="K6" i="22" s="1"/>
  <c r="K15" i="22" s="1"/>
  <c r="K17" i="22" s="1"/>
  <c r="L6" i="22" s="1"/>
  <c r="L15" i="22" s="1"/>
  <c r="L17" i="22" s="1"/>
  <c r="M6" i="22" s="1"/>
  <c r="M15" i="22" s="1"/>
  <c r="M17" i="22" s="1"/>
  <c r="B32" i="22"/>
  <c r="B34" i="22" s="1"/>
  <c r="C23" i="22" s="1"/>
  <c r="C32" i="22" s="1"/>
  <c r="C34" i="22" s="1"/>
  <c r="D23" i="22" s="1"/>
  <c r="D32" i="22" s="1"/>
  <c r="D34" i="22" s="1"/>
  <c r="E23" i="22" s="1"/>
  <c r="E32" i="22" s="1"/>
  <c r="E34" i="22" s="1"/>
  <c r="F23" i="22" s="1"/>
  <c r="F32" i="22" s="1"/>
  <c r="F34" i="22" s="1"/>
  <c r="G23" i="22" s="1"/>
  <c r="G32" i="22" s="1"/>
  <c r="G34" i="22" s="1"/>
  <c r="H23" i="22" s="1"/>
  <c r="H32" i="22" s="1"/>
  <c r="H34" i="22" s="1"/>
  <c r="I23" i="22" s="1"/>
  <c r="I32" i="22" s="1"/>
  <c r="I34" i="22" s="1"/>
  <c r="J23" i="22" s="1"/>
  <c r="J32" i="22" s="1"/>
  <c r="J34" i="22" s="1"/>
  <c r="K23" i="22" s="1"/>
  <c r="K32" i="22" s="1"/>
  <c r="K34" i="22" s="1"/>
  <c r="L23" i="22" s="1"/>
  <c r="L32" i="22" s="1"/>
  <c r="L34" i="22" s="1"/>
  <c r="M23" i="22" s="1"/>
  <c r="M32" i="22" s="1"/>
  <c r="M34" i="22" s="1"/>
  <c r="B16" i="34"/>
  <c r="B18" i="34" s="1"/>
  <c r="C7" i="34" s="1"/>
  <c r="C16" i="34" s="1"/>
  <c r="C18" i="34" s="1"/>
  <c r="D7" i="34" s="1"/>
  <c r="D16" i="34" s="1"/>
  <c r="D18" i="34" s="1"/>
  <c r="E7" i="34" s="1"/>
  <c r="E16" i="34" s="1"/>
  <c r="E18" i="34" s="1"/>
  <c r="F7" i="34" s="1"/>
  <c r="F16" i="34" s="1"/>
  <c r="F18" i="34" s="1"/>
  <c r="G7" i="34" s="1"/>
  <c r="G16" i="34" s="1"/>
  <c r="G18" i="34" s="1"/>
  <c r="H7" i="34" s="1"/>
  <c r="H16" i="34" s="1"/>
  <c r="H18" i="34" s="1"/>
  <c r="I7" i="34" s="1"/>
  <c r="I16" i="34" s="1"/>
  <c r="I18" i="34" s="1"/>
  <c r="J7" i="34" s="1"/>
  <c r="J16" i="34" s="1"/>
  <c r="J18" i="34" s="1"/>
  <c r="K7" i="34" s="1"/>
  <c r="K16" i="34" s="1"/>
  <c r="K18" i="34" s="1"/>
  <c r="L7" i="34" s="1"/>
  <c r="L16" i="34" s="1"/>
  <c r="L18" i="34" s="1"/>
  <c r="M7" i="34" s="1"/>
  <c r="M16" i="34" s="1"/>
  <c r="M18" i="34" s="1"/>
  <c r="B34" i="34"/>
  <c r="B36" i="34"/>
  <c r="C25" i="34"/>
  <c r="C34" i="34"/>
  <c r="C36" i="34" s="1"/>
  <c r="D25" i="34" s="1"/>
  <c r="D34" i="34" s="1"/>
  <c r="D36" i="34" s="1"/>
  <c r="E25" i="34" s="1"/>
  <c r="E34" i="34" s="1"/>
  <c r="E36" i="34" s="1"/>
  <c r="F25" i="34" s="1"/>
  <c r="F34" i="34" s="1"/>
  <c r="F36" i="34" s="1"/>
  <c r="G25" i="34" s="1"/>
  <c r="G34" i="34" s="1"/>
  <c r="G36" i="34" s="1"/>
  <c r="H25" i="34" s="1"/>
  <c r="H34" i="34" s="1"/>
  <c r="H36" i="34" s="1"/>
  <c r="I25" i="34" s="1"/>
  <c r="I34" i="34" s="1"/>
  <c r="I36" i="34" s="1"/>
  <c r="J25" i="34" s="1"/>
  <c r="J34" i="34" s="1"/>
  <c r="J36" i="34" s="1"/>
  <c r="K25" i="34" s="1"/>
  <c r="K34" i="34" s="1"/>
  <c r="K36" i="34" s="1"/>
  <c r="L25" i="34" s="1"/>
  <c r="L34" i="34" s="1"/>
  <c r="L36" i="34" s="1"/>
  <c r="M25" i="34" s="1"/>
  <c r="M34" i="34" s="1"/>
  <c r="M36" i="34" s="1"/>
  <c r="B12" i="93"/>
  <c r="B14" i="93" s="1"/>
  <c r="C3" i="93" s="1"/>
  <c r="C12" i="93" s="1"/>
  <c r="C14" i="93" s="1"/>
  <c r="D3" i="93" s="1"/>
  <c r="D12" i="93" s="1"/>
  <c r="D14" i="93" s="1"/>
  <c r="E3" i="93" s="1"/>
  <c r="E12" i="93" s="1"/>
  <c r="E14" i="93" s="1"/>
  <c r="F3" i="93" s="1"/>
  <c r="F12" i="93" s="1"/>
  <c r="F14" i="93" s="1"/>
  <c r="G3" i="93" s="1"/>
  <c r="G12" i="93" s="1"/>
  <c r="G14" i="93" s="1"/>
  <c r="H3" i="93" s="1"/>
  <c r="H12" i="93" s="1"/>
  <c r="H14" i="93" s="1"/>
  <c r="I3" i="93" s="1"/>
  <c r="I12" i="93" s="1"/>
  <c r="I14" i="93" s="1"/>
  <c r="J3" i="93" s="1"/>
  <c r="J12" i="93" s="1"/>
  <c r="J14" i="93" s="1"/>
  <c r="K3" i="93" s="1"/>
  <c r="K12" i="93" s="1"/>
  <c r="K14" i="93" s="1"/>
  <c r="L3" i="93" s="1"/>
  <c r="L12" i="93" s="1"/>
  <c r="L14" i="93" s="1"/>
  <c r="M3" i="93" s="1"/>
  <c r="M12" i="93" s="1"/>
  <c r="M14" i="93" s="1"/>
  <c r="B29" i="93"/>
  <c r="B31" i="93"/>
  <c r="C20" i="93" s="1"/>
  <c r="C29" i="93" s="1"/>
  <c r="C31" i="93" s="1"/>
  <c r="D20" i="93" s="1"/>
  <c r="D29" i="93" s="1"/>
  <c r="D31" i="93" s="1"/>
  <c r="E20" i="93" s="1"/>
  <c r="E29" i="93" s="1"/>
  <c r="E31" i="93" s="1"/>
  <c r="F20" i="93" s="1"/>
  <c r="F29" i="93" s="1"/>
  <c r="F31" i="93" s="1"/>
  <c r="G20" i="93" s="1"/>
  <c r="G29" i="93" s="1"/>
  <c r="G31" i="93" s="1"/>
  <c r="H20" i="93" s="1"/>
  <c r="H29" i="93" s="1"/>
  <c r="H31" i="93" s="1"/>
  <c r="I20" i="93" s="1"/>
  <c r="I29" i="93" s="1"/>
  <c r="I31" i="93" s="1"/>
  <c r="J20" i="93" s="1"/>
  <c r="J29" i="93" s="1"/>
  <c r="J31" i="93" s="1"/>
  <c r="K20" i="93" s="1"/>
  <c r="K29" i="93" s="1"/>
  <c r="K31" i="93" s="1"/>
  <c r="L20" i="93" s="1"/>
  <c r="L29" i="93" s="1"/>
  <c r="L31" i="93" s="1"/>
  <c r="M20" i="93" s="1"/>
  <c r="M29" i="93" s="1"/>
  <c r="M31" i="93" s="1"/>
  <c r="B14" i="24"/>
  <c r="C14" i="24"/>
  <c r="D14" i="24"/>
  <c r="E14" i="24"/>
  <c r="F14" i="24"/>
  <c r="G14" i="24"/>
  <c r="H14" i="24"/>
  <c r="I14" i="24"/>
  <c r="J14" i="24"/>
  <c r="K14" i="24"/>
  <c r="L14" i="24"/>
  <c r="M14" i="24"/>
  <c r="B16" i="24"/>
  <c r="L16" i="24"/>
  <c r="C17" i="24"/>
  <c r="D17" i="24"/>
  <c r="E17" i="24"/>
  <c r="F17" i="24"/>
  <c r="G17" i="24" s="1"/>
  <c r="H17" i="24" s="1"/>
  <c r="I17" i="24" s="1"/>
  <c r="J17" i="24" s="1"/>
  <c r="K17" i="24" s="1"/>
  <c r="L17" i="24" s="1"/>
  <c r="B31" i="24"/>
  <c r="B33" i="24" s="1"/>
  <c r="C22" i="24" s="1"/>
  <c r="C31" i="24" s="1"/>
  <c r="C33" i="24" s="1"/>
  <c r="D22" i="24" s="1"/>
  <c r="D31" i="24" s="1"/>
  <c r="D33" i="24" s="1"/>
  <c r="E22" i="24" s="1"/>
  <c r="E31" i="24" s="1"/>
  <c r="E33" i="24" s="1"/>
  <c r="F22" i="24" s="1"/>
  <c r="F31" i="24" s="1"/>
  <c r="F33" i="24" s="1"/>
  <c r="G22" i="24" s="1"/>
  <c r="G31" i="24" s="1"/>
  <c r="G33" i="24" s="1"/>
  <c r="H22" i="24" s="1"/>
  <c r="H31" i="24" s="1"/>
  <c r="H33" i="24" s="1"/>
  <c r="I22" i="24" s="1"/>
  <c r="I31" i="24" s="1"/>
  <c r="I33" i="24" s="1"/>
  <c r="J22" i="24" s="1"/>
  <c r="J31" i="24" s="1"/>
  <c r="J33" i="24" s="1"/>
  <c r="K22" i="24" s="1"/>
  <c r="K31" i="24" s="1"/>
  <c r="K33" i="24" s="1"/>
  <c r="L22" i="24" s="1"/>
  <c r="L31" i="24" s="1"/>
  <c r="L33" i="24" s="1"/>
  <c r="M22" i="24" s="1"/>
  <c r="M31" i="24" s="1"/>
  <c r="M33" i="24" s="1"/>
  <c r="K6" i="37"/>
  <c r="B19" i="37"/>
  <c r="B21" i="37"/>
  <c r="C10" i="37" s="1"/>
  <c r="C19" i="37" s="1"/>
  <c r="C21" i="37" s="1"/>
  <c r="D10" i="37" s="1"/>
  <c r="D19" i="37" s="1"/>
  <c r="D21" i="37" s="1"/>
  <c r="E10" i="37" s="1"/>
  <c r="E19" i="37" s="1"/>
  <c r="E21" i="37" s="1"/>
  <c r="F10" i="37" s="1"/>
  <c r="F19" i="37" s="1"/>
  <c r="F21" i="37" s="1"/>
  <c r="G10" i="37" s="1"/>
  <c r="G19" i="37" s="1"/>
  <c r="G21" i="37" s="1"/>
  <c r="H10" i="37" s="1"/>
  <c r="H19" i="37" s="1"/>
  <c r="H21" i="37" s="1"/>
  <c r="I10" i="37" s="1"/>
  <c r="I19" i="37" s="1"/>
  <c r="I21" i="37" s="1"/>
  <c r="J10" i="37" s="1"/>
  <c r="J19" i="37" s="1"/>
  <c r="J21" i="37" s="1"/>
  <c r="K10" i="37" s="1"/>
  <c r="K19" i="37" s="1"/>
  <c r="K21" i="37" s="1"/>
  <c r="L10" i="37" s="1"/>
  <c r="L19" i="37" s="1"/>
  <c r="L21" i="37" s="1"/>
  <c r="M10" i="37" s="1"/>
  <c r="M19" i="37" s="1"/>
  <c r="M21" i="37" s="1"/>
  <c r="B36" i="37"/>
  <c r="B38" i="37" s="1"/>
  <c r="C27" i="37" s="1"/>
  <c r="C36" i="37" s="1"/>
  <c r="C38" i="37" s="1"/>
  <c r="D27" i="37" s="1"/>
  <c r="D36" i="37" s="1"/>
  <c r="D38" i="37" s="1"/>
  <c r="E27" i="37" s="1"/>
  <c r="E36" i="37" s="1"/>
  <c r="E38" i="37" s="1"/>
  <c r="F27" i="37" s="1"/>
  <c r="F36" i="37" s="1"/>
  <c r="F38" i="37" s="1"/>
  <c r="G27" i="37" s="1"/>
  <c r="G36" i="37" s="1"/>
  <c r="G38" i="37" s="1"/>
  <c r="H27" i="37" s="1"/>
  <c r="H36" i="37" s="1"/>
  <c r="H38" i="37" s="1"/>
  <c r="I27" i="37" s="1"/>
  <c r="I36" i="37" s="1"/>
  <c r="I38" i="37" s="1"/>
  <c r="J27" i="37" s="1"/>
  <c r="J36" i="37" s="1"/>
  <c r="J38" i="37" s="1"/>
  <c r="K27" i="37" s="1"/>
  <c r="K36" i="37" s="1"/>
  <c r="K38" i="37" s="1"/>
  <c r="L27" i="37" s="1"/>
  <c r="L36" i="37" s="1"/>
  <c r="L38" i="37" s="1"/>
  <c r="M27" i="37" s="1"/>
  <c r="M36" i="37" s="1"/>
  <c r="M38" i="37" s="1"/>
  <c r="B54" i="37"/>
  <c r="B56" i="37"/>
  <c r="C45" i="37" s="1"/>
  <c r="C54" i="37" s="1"/>
  <c r="C56" i="37" s="1"/>
  <c r="D45" i="37" s="1"/>
  <c r="D54" i="37" s="1"/>
  <c r="D56" i="37" s="1"/>
  <c r="E45" i="37" s="1"/>
  <c r="E54" i="37" s="1"/>
  <c r="E56" i="37" s="1"/>
  <c r="F45" i="37" s="1"/>
  <c r="F54" i="37" s="1"/>
  <c r="F56" i="37" s="1"/>
  <c r="G45" i="37" s="1"/>
  <c r="G54" i="37" s="1"/>
  <c r="G56" i="37" s="1"/>
  <c r="H45" i="37" s="1"/>
  <c r="H54" i="37" s="1"/>
  <c r="H56" i="37" s="1"/>
  <c r="I45" i="37" s="1"/>
  <c r="I54" i="37" s="1"/>
  <c r="I56" i="37" s="1"/>
  <c r="J45" i="37" s="1"/>
  <c r="J54" i="37" s="1"/>
  <c r="J56" i="37" s="1"/>
  <c r="K45" i="37" s="1"/>
  <c r="K54" i="37" s="1"/>
  <c r="K56" i="37" s="1"/>
  <c r="L45" i="37" s="1"/>
  <c r="L54" i="37" s="1"/>
  <c r="L56" i="37" s="1"/>
  <c r="M45" i="37" s="1"/>
  <c r="M54" i="37" s="1"/>
  <c r="M56" i="37" s="1"/>
  <c r="B14" i="23"/>
  <c r="B16" i="23" s="1"/>
  <c r="C14" i="23"/>
  <c r="D14" i="23"/>
  <c r="E14" i="23"/>
  <c r="F14" i="23"/>
  <c r="G14" i="23"/>
  <c r="H14" i="23"/>
  <c r="I14" i="23"/>
  <c r="J14" i="23"/>
  <c r="K14" i="23"/>
  <c r="L14" i="23"/>
  <c r="M14" i="23"/>
  <c r="C17" i="23"/>
  <c r="D17" i="23" s="1"/>
  <c r="E17" i="23" s="1"/>
  <c r="F17" i="23" s="1"/>
  <c r="G17" i="23" s="1"/>
  <c r="H17" i="23" s="1"/>
  <c r="I17" i="23" s="1"/>
  <c r="J17" i="23" s="1"/>
  <c r="K17" i="23" s="1"/>
  <c r="L17" i="23" s="1"/>
  <c r="M17" i="23" s="1"/>
  <c r="B15" i="19"/>
  <c r="B17" i="19" s="1"/>
  <c r="C6" i="19" s="1"/>
  <c r="C15" i="19" s="1"/>
  <c r="C17" i="19" s="1"/>
  <c r="D6" i="19" s="1"/>
  <c r="D15" i="19" s="1"/>
  <c r="D17" i="19"/>
  <c r="E6" i="19"/>
  <c r="E15" i="19" s="1"/>
  <c r="E17" i="19" s="1"/>
  <c r="F6" i="19" s="1"/>
  <c r="F15" i="19" s="1"/>
  <c r="F17" i="19" s="1"/>
  <c r="G6" i="19" s="1"/>
  <c r="G15" i="19" s="1"/>
  <c r="G17" i="19" s="1"/>
  <c r="H6" i="19" s="1"/>
  <c r="H15" i="19" s="1"/>
  <c r="H17" i="19" s="1"/>
  <c r="I6" i="19" s="1"/>
  <c r="I15" i="19" s="1"/>
  <c r="I17" i="19" s="1"/>
  <c r="J6" i="19" s="1"/>
  <c r="J15" i="19" s="1"/>
  <c r="J17" i="19" s="1"/>
  <c r="K6" i="19" s="1"/>
  <c r="K15" i="19" s="1"/>
  <c r="K17" i="19" s="1"/>
  <c r="L6" i="19" s="1"/>
  <c r="L15" i="19" s="1"/>
  <c r="L17" i="19" s="1"/>
  <c r="M6" i="19" s="1"/>
  <c r="M15" i="19" s="1"/>
  <c r="M17" i="19" s="1"/>
  <c r="C21" i="19"/>
  <c r="C30" i="19" s="1"/>
  <c r="C32" i="19" s="1"/>
  <c r="D21" i="19" s="1"/>
  <c r="D30" i="19" s="1"/>
  <c r="D32" i="19" s="1"/>
  <c r="E21" i="19" s="1"/>
  <c r="E30" i="19" s="1"/>
  <c r="E32" i="19" s="1"/>
  <c r="F21" i="19" s="1"/>
  <c r="F30" i="19" s="1"/>
  <c r="F32" i="19" s="1"/>
  <c r="G21" i="19" s="1"/>
  <c r="G30" i="19" s="1"/>
  <c r="G32" i="19" s="1"/>
  <c r="H21" i="19" s="1"/>
  <c r="H30" i="19" s="1"/>
  <c r="H32" i="19" s="1"/>
  <c r="I21" i="19" s="1"/>
  <c r="I30" i="19" s="1"/>
  <c r="I32" i="19" s="1"/>
  <c r="J21" i="19" s="1"/>
  <c r="J30" i="19" s="1"/>
  <c r="J32" i="19" s="1"/>
  <c r="K21" i="19" s="1"/>
  <c r="K30" i="19" s="1"/>
  <c r="K32" i="19" s="1"/>
  <c r="L21" i="19" s="1"/>
  <c r="L30" i="19" s="1"/>
  <c r="L32" i="19" s="1"/>
  <c r="M21" i="19" s="1"/>
  <c r="M30" i="19" s="1"/>
  <c r="M32" i="19" s="1"/>
  <c r="B30" i="19"/>
  <c r="B32" i="19"/>
  <c r="B14" i="174"/>
  <c r="B16" i="174"/>
  <c r="C5" i="174" s="1"/>
  <c r="C14" i="174" s="1"/>
  <c r="C16" i="174" s="1"/>
  <c r="D5" i="174" s="1"/>
  <c r="D14" i="174" s="1"/>
  <c r="D16" i="174" s="1"/>
  <c r="E5" i="174" s="1"/>
  <c r="E14" i="174" s="1"/>
  <c r="E16" i="174" s="1"/>
  <c r="F5" i="174" s="1"/>
  <c r="F14" i="174" s="1"/>
  <c r="F16" i="174" s="1"/>
  <c r="G5" i="174" s="1"/>
  <c r="G14" i="174" s="1"/>
  <c r="G16" i="174" s="1"/>
  <c r="H5" i="174" s="1"/>
  <c r="H14" i="174" s="1"/>
  <c r="H16" i="174" s="1"/>
  <c r="I5" i="174" s="1"/>
  <c r="I14" i="174" s="1"/>
  <c r="I16" i="174" s="1"/>
  <c r="J5" i="174" s="1"/>
  <c r="J14" i="174" s="1"/>
  <c r="J16" i="174" s="1"/>
  <c r="K5" i="174" s="1"/>
  <c r="K14" i="174" s="1"/>
  <c r="K16" i="174" s="1"/>
  <c r="L5" i="174" s="1"/>
  <c r="L14" i="174" s="1"/>
  <c r="L16" i="174" s="1"/>
  <c r="M5" i="174" s="1"/>
  <c r="M14" i="174" s="1"/>
  <c r="M16" i="174" s="1"/>
  <c r="B31" i="174"/>
  <c r="B33" i="174" s="1"/>
  <c r="C22" i="174" s="1"/>
  <c r="C31" i="174"/>
  <c r="C33" i="174" s="1"/>
  <c r="D22" i="174" s="1"/>
  <c r="D31" i="174" s="1"/>
  <c r="D33" i="174" s="1"/>
  <c r="E22" i="174" s="1"/>
  <c r="E31" i="174" s="1"/>
  <c r="E33" i="174" s="1"/>
  <c r="F22" i="174" s="1"/>
  <c r="F31" i="174" s="1"/>
  <c r="F33" i="174" s="1"/>
  <c r="G22" i="174" s="1"/>
  <c r="G31" i="174" s="1"/>
  <c r="G33" i="174" s="1"/>
  <c r="H22" i="174" s="1"/>
  <c r="H31" i="174" s="1"/>
  <c r="H33" i="174" s="1"/>
  <c r="I22" i="174" s="1"/>
  <c r="I31" i="174" s="1"/>
  <c r="I33" i="174" s="1"/>
  <c r="J22" i="174" s="1"/>
  <c r="J31" i="174" s="1"/>
  <c r="J33" i="174" s="1"/>
  <c r="K22" i="174" s="1"/>
  <c r="K31" i="174" s="1"/>
  <c r="K33" i="174" s="1"/>
  <c r="L22" i="174" s="1"/>
  <c r="L31" i="174" s="1"/>
  <c r="L33" i="174" s="1"/>
  <c r="M22" i="174" s="1"/>
  <c r="M31" i="174" s="1"/>
  <c r="M33" i="174" s="1"/>
  <c r="B48" i="174"/>
  <c r="C48" i="174"/>
  <c r="D48" i="174"/>
  <c r="E48" i="174"/>
  <c r="F48" i="174"/>
  <c r="G48" i="174"/>
  <c r="H48" i="174"/>
  <c r="I48" i="174"/>
  <c r="J48" i="174"/>
  <c r="K48" i="174"/>
  <c r="L48" i="174"/>
  <c r="M48" i="174"/>
  <c r="B13" i="147"/>
  <c r="B15" i="147" s="1"/>
  <c r="C4" i="147" s="1"/>
  <c r="C13" i="147" s="1"/>
  <c r="C15" i="147" s="1"/>
  <c r="D4" i="147" s="1"/>
  <c r="D13" i="147" s="1"/>
  <c r="D15" i="147" s="1"/>
  <c r="E4" i="147" s="1"/>
  <c r="E13" i="147" s="1"/>
  <c r="E15" i="147" s="1"/>
  <c r="F4" i="147" s="1"/>
  <c r="F13" i="147" s="1"/>
  <c r="F15" i="147" s="1"/>
  <c r="G4" i="147" s="1"/>
  <c r="G13" i="147" s="1"/>
  <c r="G15" i="147" s="1"/>
  <c r="H4" i="147" s="1"/>
  <c r="H13" i="147" s="1"/>
  <c r="H15" i="147" s="1"/>
  <c r="I4" i="147" s="1"/>
  <c r="I13" i="147" s="1"/>
  <c r="I15" i="147" s="1"/>
  <c r="J4" i="147" s="1"/>
  <c r="J13" i="147" s="1"/>
  <c r="J15" i="147" s="1"/>
  <c r="K4" i="147" s="1"/>
  <c r="K13" i="147" s="1"/>
  <c r="K15" i="147" s="1"/>
  <c r="L4" i="147" s="1"/>
  <c r="L13" i="147" s="1"/>
  <c r="L15" i="147" s="1"/>
  <c r="M4" i="147" s="1"/>
  <c r="M13" i="147" s="1"/>
  <c r="M15" i="147" s="1"/>
  <c r="B28" i="147"/>
  <c r="B30" i="147"/>
  <c r="C19" i="147" s="1"/>
  <c r="C28" i="147" s="1"/>
  <c r="C30" i="147" s="1"/>
  <c r="D19" i="147" s="1"/>
  <c r="D28" i="147" s="1"/>
  <c r="D30" i="147" s="1"/>
  <c r="E19" i="147" s="1"/>
  <c r="E28" i="147" s="1"/>
  <c r="E30" i="147" s="1"/>
  <c r="F19" i="147" s="1"/>
  <c r="F28" i="147" s="1"/>
  <c r="F30" i="147" s="1"/>
  <c r="G19" i="147" s="1"/>
  <c r="G28" i="147" s="1"/>
  <c r="G30" i="147" s="1"/>
  <c r="H19" i="147" s="1"/>
  <c r="H28" i="147" s="1"/>
  <c r="H30" i="147" s="1"/>
  <c r="I19" i="147" s="1"/>
  <c r="I28" i="147" s="1"/>
  <c r="I30" i="147" s="1"/>
  <c r="J19" i="147" s="1"/>
  <c r="J28" i="147" s="1"/>
  <c r="J30" i="147" s="1"/>
  <c r="K19" i="147" s="1"/>
  <c r="K28" i="147" s="1"/>
  <c r="K30" i="147" s="1"/>
  <c r="L19" i="147" s="1"/>
  <c r="L28" i="147" s="1"/>
  <c r="L30" i="147" s="1"/>
  <c r="M19" i="147" s="1"/>
  <c r="M28" i="147" s="1"/>
  <c r="M30" i="147" s="1"/>
  <c r="B16" i="25"/>
  <c r="B18" i="25"/>
  <c r="C7" i="25" s="1"/>
  <c r="C16" i="25" s="1"/>
  <c r="C18" i="25" s="1"/>
  <c r="D7" i="25" s="1"/>
  <c r="D16" i="25" s="1"/>
  <c r="D18" i="25" s="1"/>
  <c r="E7" i="25" s="1"/>
  <c r="E16" i="25" s="1"/>
  <c r="E18" i="25" s="1"/>
  <c r="F7" i="25" s="1"/>
  <c r="F16" i="25" s="1"/>
  <c r="F18" i="25" s="1"/>
  <c r="G7" i="25" s="1"/>
  <c r="G16" i="25" s="1"/>
  <c r="G18" i="25" s="1"/>
  <c r="H7" i="25" s="1"/>
  <c r="H16" i="25" s="1"/>
  <c r="H18" i="25" s="1"/>
  <c r="I7" i="25" s="1"/>
  <c r="I16" i="25" s="1"/>
  <c r="I18" i="25" s="1"/>
  <c r="J7" i="25" s="1"/>
  <c r="J16" i="25" s="1"/>
  <c r="J18" i="25" s="1"/>
  <c r="K7" i="25" s="1"/>
  <c r="K16" i="25" s="1"/>
  <c r="K18" i="25" s="1"/>
  <c r="L7" i="25" s="1"/>
  <c r="L16" i="25" s="1"/>
  <c r="L18" i="25" s="1"/>
  <c r="M7" i="25" s="1"/>
  <c r="M16" i="25" s="1"/>
  <c r="M18" i="25" s="1"/>
  <c r="B32" i="25"/>
  <c r="B34" i="25"/>
  <c r="C23" i="25"/>
  <c r="C32" i="25" s="1"/>
  <c r="C34" i="25"/>
  <c r="D23" i="25" s="1"/>
  <c r="D32" i="25" s="1"/>
  <c r="D34" i="25" s="1"/>
  <c r="E23" i="25" s="1"/>
  <c r="E32" i="25" s="1"/>
  <c r="E34" i="25" s="1"/>
  <c r="F23" i="25" s="1"/>
  <c r="F32" i="25" s="1"/>
  <c r="F34" i="25" s="1"/>
  <c r="G23" i="25" s="1"/>
  <c r="G32" i="25" s="1"/>
  <c r="G34" i="25" s="1"/>
  <c r="H23" i="25" s="1"/>
  <c r="H32" i="25" s="1"/>
  <c r="H34" i="25" s="1"/>
  <c r="I23" i="25" s="1"/>
  <c r="I32" i="25" s="1"/>
  <c r="I34" i="25" s="1"/>
  <c r="J23" i="25" s="1"/>
  <c r="J32" i="25" s="1"/>
  <c r="J34" i="25" s="1"/>
  <c r="K23" i="25" s="1"/>
  <c r="K32" i="25" s="1"/>
  <c r="K34" i="25" s="1"/>
  <c r="L23" i="25" s="1"/>
  <c r="L32" i="25" s="1"/>
  <c r="L34" i="25" s="1"/>
  <c r="M23" i="25" s="1"/>
  <c r="M32" i="25" s="1"/>
  <c r="M34" i="25" s="1"/>
  <c r="B50" i="25"/>
  <c r="B52" i="25" s="1"/>
  <c r="C41" i="25" s="1"/>
  <c r="C50" i="25" s="1"/>
  <c r="C52" i="25" s="1"/>
  <c r="D41" i="25" s="1"/>
  <c r="D50" i="25" s="1"/>
  <c r="D52" i="25" s="1"/>
  <c r="E41" i="25" s="1"/>
  <c r="E50" i="25" s="1"/>
  <c r="E52" i="25" s="1"/>
  <c r="F41" i="25" s="1"/>
  <c r="F50" i="25" s="1"/>
  <c r="F52" i="25" s="1"/>
  <c r="G41" i="25" s="1"/>
  <c r="G50" i="25" s="1"/>
  <c r="G52" i="25" s="1"/>
  <c r="H41" i="25" s="1"/>
  <c r="H50" i="25" s="1"/>
  <c r="H52" i="25" s="1"/>
  <c r="I41" i="25" s="1"/>
  <c r="I50" i="25" s="1"/>
  <c r="I52" i="25" s="1"/>
  <c r="J41" i="25" s="1"/>
  <c r="J50" i="25" s="1"/>
  <c r="J52" i="25" s="1"/>
  <c r="K41" i="25" s="1"/>
  <c r="K50" i="25" s="1"/>
  <c r="K52" i="25" s="1"/>
  <c r="L41" i="25" s="1"/>
  <c r="L50" i="25" s="1"/>
  <c r="L52" i="25" s="1"/>
  <c r="M41" i="25" s="1"/>
  <c r="M50" i="25" s="1"/>
  <c r="M52" i="25" s="1"/>
  <c r="B12" i="152"/>
  <c r="B14" i="152" s="1"/>
  <c r="C3" i="152" s="1"/>
  <c r="C12" i="152" s="1"/>
  <c r="C14" i="152" s="1"/>
  <c r="D3" i="152" s="1"/>
  <c r="D12" i="152" s="1"/>
  <c r="D14" i="152" s="1"/>
  <c r="E3" i="152" s="1"/>
  <c r="E12" i="152"/>
  <c r="E14" i="152" s="1"/>
  <c r="F3" i="152" s="1"/>
  <c r="F12" i="152" s="1"/>
  <c r="F14" i="152" s="1"/>
  <c r="G3" i="152" s="1"/>
  <c r="G12" i="152" s="1"/>
  <c r="G14" i="152" s="1"/>
  <c r="H3" i="152" s="1"/>
  <c r="H12" i="152" s="1"/>
  <c r="H14" i="152" s="1"/>
  <c r="I3" i="152" s="1"/>
  <c r="I12" i="152" s="1"/>
  <c r="I14" i="152" s="1"/>
  <c r="J3" i="152" s="1"/>
  <c r="J12" i="152" s="1"/>
  <c r="J14" i="152" s="1"/>
  <c r="K3" i="152" s="1"/>
  <c r="K12" i="152" s="1"/>
  <c r="K14" i="152" s="1"/>
  <c r="L3" i="152" s="1"/>
  <c r="L12" i="152" s="1"/>
  <c r="L14" i="152" s="1"/>
  <c r="M3" i="152" s="1"/>
  <c r="M12" i="152" s="1"/>
  <c r="M14" i="152" s="1"/>
  <c r="D21" i="152"/>
  <c r="D30" i="152" s="1"/>
  <c r="D32" i="152" s="1"/>
  <c r="E21" i="152" s="1"/>
  <c r="E30" i="152" s="1"/>
  <c r="E32" i="152" s="1"/>
  <c r="F21" i="152"/>
  <c r="F30" i="152" s="1"/>
  <c r="F32" i="152" s="1"/>
  <c r="G21" i="152" s="1"/>
  <c r="G30" i="152" s="1"/>
  <c r="G32" i="152" s="1"/>
  <c r="H21" i="152" s="1"/>
  <c r="H30" i="152" s="1"/>
  <c r="H32" i="152" s="1"/>
  <c r="I21" i="152" s="1"/>
  <c r="I30" i="152" s="1"/>
  <c r="I32" i="152" s="1"/>
  <c r="J21" i="152" s="1"/>
  <c r="J30" i="152" s="1"/>
  <c r="J32" i="152" s="1"/>
  <c r="K21" i="152" s="1"/>
  <c r="K30" i="152" s="1"/>
  <c r="K32" i="152" s="1"/>
  <c r="L21" i="152" s="1"/>
  <c r="L30" i="152" s="1"/>
  <c r="L32" i="152" s="1"/>
  <c r="M21" i="152" s="1"/>
  <c r="M30" i="152" s="1"/>
  <c r="M32" i="152" s="1"/>
  <c r="B30" i="152"/>
  <c r="B32" i="152" s="1"/>
  <c r="C21" i="152" s="1"/>
  <c r="C30" i="152" s="1"/>
  <c r="M13" i="172"/>
  <c r="B14" i="172"/>
  <c r="B16" i="172" s="1"/>
  <c r="C5" i="172" s="1"/>
  <c r="C14" i="172" s="1"/>
  <c r="C16" i="172" s="1"/>
  <c r="D5" i="172" s="1"/>
  <c r="D14" i="172" s="1"/>
  <c r="D16" i="172" s="1"/>
  <c r="E5" i="172" s="1"/>
  <c r="E14" i="172" s="1"/>
  <c r="E16" i="172" s="1"/>
  <c r="F5" i="172" s="1"/>
  <c r="F14" i="172" s="1"/>
  <c r="F16" i="172" s="1"/>
  <c r="G5" i="172" s="1"/>
  <c r="G14" i="172" s="1"/>
  <c r="G16" i="172" s="1"/>
  <c r="H5" i="172" s="1"/>
  <c r="H14" i="172" s="1"/>
  <c r="H16" i="172"/>
  <c r="I5" i="172" s="1"/>
  <c r="I14" i="172" s="1"/>
  <c r="I16" i="172" s="1"/>
  <c r="J5" i="172" s="1"/>
  <c r="J14" i="172" s="1"/>
  <c r="J16" i="172" s="1"/>
  <c r="K5" i="172" s="1"/>
  <c r="K14" i="172" s="1"/>
  <c r="K16" i="172" s="1"/>
  <c r="L5" i="172" s="1"/>
  <c r="L14" i="172" s="1"/>
  <c r="L16" i="172" s="1"/>
  <c r="M5" i="172" s="1"/>
  <c r="B29" i="172"/>
  <c r="B31" i="172" s="1"/>
  <c r="C20" i="172" s="1"/>
  <c r="C29" i="172" s="1"/>
  <c r="C31" i="172" s="1"/>
  <c r="D20" i="172" s="1"/>
  <c r="D29" i="172" s="1"/>
  <c r="D31" i="172" s="1"/>
  <c r="E20" i="172" s="1"/>
  <c r="E29" i="172" s="1"/>
  <c r="E31" i="172" s="1"/>
  <c r="F20" i="172" s="1"/>
  <c r="F29" i="172" s="1"/>
  <c r="F31" i="172" s="1"/>
  <c r="G20" i="172" s="1"/>
  <c r="G29" i="172" s="1"/>
  <c r="G31" i="172" s="1"/>
  <c r="H20" i="172" s="1"/>
  <c r="H29" i="172" s="1"/>
  <c r="H31" i="172" s="1"/>
  <c r="I20" i="172" s="1"/>
  <c r="I29" i="172" s="1"/>
  <c r="I31" i="172" s="1"/>
  <c r="J20" i="172" s="1"/>
  <c r="J29" i="172" s="1"/>
  <c r="J31" i="172" s="1"/>
  <c r="K20" i="172" s="1"/>
  <c r="K29" i="172" s="1"/>
  <c r="K31" i="172" s="1"/>
  <c r="L20" i="172" s="1"/>
  <c r="L29" i="172" s="1"/>
  <c r="L31" i="172" s="1"/>
  <c r="M20" i="172" s="1"/>
  <c r="M29" i="172" s="1"/>
  <c r="M31" i="172" s="1"/>
  <c r="B13" i="212"/>
  <c r="B15" i="212" s="1"/>
  <c r="C4" i="212" s="1"/>
  <c r="C13" i="212" s="1"/>
  <c r="C15" i="212" s="1"/>
  <c r="D4" i="212" s="1"/>
  <c r="D13" i="212" s="1"/>
  <c r="D15" i="212" s="1"/>
  <c r="E4" i="212" s="1"/>
  <c r="E13" i="212" s="1"/>
  <c r="E15" i="212" s="1"/>
  <c r="F4" i="212" s="1"/>
  <c r="F13" i="212" s="1"/>
  <c r="F15" i="212" s="1"/>
  <c r="G4" i="212" s="1"/>
  <c r="G13" i="212" s="1"/>
  <c r="G15" i="212" s="1"/>
  <c r="H4" i="212" s="1"/>
  <c r="H13" i="212" s="1"/>
  <c r="H15" i="212"/>
  <c r="I4" i="212" s="1"/>
  <c r="I13" i="212" s="1"/>
  <c r="I15" i="212" s="1"/>
  <c r="J4" i="212" s="1"/>
  <c r="J13" i="212" s="1"/>
  <c r="J15" i="212" s="1"/>
  <c r="K4" i="212" s="1"/>
  <c r="K13" i="212" s="1"/>
  <c r="K15" i="212" s="1"/>
  <c r="L4" i="212" s="1"/>
  <c r="L13" i="212" s="1"/>
  <c r="L15" i="212"/>
  <c r="M4" i="212" s="1"/>
  <c r="M13" i="212" s="1"/>
  <c r="M15" i="212" s="1"/>
  <c r="K14" i="144"/>
  <c r="B15" i="144"/>
  <c r="E15" i="144"/>
  <c r="E17" i="144" s="1"/>
  <c r="F6" i="144" s="1"/>
  <c r="F15" i="144" s="1"/>
  <c r="F17" i="144" s="1"/>
  <c r="G6" i="144" s="1"/>
  <c r="G15" i="144" s="1"/>
  <c r="G17" i="144" s="1"/>
  <c r="H6" i="144" s="1"/>
  <c r="H15" i="144" s="1"/>
  <c r="H17" i="144" s="1"/>
  <c r="I6" i="144" s="1"/>
  <c r="I15" i="144" s="1"/>
  <c r="I17" i="144" s="1"/>
  <c r="J6" i="144" s="1"/>
  <c r="J15" i="144" s="1"/>
  <c r="J17" i="144" s="1"/>
  <c r="K6" i="144" s="1"/>
  <c r="K15" i="144" s="1"/>
  <c r="K17" i="144" s="1"/>
  <c r="L6" i="144" s="1"/>
  <c r="L15" i="144" s="1"/>
  <c r="L17" i="144" s="1"/>
  <c r="M6" i="144" s="1"/>
  <c r="M15" i="144" s="1"/>
  <c r="M17" i="144" s="1"/>
  <c r="B17" i="144"/>
  <c r="C6" i="144" s="1"/>
  <c r="C15" i="144" s="1"/>
  <c r="C17" i="144" s="1"/>
  <c r="D6" i="144" s="1"/>
  <c r="D15" i="144" s="1"/>
  <c r="D17" i="144" s="1"/>
  <c r="E6" i="144" s="1"/>
  <c r="B32" i="144"/>
  <c r="B34" i="144" s="1"/>
  <c r="C23" i="144" s="1"/>
  <c r="C32" i="144" s="1"/>
  <c r="C34" i="144" s="1"/>
  <c r="D23" i="144" s="1"/>
  <c r="D32" i="144" s="1"/>
  <c r="D34" i="144" s="1"/>
  <c r="E23" i="144" s="1"/>
  <c r="E32" i="144" s="1"/>
  <c r="E34" i="144" s="1"/>
  <c r="F23" i="144" s="1"/>
  <c r="F32" i="144" s="1"/>
  <c r="F34" i="144" s="1"/>
  <c r="G23" i="144" s="1"/>
  <c r="G32" i="144" s="1"/>
  <c r="G34" i="144" s="1"/>
  <c r="H23" i="144" s="1"/>
  <c r="H32" i="144" s="1"/>
  <c r="H34" i="144" s="1"/>
  <c r="I23" i="144" s="1"/>
  <c r="I32" i="144" s="1"/>
  <c r="I34" i="144" s="1"/>
  <c r="J23" i="144" s="1"/>
  <c r="J32" i="144" s="1"/>
  <c r="J34" i="144" s="1"/>
  <c r="K23" i="144" s="1"/>
  <c r="K32" i="144" s="1"/>
  <c r="K34" i="144" s="1"/>
  <c r="L23" i="144" s="1"/>
  <c r="L32" i="144" s="1"/>
  <c r="L34" i="144" s="1"/>
  <c r="M23" i="144" s="1"/>
  <c r="M32" i="144" s="1"/>
  <c r="M34" i="144" s="1"/>
  <c r="B16" i="155"/>
  <c r="B18" i="155"/>
  <c r="C7" i="155" s="1"/>
  <c r="C16" i="155" s="1"/>
  <c r="C18" i="155" s="1"/>
  <c r="D7" i="155"/>
  <c r="D16" i="155" s="1"/>
  <c r="D18" i="155" s="1"/>
  <c r="E7" i="155" s="1"/>
  <c r="E16" i="155" s="1"/>
  <c r="E18" i="155" s="1"/>
  <c r="F7" i="155" s="1"/>
  <c r="F16" i="155" s="1"/>
  <c r="F18" i="155" s="1"/>
  <c r="G7" i="155" s="1"/>
  <c r="G16" i="155" s="1"/>
  <c r="G18" i="155" s="1"/>
  <c r="H7" i="155" s="1"/>
  <c r="H16" i="155" s="1"/>
  <c r="H18" i="155" s="1"/>
  <c r="I7" i="155" s="1"/>
  <c r="I16" i="155" s="1"/>
  <c r="I18" i="155" s="1"/>
  <c r="J7" i="155" s="1"/>
  <c r="J16" i="155" s="1"/>
  <c r="J18" i="155" s="1"/>
  <c r="K7" i="155" s="1"/>
  <c r="K16" i="155" s="1"/>
  <c r="K18" i="155" s="1"/>
  <c r="L7" i="155" s="1"/>
  <c r="L16" i="155" s="1"/>
  <c r="L18" i="155" s="1"/>
  <c r="M7" i="155" s="1"/>
  <c r="M16" i="155" s="1"/>
  <c r="M18" i="155" s="1"/>
  <c r="B33" i="155"/>
  <c r="B35" i="155"/>
  <c r="C24" i="155" s="1"/>
  <c r="C33" i="155" s="1"/>
  <c r="C35" i="155" s="1"/>
  <c r="D24" i="155" s="1"/>
  <c r="D33" i="155" s="1"/>
  <c r="D35" i="155" s="1"/>
  <c r="E24" i="155" s="1"/>
  <c r="E33" i="155" s="1"/>
  <c r="E35" i="155" s="1"/>
  <c r="F24" i="155" s="1"/>
  <c r="F33" i="155" s="1"/>
  <c r="F35" i="155" s="1"/>
  <c r="G24" i="155" s="1"/>
  <c r="G33" i="155" s="1"/>
  <c r="G35" i="155" s="1"/>
  <c r="H24" i="155" s="1"/>
  <c r="H33" i="155" s="1"/>
  <c r="H35" i="155" s="1"/>
  <c r="I24" i="155" s="1"/>
  <c r="I33" i="155" s="1"/>
  <c r="I35" i="155" s="1"/>
  <c r="J24" i="155" s="1"/>
  <c r="J33" i="155" s="1"/>
  <c r="J35" i="155" s="1"/>
  <c r="K24" i="155" s="1"/>
  <c r="K33" i="155" s="1"/>
  <c r="K35" i="155" s="1"/>
  <c r="L24" i="155" s="1"/>
  <c r="L33" i="155" s="1"/>
  <c r="L35" i="155" s="1"/>
  <c r="M24" i="155" s="1"/>
  <c r="M33" i="155" s="1"/>
  <c r="M35" i="155" s="1"/>
  <c r="B16" i="121"/>
  <c r="B18" i="121" s="1"/>
  <c r="C7" i="121" s="1"/>
  <c r="C16" i="121" s="1"/>
  <c r="C18" i="121" s="1"/>
  <c r="D7" i="121" s="1"/>
  <c r="D16" i="121" s="1"/>
  <c r="D18" i="121" s="1"/>
  <c r="E7" i="121" s="1"/>
  <c r="E16" i="121" s="1"/>
  <c r="E18" i="121" s="1"/>
  <c r="F7" i="121" s="1"/>
  <c r="F16" i="121" s="1"/>
  <c r="F18" i="121" s="1"/>
  <c r="G7" i="121" s="1"/>
  <c r="G16" i="121" s="1"/>
  <c r="G18" i="121" s="1"/>
  <c r="H7" i="121" s="1"/>
  <c r="H16" i="121" s="1"/>
  <c r="H18" i="121" s="1"/>
  <c r="I7" i="121" s="1"/>
  <c r="I16" i="121" s="1"/>
  <c r="I18" i="121" s="1"/>
  <c r="J7" i="121" s="1"/>
  <c r="J16" i="121" s="1"/>
  <c r="J18" i="121" s="1"/>
  <c r="K7" i="121" s="1"/>
  <c r="K16" i="121" s="1"/>
  <c r="K18" i="121" s="1"/>
  <c r="L7" i="121" s="1"/>
  <c r="L16" i="121" s="1"/>
  <c r="L18" i="121" s="1"/>
  <c r="M7" i="121" s="1"/>
  <c r="M16" i="121" s="1"/>
  <c r="M18" i="121" s="1"/>
  <c r="B32" i="121"/>
  <c r="B34" i="121"/>
  <c r="C23" i="121" s="1"/>
  <c r="C32" i="121" s="1"/>
  <c r="C34" i="121" s="1"/>
  <c r="D23" i="121" s="1"/>
  <c r="D32" i="121" s="1"/>
  <c r="D34" i="121" s="1"/>
  <c r="E23" i="121" s="1"/>
  <c r="E32" i="121" s="1"/>
  <c r="E34" i="121" s="1"/>
  <c r="F23" i="121" s="1"/>
  <c r="F32" i="121" s="1"/>
  <c r="F34" i="121" s="1"/>
  <c r="G23" i="121" s="1"/>
  <c r="G32" i="121" s="1"/>
  <c r="G34" i="121" s="1"/>
  <c r="H23" i="121" s="1"/>
  <c r="H32" i="121" s="1"/>
  <c r="H34" i="121" s="1"/>
  <c r="I23" i="121" s="1"/>
  <c r="I32" i="121" s="1"/>
  <c r="I34" i="121" s="1"/>
  <c r="J23" i="121" s="1"/>
  <c r="J32" i="121" s="1"/>
  <c r="J34" i="121" s="1"/>
  <c r="K23" i="121" s="1"/>
  <c r="K32" i="121" s="1"/>
  <c r="K34" i="121" s="1"/>
  <c r="L23" i="121" s="1"/>
  <c r="L32" i="121" s="1"/>
  <c r="L34" i="121" s="1"/>
  <c r="M23" i="121" s="1"/>
  <c r="M32" i="121" s="1"/>
  <c r="M34" i="121" s="1"/>
  <c r="B48" i="121"/>
  <c r="B50" i="121" s="1"/>
  <c r="C39" i="121" s="1"/>
  <c r="C48" i="121" s="1"/>
  <c r="C50" i="121" s="1"/>
  <c r="D39" i="121" s="1"/>
  <c r="D48" i="121" s="1"/>
  <c r="D50" i="121" s="1"/>
  <c r="E39" i="121" s="1"/>
  <c r="E48" i="121" s="1"/>
  <c r="E50" i="121" s="1"/>
  <c r="F39" i="121" s="1"/>
  <c r="F48" i="121" s="1"/>
  <c r="F50" i="121" s="1"/>
  <c r="G39" i="121" s="1"/>
  <c r="G48" i="121" s="1"/>
  <c r="G50" i="121" s="1"/>
  <c r="H39" i="121" s="1"/>
  <c r="H48" i="121" s="1"/>
  <c r="H50" i="121" s="1"/>
  <c r="I39" i="121" s="1"/>
  <c r="I48" i="121" s="1"/>
  <c r="I50" i="121" s="1"/>
  <c r="J39" i="121" s="1"/>
  <c r="J48" i="121" s="1"/>
  <c r="J50" i="121" s="1"/>
  <c r="K39" i="121" s="1"/>
  <c r="K48" i="121" s="1"/>
  <c r="K50" i="121" s="1"/>
  <c r="L39" i="121" s="1"/>
  <c r="L48" i="121" s="1"/>
  <c r="L50" i="121" s="1"/>
  <c r="M39" i="121" s="1"/>
  <c r="M48" i="121" s="1"/>
  <c r="M50" i="121" s="1"/>
  <c r="B14" i="199"/>
  <c r="B16" i="199" s="1"/>
  <c r="C5" i="199" s="1"/>
  <c r="C14" i="199" s="1"/>
  <c r="C16" i="199" s="1"/>
  <c r="D5" i="199" s="1"/>
  <c r="D14" i="199" s="1"/>
  <c r="D16" i="199" s="1"/>
  <c r="E5" i="199" s="1"/>
  <c r="E14" i="199" s="1"/>
  <c r="E16" i="199" s="1"/>
  <c r="F5" i="199" s="1"/>
  <c r="F14" i="199" s="1"/>
  <c r="F16" i="199" s="1"/>
  <c r="G5" i="199" s="1"/>
  <c r="G14" i="199" s="1"/>
  <c r="G16" i="199" s="1"/>
  <c r="H5" i="199" s="1"/>
  <c r="H14" i="199" s="1"/>
  <c r="H16" i="199" s="1"/>
  <c r="I5" i="199" s="1"/>
  <c r="I14" i="199" s="1"/>
  <c r="I16" i="199" s="1"/>
  <c r="J5" i="199" s="1"/>
  <c r="J14" i="199" s="1"/>
  <c r="J16" i="199" s="1"/>
  <c r="K5" i="199" s="1"/>
  <c r="K14" i="199" s="1"/>
  <c r="K16" i="199" s="1"/>
  <c r="L5" i="199" s="1"/>
  <c r="L14" i="199" s="1"/>
  <c r="L16" i="199" s="1"/>
  <c r="M5" i="199" s="1"/>
  <c r="M14" i="199" s="1"/>
  <c r="M16" i="199" s="1"/>
  <c r="B30" i="199"/>
  <c r="B32" i="199" s="1"/>
  <c r="C21" i="199" s="1"/>
  <c r="C30" i="199" s="1"/>
  <c r="C32" i="199" s="1"/>
  <c r="D21" i="199" s="1"/>
  <c r="D30" i="199" s="1"/>
  <c r="D32" i="199" s="1"/>
  <c r="E21" i="199" s="1"/>
  <c r="E30" i="199" s="1"/>
  <c r="E32" i="199" s="1"/>
  <c r="F21" i="199" s="1"/>
  <c r="F30" i="199" s="1"/>
  <c r="F32" i="199" s="1"/>
  <c r="G21" i="199" s="1"/>
  <c r="G30" i="199" s="1"/>
  <c r="G32" i="199" s="1"/>
  <c r="H21" i="199" s="1"/>
  <c r="H30" i="199" s="1"/>
  <c r="H32" i="199" s="1"/>
  <c r="I21" i="199" s="1"/>
  <c r="I30" i="199" s="1"/>
  <c r="I32" i="199" s="1"/>
  <c r="J21" i="199" s="1"/>
  <c r="J30" i="199" s="1"/>
  <c r="J32" i="199" s="1"/>
  <c r="K21" i="199" s="1"/>
  <c r="K30" i="199" s="1"/>
  <c r="K32" i="199" s="1"/>
  <c r="L21" i="199" s="1"/>
  <c r="L30" i="199" s="1"/>
  <c r="L32" i="199" s="1"/>
  <c r="M21" i="199" s="1"/>
  <c r="M30" i="199" s="1"/>
  <c r="M32" i="199" s="1"/>
  <c r="B15" i="162"/>
  <c r="B17" i="162" s="1"/>
  <c r="C6" i="162" s="1"/>
  <c r="C15" i="162" s="1"/>
  <c r="C17" i="162" s="1"/>
  <c r="D6" i="162" s="1"/>
  <c r="D15" i="162" s="1"/>
  <c r="D17" i="162" s="1"/>
  <c r="E6" i="162" s="1"/>
  <c r="E15" i="162" s="1"/>
  <c r="E17" i="162" s="1"/>
  <c r="F6" i="162" s="1"/>
  <c r="F15" i="162" s="1"/>
  <c r="F17" i="162" s="1"/>
  <c r="G6" i="162" s="1"/>
  <c r="G15" i="162" s="1"/>
  <c r="G17" i="162" s="1"/>
  <c r="H6" i="162" s="1"/>
  <c r="H15" i="162" s="1"/>
  <c r="H17" i="162" s="1"/>
  <c r="I6" i="162" s="1"/>
  <c r="I15" i="162" s="1"/>
  <c r="I17" i="162" s="1"/>
  <c r="J6" i="162" s="1"/>
  <c r="J15" i="162" s="1"/>
  <c r="J17" i="162" s="1"/>
  <c r="K6" i="162" s="1"/>
  <c r="K15" i="162" s="1"/>
  <c r="K17" i="162" s="1"/>
  <c r="L6" i="162" s="1"/>
  <c r="L15" i="162" s="1"/>
  <c r="L17" i="162" s="1"/>
  <c r="M6" i="162" s="1"/>
  <c r="M15" i="162" s="1"/>
  <c r="M17" i="162" s="1"/>
  <c r="B33" i="162"/>
  <c r="B35" i="162"/>
  <c r="C24" i="162" s="1"/>
  <c r="C33" i="162" s="1"/>
  <c r="C35" i="162" s="1"/>
  <c r="D24" i="162" s="1"/>
  <c r="D33" i="162" s="1"/>
  <c r="D35" i="162" s="1"/>
  <c r="E24" i="162" s="1"/>
  <c r="E33" i="162" s="1"/>
  <c r="E35" i="162" s="1"/>
  <c r="F24" i="162" s="1"/>
  <c r="F33" i="162" s="1"/>
  <c r="F35" i="162" s="1"/>
  <c r="G24" i="162" s="1"/>
  <c r="G33" i="162" s="1"/>
  <c r="G35" i="162" s="1"/>
  <c r="H24" i="162" s="1"/>
  <c r="H33" i="162" s="1"/>
  <c r="H35" i="162" s="1"/>
  <c r="I24" i="162" s="1"/>
  <c r="I33" i="162" s="1"/>
  <c r="I35" i="162" s="1"/>
  <c r="J24" i="162" s="1"/>
  <c r="J33" i="162" s="1"/>
  <c r="J35" i="162" s="1"/>
  <c r="K24" i="162" s="1"/>
  <c r="K33" i="162" s="1"/>
  <c r="K35" i="162" s="1"/>
  <c r="L24" i="162" s="1"/>
  <c r="L33" i="162" s="1"/>
  <c r="L35" i="162" s="1"/>
  <c r="M24" i="162" s="1"/>
  <c r="M33" i="162" s="1"/>
  <c r="M35" i="162" s="1"/>
  <c r="B51" i="162"/>
  <c r="B53" i="162" s="1"/>
  <c r="C42" i="162" s="1"/>
  <c r="C51" i="162" s="1"/>
  <c r="C53" i="162" s="1"/>
  <c r="D42" i="162" s="1"/>
  <c r="D51" i="162" s="1"/>
  <c r="D53" i="162" s="1"/>
  <c r="E42" i="162" s="1"/>
  <c r="E51" i="162" s="1"/>
  <c r="E53" i="162" s="1"/>
  <c r="F42" i="162" s="1"/>
  <c r="F51" i="162" s="1"/>
  <c r="F53" i="162" s="1"/>
  <c r="G42" i="162" s="1"/>
  <c r="G51" i="162" s="1"/>
  <c r="G53" i="162" s="1"/>
  <c r="H42" i="162" s="1"/>
  <c r="H51" i="162" s="1"/>
  <c r="H53" i="162" s="1"/>
  <c r="I42" i="162" s="1"/>
  <c r="I51" i="162" s="1"/>
  <c r="I53" i="162" s="1"/>
  <c r="J42" i="162" s="1"/>
  <c r="J51" i="162" s="1"/>
  <c r="J53" i="162" s="1"/>
  <c r="K42" i="162" s="1"/>
  <c r="K51" i="162" s="1"/>
  <c r="K53" i="162" s="1"/>
  <c r="L42" i="162" s="1"/>
  <c r="L51" i="162" s="1"/>
  <c r="L53" i="162" s="1"/>
  <c r="M42" i="162" s="1"/>
  <c r="M51" i="162" s="1"/>
  <c r="M53" i="162" s="1"/>
  <c r="B8" i="201"/>
  <c r="B14" i="201"/>
  <c r="B16" i="201" s="1"/>
  <c r="C5" i="201" s="1"/>
  <c r="C14" i="201" s="1"/>
  <c r="C16" i="201" s="1"/>
  <c r="D5" i="201" s="1"/>
  <c r="D14" i="201" s="1"/>
  <c r="D16" i="201" s="1"/>
  <c r="E5" i="201" s="1"/>
  <c r="E14" i="201" s="1"/>
  <c r="E16" i="201" s="1"/>
  <c r="F5" i="201" s="1"/>
  <c r="F14" i="201" s="1"/>
  <c r="F16" i="201" s="1"/>
  <c r="G5" i="201" s="1"/>
  <c r="G14" i="201" s="1"/>
  <c r="G16" i="201" s="1"/>
  <c r="H5" i="201" s="1"/>
  <c r="H14" i="201" s="1"/>
  <c r="H16" i="201" s="1"/>
  <c r="I5" i="201" s="1"/>
  <c r="I14" i="201" s="1"/>
  <c r="I16" i="201" s="1"/>
  <c r="J5" i="201" s="1"/>
  <c r="J14" i="201" s="1"/>
  <c r="J16" i="201" s="1"/>
  <c r="K5" i="201" s="1"/>
  <c r="K14" i="201" s="1"/>
  <c r="K16" i="201" s="1"/>
  <c r="L5" i="201" s="1"/>
  <c r="L14" i="201" s="1"/>
  <c r="L16" i="201" s="1"/>
  <c r="M5" i="201" s="1"/>
  <c r="M14" i="201" s="1"/>
  <c r="M16" i="201" s="1"/>
  <c r="C27" i="201"/>
  <c r="B29" i="201"/>
  <c r="B31" i="201"/>
  <c r="C20" i="201" s="1"/>
  <c r="B16" i="81"/>
  <c r="B18" i="81" s="1"/>
  <c r="C7" i="81" s="1"/>
  <c r="C16" i="81" s="1"/>
  <c r="C18" i="81" s="1"/>
  <c r="D7" i="81" s="1"/>
  <c r="D16" i="81" s="1"/>
  <c r="D18" i="81" s="1"/>
  <c r="E7" i="81" s="1"/>
  <c r="E16" i="81" s="1"/>
  <c r="E18" i="81" s="1"/>
  <c r="F7" i="81" s="1"/>
  <c r="F16" i="81" s="1"/>
  <c r="F18" i="81" s="1"/>
  <c r="G7" i="81" s="1"/>
  <c r="G16" i="81" s="1"/>
  <c r="G18" i="81" s="1"/>
  <c r="H7" i="81" s="1"/>
  <c r="H16" i="81" s="1"/>
  <c r="H18" i="81" s="1"/>
  <c r="I7" i="81" s="1"/>
  <c r="I16" i="81" s="1"/>
  <c r="I18" i="81" s="1"/>
  <c r="J7" i="81" s="1"/>
  <c r="J16" i="81" s="1"/>
  <c r="J18" i="81" s="1"/>
  <c r="K7" i="81" s="1"/>
  <c r="K16" i="81" s="1"/>
  <c r="K18" i="81" s="1"/>
  <c r="L7" i="81" s="1"/>
  <c r="L16" i="81" s="1"/>
  <c r="L18" i="81" s="1"/>
  <c r="M7" i="81" s="1"/>
  <c r="M16" i="81" s="1"/>
  <c r="M18" i="81" s="1"/>
  <c r="B34" i="81"/>
  <c r="B36" i="81" s="1"/>
  <c r="C25" i="81" s="1"/>
  <c r="C34" i="81" s="1"/>
  <c r="C36" i="81" s="1"/>
  <c r="D25" i="81" s="1"/>
  <c r="D34" i="81" s="1"/>
  <c r="D36" i="81" s="1"/>
  <c r="E25" i="81" s="1"/>
  <c r="E34" i="81" s="1"/>
  <c r="E36" i="81" s="1"/>
  <c r="F25" i="81" s="1"/>
  <c r="F34" i="81" s="1"/>
  <c r="F36" i="81" s="1"/>
  <c r="G25" i="81" s="1"/>
  <c r="G34" i="81" s="1"/>
  <c r="G36" i="81" s="1"/>
  <c r="H25" i="81" s="1"/>
  <c r="H34" i="81" s="1"/>
  <c r="H36" i="81" s="1"/>
  <c r="I25" i="81" s="1"/>
  <c r="I34" i="81" s="1"/>
  <c r="I36" i="81" s="1"/>
  <c r="J25" i="81" s="1"/>
  <c r="J34" i="81" s="1"/>
  <c r="J36" i="81" s="1"/>
  <c r="K25" i="81" s="1"/>
  <c r="K34" i="81" s="1"/>
  <c r="K36" i="81" s="1"/>
  <c r="L25" i="81" s="1"/>
  <c r="L34" i="81" s="1"/>
  <c r="L36" i="81" s="1"/>
  <c r="M25" i="81" s="1"/>
  <c r="M34" i="81" s="1"/>
  <c r="M36" i="81" s="1"/>
  <c r="B41" i="81"/>
  <c r="O9" i="80"/>
  <c r="B17" i="80"/>
  <c r="B19" i="80" s="1"/>
  <c r="C8" i="80" s="1"/>
  <c r="C17" i="80" s="1"/>
  <c r="C19" i="80" s="1"/>
  <c r="D8" i="80" s="1"/>
  <c r="D17" i="80" s="1"/>
  <c r="D19" i="80" s="1"/>
  <c r="E8" i="80" s="1"/>
  <c r="E17" i="80" s="1"/>
  <c r="E19" i="80" s="1"/>
  <c r="F8" i="80" s="1"/>
  <c r="F17" i="80" s="1"/>
  <c r="F19" i="80" s="1"/>
  <c r="G8" i="80" s="1"/>
  <c r="G17" i="80" s="1"/>
  <c r="G19" i="80" s="1"/>
  <c r="H8" i="80" s="1"/>
  <c r="H17" i="80" s="1"/>
  <c r="H19" i="80" s="1"/>
  <c r="I8" i="80" s="1"/>
  <c r="I17" i="80" s="1"/>
  <c r="I19" i="80" s="1"/>
  <c r="J8" i="80" s="1"/>
  <c r="J17" i="80" s="1"/>
  <c r="J19" i="80" s="1"/>
  <c r="K8" i="80" s="1"/>
  <c r="K17" i="80" s="1"/>
  <c r="K19" i="80" s="1"/>
  <c r="L8" i="80" s="1"/>
  <c r="L17" i="80" s="1"/>
  <c r="L19" i="80" s="1"/>
  <c r="M8" i="80" s="1"/>
  <c r="M17" i="80" s="1"/>
  <c r="M19" i="80" s="1"/>
  <c r="B34" i="80"/>
  <c r="B36" i="80" s="1"/>
  <c r="C25" i="80" s="1"/>
  <c r="C34" i="80" s="1"/>
  <c r="C36" i="80" s="1"/>
  <c r="D25" i="80" s="1"/>
  <c r="D34" i="80" s="1"/>
  <c r="D36" i="80" s="1"/>
  <c r="E25" i="80" s="1"/>
  <c r="E34" i="80" s="1"/>
  <c r="E36" i="80" s="1"/>
  <c r="F25" i="80" s="1"/>
  <c r="F34" i="80" s="1"/>
  <c r="F36" i="80"/>
  <c r="G25" i="80" s="1"/>
  <c r="G34" i="80" s="1"/>
  <c r="G36" i="80" s="1"/>
  <c r="H25" i="80" s="1"/>
  <c r="H34" i="80" s="1"/>
  <c r="H36" i="80" s="1"/>
  <c r="I25" i="80" s="1"/>
  <c r="I34" i="80" s="1"/>
  <c r="I36" i="80" s="1"/>
  <c r="J25" i="80" s="1"/>
  <c r="J34" i="80" s="1"/>
  <c r="J36" i="80" s="1"/>
  <c r="K25" i="80" s="1"/>
  <c r="K34" i="80" s="1"/>
  <c r="K36" i="80" s="1"/>
  <c r="L25" i="80" s="1"/>
  <c r="L34" i="80" s="1"/>
  <c r="L36" i="80" s="1"/>
  <c r="M25" i="80" s="1"/>
  <c r="M34" i="80" s="1"/>
  <c r="M36" i="80" s="1"/>
  <c r="K38" i="80"/>
  <c r="B15" i="106"/>
  <c r="C15" i="106"/>
  <c r="C17" i="106" s="1"/>
  <c r="D15" i="106"/>
  <c r="E15" i="106"/>
  <c r="E17" i="106" s="1"/>
  <c r="F15" i="106"/>
  <c r="F17" i="106" s="1"/>
  <c r="G15" i="106"/>
  <c r="G17" i="106" s="1"/>
  <c r="H15" i="106"/>
  <c r="H17" i="106"/>
  <c r="I15" i="106"/>
  <c r="I17" i="106"/>
  <c r="J15" i="106"/>
  <c r="J17" i="106" s="1"/>
  <c r="K15" i="106"/>
  <c r="K17" i="106" s="1"/>
  <c r="L15" i="106"/>
  <c r="L17" i="106" s="1"/>
  <c r="M15" i="106"/>
  <c r="M17" i="106"/>
  <c r="B17" i="106"/>
  <c r="D17" i="106"/>
  <c r="B32" i="106"/>
  <c r="B34" i="106"/>
  <c r="C23" i="106" s="1"/>
  <c r="C32" i="106" s="1"/>
  <c r="C34" i="106" s="1"/>
  <c r="D23" i="106" s="1"/>
  <c r="D32" i="106" s="1"/>
  <c r="D34" i="106" s="1"/>
  <c r="E23" i="106" s="1"/>
  <c r="E32" i="106" s="1"/>
  <c r="E34" i="106" s="1"/>
  <c r="F23" i="106" s="1"/>
  <c r="F32" i="106" s="1"/>
  <c r="F34" i="106" s="1"/>
  <c r="G23" i="106" s="1"/>
  <c r="G32" i="106" s="1"/>
  <c r="G34" i="106" s="1"/>
  <c r="H23" i="106" s="1"/>
  <c r="H32" i="106" s="1"/>
  <c r="H34" i="106" s="1"/>
  <c r="I23" i="106" s="1"/>
  <c r="I32" i="106" s="1"/>
  <c r="I34" i="106" s="1"/>
  <c r="J23" i="106" s="1"/>
  <c r="J32" i="106" s="1"/>
  <c r="J34" i="106" s="1"/>
  <c r="K23" i="106" s="1"/>
  <c r="K32" i="106" s="1"/>
  <c r="K34" i="106" s="1"/>
  <c r="L23" i="106" s="1"/>
  <c r="L32" i="106" s="1"/>
  <c r="L34" i="106" s="1"/>
  <c r="M23" i="106" s="1"/>
  <c r="M32" i="106" s="1"/>
  <c r="M34" i="106" s="1"/>
  <c r="B15" i="95"/>
  <c r="B17" i="95" s="1"/>
  <c r="C6" i="95" s="1"/>
  <c r="C15" i="95" s="1"/>
  <c r="C17" i="95" s="1"/>
  <c r="D6" i="95" s="1"/>
  <c r="D15" i="95" s="1"/>
  <c r="D17" i="95" s="1"/>
  <c r="E6" i="95" s="1"/>
  <c r="E15" i="95" s="1"/>
  <c r="E17" i="95" s="1"/>
  <c r="F6" i="95" s="1"/>
  <c r="F15" i="95" s="1"/>
  <c r="F17" i="95" s="1"/>
  <c r="G6" i="95" s="1"/>
  <c r="G15" i="95" s="1"/>
  <c r="G17" i="95" s="1"/>
  <c r="H6" i="95" s="1"/>
  <c r="H15" i="95" s="1"/>
  <c r="H17" i="95" s="1"/>
  <c r="I6" i="95" s="1"/>
  <c r="I15" i="95" s="1"/>
  <c r="I17" i="95" s="1"/>
  <c r="J6" i="95" s="1"/>
  <c r="J15" i="95" s="1"/>
  <c r="J17" i="95" s="1"/>
  <c r="K6" i="95" s="1"/>
  <c r="K15" i="95" s="1"/>
  <c r="K17" i="95" s="1"/>
  <c r="L6" i="95" s="1"/>
  <c r="L15" i="95" s="1"/>
  <c r="L17" i="95" s="1"/>
  <c r="M6" i="95" s="1"/>
  <c r="M15" i="95" s="1"/>
  <c r="M17" i="95" s="1"/>
  <c r="B32" i="95"/>
  <c r="B34" i="95" s="1"/>
  <c r="C23" i="95" s="1"/>
  <c r="C32" i="95" s="1"/>
  <c r="C34" i="95" s="1"/>
  <c r="D23" i="95" s="1"/>
  <c r="D32" i="95" s="1"/>
  <c r="D34" i="95" s="1"/>
  <c r="E23" i="95" s="1"/>
  <c r="E32" i="95" s="1"/>
  <c r="E34" i="95" s="1"/>
  <c r="F23" i="95" s="1"/>
  <c r="F32" i="95" s="1"/>
  <c r="F34" i="95" s="1"/>
  <c r="G23" i="95" s="1"/>
  <c r="G32" i="95" s="1"/>
  <c r="G34" i="95" s="1"/>
  <c r="H23" i="95" s="1"/>
  <c r="H32" i="95" s="1"/>
  <c r="H34" i="95" s="1"/>
  <c r="I23" i="95" s="1"/>
  <c r="I32" i="95" s="1"/>
  <c r="I34" i="95" s="1"/>
  <c r="J23" i="95" s="1"/>
  <c r="J32" i="95" s="1"/>
  <c r="J34" i="95" s="1"/>
  <c r="K23" i="95" s="1"/>
  <c r="K32" i="95" s="1"/>
  <c r="K34" i="95" s="1"/>
  <c r="L23" i="95" s="1"/>
  <c r="L32" i="95" s="1"/>
  <c r="L34" i="95" s="1"/>
  <c r="M23" i="95" s="1"/>
  <c r="M32" i="95" s="1"/>
  <c r="M34" i="95" s="1"/>
  <c r="N41" i="95"/>
  <c r="B20" i="36"/>
  <c r="B22" i="36"/>
  <c r="C11" i="36" s="1"/>
  <c r="C20" i="36" s="1"/>
  <c r="C22" i="36" s="1"/>
  <c r="D11" i="36" s="1"/>
  <c r="D20" i="36" s="1"/>
  <c r="D22" i="36" s="1"/>
  <c r="E11" i="36" s="1"/>
  <c r="E20" i="36" s="1"/>
  <c r="E22" i="36" s="1"/>
  <c r="F11" i="36" s="1"/>
  <c r="F20" i="36" s="1"/>
  <c r="F22" i="36" s="1"/>
  <c r="G11" i="36" s="1"/>
  <c r="G20" i="36" s="1"/>
  <c r="G22" i="36" s="1"/>
  <c r="H11" i="36" s="1"/>
  <c r="H20" i="36" s="1"/>
  <c r="H22" i="36" s="1"/>
  <c r="I11" i="36" s="1"/>
  <c r="I20" i="36" s="1"/>
  <c r="I22" i="36" s="1"/>
  <c r="J11" i="36" s="1"/>
  <c r="J20" i="36" s="1"/>
  <c r="J22" i="36" s="1"/>
  <c r="K11" i="36" s="1"/>
  <c r="K20" i="36" s="1"/>
  <c r="K22" i="36" s="1"/>
  <c r="L11" i="36" s="1"/>
  <c r="L20" i="36" s="1"/>
  <c r="L22" i="36" s="1"/>
  <c r="M11" i="36" s="1"/>
  <c r="M20" i="36" s="1"/>
  <c r="M22" i="36" s="1"/>
  <c r="C30" i="36"/>
  <c r="C39" i="36" s="1"/>
  <c r="C41" i="36" s="1"/>
  <c r="D30" i="36" s="1"/>
  <c r="D39" i="36" s="1"/>
  <c r="D41" i="36" s="1"/>
  <c r="E30" i="36" s="1"/>
  <c r="E39" i="36" s="1"/>
  <c r="E41" i="36" s="1"/>
  <c r="F30" i="36" s="1"/>
  <c r="F39" i="36" s="1"/>
  <c r="F41" i="36" s="1"/>
  <c r="G30" i="36" s="1"/>
  <c r="G39" i="36" s="1"/>
  <c r="G41" i="36" s="1"/>
  <c r="H30" i="36" s="1"/>
  <c r="H39" i="36" s="1"/>
  <c r="H41" i="36" s="1"/>
  <c r="I30" i="36" s="1"/>
  <c r="I39" i="36" s="1"/>
  <c r="I41" i="36" s="1"/>
  <c r="J30" i="36" s="1"/>
  <c r="J39" i="36" s="1"/>
  <c r="J41" i="36" s="1"/>
  <c r="K30" i="36" s="1"/>
  <c r="K39" i="36" s="1"/>
  <c r="K41" i="36" s="1"/>
  <c r="L30" i="36" s="1"/>
  <c r="L39" i="36" s="1"/>
  <c r="L41" i="36" s="1"/>
  <c r="M30" i="36" s="1"/>
  <c r="M39" i="36" s="1"/>
  <c r="M41" i="36" s="1"/>
  <c r="B39" i="36"/>
  <c r="B41" i="36" s="1"/>
  <c r="F47" i="36"/>
  <c r="F56" i="36" s="1"/>
  <c r="F58" i="36" s="1"/>
  <c r="G47" i="36" s="1"/>
  <c r="G56" i="36" s="1"/>
  <c r="G58" i="36" s="1"/>
  <c r="H47" i="36" s="1"/>
  <c r="H56" i="36" s="1"/>
  <c r="H58" i="36" s="1"/>
  <c r="I47" i="36" s="1"/>
  <c r="I56" i="36" s="1"/>
  <c r="I58" i="36" s="1"/>
  <c r="J47" i="36" s="1"/>
  <c r="J56" i="36" s="1"/>
  <c r="J58" i="36" s="1"/>
  <c r="K47" i="36" s="1"/>
  <c r="K56" i="36" s="1"/>
  <c r="K58" i="36" s="1"/>
  <c r="L47" i="36" s="1"/>
  <c r="L56" i="36" s="1"/>
  <c r="L58" i="36" s="1"/>
  <c r="M47" i="36" s="1"/>
  <c r="M56" i="36" s="1"/>
  <c r="M58" i="36" s="1"/>
  <c r="B56" i="36"/>
  <c r="B58" i="36" s="1"/>
  <c r="C47" i="36" s="1"/>
  <c r="C56" i="36" s="1"/>
  <c r="C58" i="36" s="1"/>
  <c r="D47" i="36" s="1"/>
  <c r="D56" i="36" s="1"/>
  <c r="D58" i="36" s="1"/>
  <c r="E47" i="36" s="1"/>
  <c r="E56" i="36" s="1"/>
  <c r="E58" i="36" s="1"/>
  <c r="B74" i="36"/>
  <c r="B76" i="36" s="1"/>
  <c r="C65" i="36" s="1"/>
  <c r="C74" i="36" s="1"/>
  <c r="C76" i="36" s="1"/>
  <c r="D65" i="36" s="1"/>
  <c r="D74" i="36" s="1"/>
  <c r="D76" i="36" s="1"/>
  <c r="E65" i="36" s="1"/>
  <c r="E74" i="36" s="1"/>
  <c r="E76" i="36" s="1"/>
  <c r="F65" i="36" s="1"/>
  <c r="F74" i="36" s="1"/>
  <c r="F76" i="36" s="1"/>
  <c r="G65" i="36" s="1"/>
  <c r="G74" i="36" s="1"/>
  <c r="G76" i="36" s="1"/>
  <c r="H65" i="36" s="1"/>
  <c r="H74" i="36" s="1"/>
  <c r="H76" i="36" s="1"/>
  <c r="I65" i="36" s="1"/>
  <c r="I74" i="36" s="1"/>
  <c r="I76" i="36" s="1"/>
  <c r="J65" i="36" s="1"/>
  <c r="J74" i="36" s="1"/>
  <c r="J76" i="36" s="1"/>
  <c r="K65" i="36" s="1"/>
  <c r="K74" i="36" s="1"/>
  <c r="K76" i="36" s="1"/>
  <c r="L65" i="36" s="1"/>
  <c r="L74" i="36" s="1"/>
  <c r="L76" i="36" s="1"/>
  <c r="M65" i="36" s="1"/>
  <c r="M74" i="36" s="1"/>
  <c r="M76" i="36" s="1"/>
  <c r="B18" i="38"/>
  <c r="B20" i="38" s="1"/>
  <c r="C9" i="38" s="1"/>
  <c r="C18" i="38"/>
  <c r="C20" i="38"/>
  <c r="D9" i="38" s="1"/>
  <c r="D18" i="38" s="1"/>
  <c r="D20" i="38" s="1"/>
  <c r="E9" i="38" s="1"/>
  <c r="E18" i="38" s="1"/>
  <c r="E20" i="38" s="1"/>
  <c r="F9" i="38" s="1"/>
  <c r="F18" i="38" s="1"/>
  <c r="F20" i="38" s="1"/>
  <c r="G9" i="38" s="1"/>
  <c r="G18" i="38" s="1"/>
  <c r="G20" i="38" s="1"/>
  <c r="H9" i="38" s="1"/>
  <c r="H18" i="38" s="1"/>
  <c r="H20" i="38" s="1"/>
  <c r="I9" i="38" s="1"/>
  <c r="I18" i="38" s="1"/>
  <c r="I20" i="38" s="1"/>
  <c r="J9" i="38" s="1"/>
  <c r="J18" i="38" s="1"/>
  <c r="J20" i="38" s="1"/>
  <c r="K9" i="38" s="1"/>
  <c r="K18" i="38" s="1"/>
  <c r="K20" i="38" s="1"/>
  <c r="L9" i="38" s="1"/>
  <c r="L18" i="38" s="1"/>
  <c r="L20" i="38" s="1"/>
  <c r="M9" i="38" s="1"/>
  <c r="M18" i="38" s="1"/>
  <c r="M20" i="38" s="1"/>
  <c r="B37" i="38"/>
  <c r="B39" i="38" s="1"/>
  <c r="C28" i="38" s="1"/>
  <c r="C37" i="38" s="1"/>
  <c r="C39" i="38" s="1"/>
  <c r="D28" i="38" s="1"/>
  <c r="D37" i="38" s="1"/>
  <c r="D39" i="38" s="1"/>
  <c r="E28" i="38" s="1"/>
  <c r="E37" i="38" s="1"/>
  <c r="E39" i="38" s="1"/>
  <c r="F28" i="38" s="1"/>
  <c r="F37" i="38" s="1"/>
  <c r="F39" i="38" s="1"/>
  <c r="G28" i="38" s="1"/>
  <c r="G37" i="38" s="1"/>
  <c r="G39" i="38" s="1"/>
  <c r="H28" i="38" s="1"/>
  <c r="H37" i="38" s="1"/>
  <c r="H39" i="38" s="1"/>
  <c r="I28" i="38" s="1"/>
  <c r="I37" i="38" s="1"/>
  <c r="I39" i="38" s="1"/>
  <c r="J28" i="38" s="1"/>
  <c r="J37" i="38" s="1"/>
  <c r="J39" i="38" s="1"/>
  <c r="K28" i="38" s="1"/>
  <c r="K37" i="38" s="1"/>
  <c r="K39" i="38" s="1"/>
  <c r="L28" i="38" s="1"/>
  <c r="L37" i="38" s="1"/>
  <c r="L39" i="38" s="1"/>
  <c r="M28" i="38" s="1"/>
  <c r="M37" i="38" s="1"/>
  <c r="M39" i="38" s="1"/>
  <c r="B54" i="38"/>
  <c r="B56" i="38" s="1"/>
  <c r="C45" i="38" s="1"/>
  <c r="C54" i="38" s="1"/>
  <c r="C56" i="38" s="1"/>
  <c r="D45" i="38" s="1"/>
  <c r="D54" i="38" s="1"/>
  <c r="D56" i="38" s="1"/>
  <c r="E45" i="38" s="1"/>
  <c r="E54" i="38" s="1"/>
  <c r="E56" i="38" s="1"/>
  <c r="F45" i="38" s="1"/>
  <c r="F54" i="38" s="1"/>
  <c r="F56" i="38" s="1"/>
  <c r="G45" i="38" s="1"/>
  <c r="G54" i="38" s="1"/>
  <c r="G56" i="38" s="1"/>
  <c r="H45" i="38" s="1"/>
  <c r="H54" i="38" s="1"/>
  <c r="H56" i="38" s="1"/>
  <c r="I45" i="38" s="1"/>
  <c r="I54" i="38" s="1"/>
  <c r="I56" i="38" s="1"/>
  <c r="J45" i="38" s="1"/>
  <c r="J54" i="38" s="1"/>
  <c r="J56" i="38" s="1"/>
  <c r="K45" i="38" s="1"/>
  <c r="K54" i="38" s="1"/>
  <c r="K56" i="38" s="1"/>
  <c r="L45" i="38" s="1"/>
  <c r="L54" i="38" s="1"/>
  <c r="L56" i="38" s="1"/>
  <c r="M45" i="38" s="1"/>
  <c r="M54" i="38" s="1"/>
  <c r="M56" i="38" s="1"/>
  <c r="B13" i="223"/>
  <c r="B15" i="223" s="1"/>
  <c r="C4" i="223" s="1"/>
  <c r="C13" i="223" s="1"/>
  <c r="C15" i="223" s="1"/>
  <c r="D4" i="223" s="1"/>
  <c r="D13" i="223" s="1"/>
  <c r="D15" i="223" s="1"/>
  <c r="E4" i="223" s="1"/>
  <c r="E13" i="223" s="1"/>
  <c r="E15" i="223" s="1"/>
  <c r="F4" i="223" s="1"/>
  <c r="F13" i="223" s="1"/>
  <c r="F15" i="223" s="1"/>
  <c r="G4" i="223" s="1"/>
  <c r="G13" i="223" s="1"/>
  <c r="G15" i="223" s="1"/>
  <c r="H4" i="223" s="1"/>
  <c r="H13" i="223" s="1"/>
  <c r="H15" i="223" s="1"/>
  <c r="I4" i="223" s="1"/>
  <c r="I13" i="223" s="1"/>
  <c r="I15" i="223" s="1"/>
  <c r="J4" i="223" s="1"/>
  <c r="J13" i="223" s="1"/>
  <c r="J15" i="223" s="1"/>
  <c r="K4" i="223" s="1"/>
  <c r="K13" i="223" s="1"/>
  <c r="K15" i="223" s="1"/>
  <c r="L4" i="223" s="1"/>
  <c r="L13" i="223" s="1"/>
  <c r="L15" i="223" s="1"/>
  <c r="M4" i="223" s="1"/>
  <c r="M13" i="223" s="1"/>
  <c r="M15" i="223" s="1"/>
  <c r="B15" i="222"/>
  <c r="B17" i="222" s="1"/>
  <c r="C6" i="222" s="1"/>
  <c r="C15" i="222" s="1"/>
  <c r="C17" i="222" s="1"/>
  <c r="D6" i="222" s="1"/>
  <c r="D15" i="222" s="1"/>
  <c r="D17" i="222" s="1"/>
  <c r="E6" i="222" s="1"/>
  <c r="E15" i="222" s="1"/>
  <c r="E17" i="222" s="1"/>
  <c r="F6" i="222" s="1"/>
  <c r="F15" i="222" s="1"/>
  <c r="F17" i="222" s="1"/>
  <c r="G6" i="222" s="1"/>
  <c r="G15" i="222" s="1"/>
  <c r="G17" i="222" s="1"/>
  <c r="H6" i="222" s="1"/>
  <c r="H15" i="222" s="1"/>
  <c r="H17" i="222" s="1"/>
  <c r="I6" i="222" s="1"/>
  <c r="I15" i="222" s="1"/>
  <c r="I17" i="222" s="1"/>
  <c r="J6" i="222" s="1"/>
  <c r="J15" i="222" s="1"/>
  <c r="J17" i="222" s="1"/>
  <c r="K6" i="222" s="1"/>
  <c r="K15" i="222" s="1"/>
  <c r="K17" i="222" s="1"/>
  <c r="L6" i="222" s="1"/>
  <c r="L15" i="222" s="1"/>
  <c r="L17" i="222" s="1"/>
  <c r="M6" i="222" s="1"/>
  <c r="M15" i="222" s="1"/>
  <c r="M17" i="222" s="1"/>
  <c r="B29" i="222"/>
  <c r="B31" i="222"/>
  <c r="C20" i="222" s="1"/>
  <c r="C29" i="222" s="1"/>
  <c r="C31" i="222" s="1"/>
  <c r="D20" i="222" s="1"/>
  <c r="D29" i="222" s="1"/>
  <c r="D31" i="222" s="1"/>
  <c r="E20" i="222" s="1"/>
  <c r="E29" i="222" s="1"/>
  <c r="E31" i="222" s="1"/>
  <c r="F20" i="222" s="1"/>
  <c r="F29" i="222" s="1"/>
  <c r="F31" i="222" s="1"/>
  <c r="G20" i="222" s="1"/>
  <c r="G29" i="222" s="1"/>
  <c r="G31" i="222" s="1"/>
  <c r="H20" i="222" s="1"/>
  <c r="H29" i="222" s="1"/>
  <c r="H31" i="222" s="1"/>
  <c r="I20" i="222" s="1"/>
  <c r="I29" i="222" s="1"/>
  <c r="I31" i="222" s="1"/>
  <c r="J20" i="222" s="1"/>
  <c r="J29" i="222" s="1"/>
  <c r="J31" i="222" s="1"/>
  <c r="K20" i="222" s="1"/>
  <c r="K29" i="222" s="1"/>
  <c r="K31" i="222" s="1"/>
  <c r="L20" i="222" s="1"/>
  <c r="L29" i="222" s="1"/>
  <c r="L31" i="222" s="1"/>
  <c r="M20" i="222" s="1"/>
  <c r="M29" i="222" s="1"/>
  <c r="M31" i="222" s="1"/>
  <c r="B16" i="159"/>
  <c r="B18" i="159"/>
  <c r="C7" i="159" s="1"/>
  <c r="C16" i="159" s="1"/>
  <c r="C18" i="159" s="1"/>
  <c r="D7" i="159" s="1"/>
  <c r="D16" i="159" s="1"/>
  <c r="D18" i="159" s="1"/>
  <c r="E7" i="159" s="1"/>
  <c r="E16" i="159" s="1"/>
  <c r="E18" i="159" s="1"/>
  <c r="F7" i="159" s="1"/>
  <c r="F16" i="159" s="1"/>
  <c r="F18" i="159" s="1"/>
  <c r="G7" i="159" s="1"/>
  <c r="G16" i="159" s="1"/>
  <c r="G18" i="159" s="1"/>
  <c r="H7" i="159" s="1"/>
  <c r="H16" i="159" s="1"/>
  <c r="H18" i="159" s="1"/>
  <c r="I7" i="159" s="1"/>
  <c r="I16" i="159" s="1"/>
  <c r="I18" i="159" s="1"/>
  <c r="J7" i="159" s="1"/>
  <c r="J16" i="159" s="1"/>
  <c r="J18" i="159" s="1"/>
  <c r="K7" i="159" s="1"/>
  <c r="K16" i="159" s="1"/>
  <c r="K18" i="159" s="1"/>
  <c r="L7" i="159" s="1"/>
  <c r="L16" i="159" s="1"/>
  <c r="L18" i="159" s="1"/>
  <c r="M7" i="159" s="1"/>
  <c r="M16" i="159" s="1"/>
  <c r="M18" i="159" s="1"/>
  <c r="B33" i="159"/>
  <c r="I34" i="159"/>
  <c r="B35" i="159"/>
  <c r="C24" i="159" s="1"/>
  <c r="C33" i="159" s="1"/>
  <c r="C35" i="159" s="1"/>
  <c r="D24" i="159" s="1"/>
  <c r="D33" i="159" s="1"/>
  <c r="D35" i="159" s="1"/>
  <c r="E24" i="159" s="1"/>
  <c r="E33" i="159" s="1"/>
  <c r="E35" i="159" s="1"/>
  <c r="F24" i="159" s="1"/>
  <c r="F33" i="159" s="1"/>
  <c r="F35" i="159" s="1"/>
  <c r="G24" i="159" s="1"/>
  <c r="G33" i="159" s="1"/>
  <c r="G35" i="159" s="1"/>
  <c r="H24" i="159" s="1"/>
  <c r="H33" i="159" s="1"/>
  <c r="H35" i="159" s="1"/>
  <c r="I24" i="159" s="1"/>
  <c r="I33" i="159" s="1"/>
  <c r="I35" i="159" s="1"/>
  <c r="J24" i="159" s="1"/>
  <c r="J33" i="159" s="1"/>
  <c r="J35" i="159" s="1"/>
  <c r="K24" i="159" s="1"/>
  <c r="K33" i="159" s="1"/>
  <c r="K35" i="159" s="1"/>
  <c r="L24" i="159" s="1"/>
  <c r="L33" i="159" s="1"/>
  <c r="L35" i="159" s="1"/>
  <c r="M24" i="159" s="1"/>
  <c r="M33" i="159" s="1"/>
  <c r="M35" i="159" s="1"/>
  <c r="B51" i="159"/>
  <c r="B53" i="159" s="1"/>
  <c r="C42" i="159" s="1"/>
  <c r="C51" i="159" s="1"/>
  <c r="C53" i="159" s="1"/>
  <c r="D42" i="159" s="1"/>
  <c r="D51" i="159" s="1"/>
  <c r="D53" i="159" s="1"/>
  <c r="E42" i="159" s="1"/>
  <c r="E51" i="159" s="1"/>
  <c r="E53" i="159" s="1"/>
  <c r="F42" i="159" s="1"/>
  <c r="F51" i="159" s="1"/>
  <c r="F53" i="159" s="1"/>
  <c r="G42" i="159" s="1"/>
  <c r="G51" i="159" s="1"/>
  <c r="G53" i="159" s="1"/>
  <c r="H42" i="159" s="1"/>
  <c r="H51" i="159" s="1"/>
  <c r="H53" i="159" s="1"/>
  <c r="I42" i="159" s="1"/>
  <c r="I51" i="159" s="1"/>
  <c r="I53" i="159" s="1"/>
  <c r="J42" i="159" s="1"/>
  <c r="J51" i="159" s="1"/>
  <c r="J53" i="159" s="1"/>
  <c r="K42" i="159" s="1"/>
  <c r="K51" i="159" s="1"/>
  <c r="K53" i="159" s="1"/>
  <c r="L42" i="159" s="1"/>
  <c r="L51" i="159" s="1"/>
  <c r="L53" i="159" s="1"/>
  <c r="M42" i="159" s="1"/>
  <c r="M51" i="159" s="1"/>
  <c r="M53" i="159" s="1"/>
  <c r="B14" i="21"/>
  <c r="B16" i="21" s="1"/>
  <c r="C6" i="21" s="1"/>
  <c r="C14" i="21" s="1"/>
  <c r="C16" i="21" s="1"/>
  <c r="D6" i="21" s="1"/>
  <c r="D14" i="21" s="1"/>
  <c r="D16" i="21" s="1"/>
  <c r="E6" i="21" s="1"/>
  <c r="E14" i="21"/>
  <c r="E16" i="21" s="1"/>
  <c r="F6" i="21" s="1"/>
  <c r="F14" i="21" s="1"/>
  <c r="F16" i="21" s="1"/>
  <c r="G6" i="21" s="1"/>
  <c r="G14" i="21" s="1"/>
  <c r="G16" i="21" s="1"/>
  <c r="H6" i="21" s="1"/>
  <c r="H14" i="21" s="1"/>
  <c r="H16" i="21" s="1"/>
  <c r="I6" i="21" s="1"/>
  <c r="I14" i="21" s="1"/>
  <c r="I16" i="21" s="1"/>
  <c r="J6" i="21" s="1"/>
  <c r="J14" i="21" s="1"/>
  <c r="J16" i="21" s="1"/>
  <c r="K6" i="21" s="1"/>
  <c r="K14" i="21" s="1"/>
  <c r="K16" i="21" s="1"/>
  <c r="L6" i="21" s="1"/>
  <c r="L14" i="21" s="1"/>
  <c r="L16" i="21" s="1"/>
  <c r="M6" i="21" s="1"/>
  <c r="M14" i="21" s="1"/>
  <c r="M16" i="21" s="1"/>
  <c r="B31" i="21"/>
  <c r="B33" i="21" s="1"/>
  <c r="C22" i="21" s="1"/>
  <c r="C31" i="21" s="1"/>
  <c r="C33" i="21" s="1"/>
  <c r="D22" i="21" s="1"/>
  <c r="D31" i="21" s="1"/>
  <c r="D33" i="21" s="1"/>
  <c r="E22" i="21" s="1"/>
  <c r="E31" i="21" s="1"/>
  <c r="E33" i="21" s="1"/>
  <c r="F22" i="21" s="1"/>
  <c r="F31" i="21" s="1"/>
  <c r="F33" i="21" s="1"/>
  <c r="G22" i="21" s="1"/>
  <c r="G31" i="21" s="1"/>
  <c r="G33" i="21" s="1"/>
  <c r="H22" i="21" s="1"/>
  <c r="H31" i="21" s="1"/>
  <c r="H33" i="21" s="1"/>
  <c r="I22" i="21" s="1"/>
  <c r="I31" i="21" s="1"/>
  <c r="I33" i="21" s="1"/>
  <c r="J22" i="21" s="1"/>
  <c r="J31" i="21" s="1"/>
  <c r="J33" i="21" s="1"/>
  <c r="K22" i="21" s="1"/>
  <c r="K31" i="21" s="1"/>
  <c r="K33" i="21" s="1"/>
  <c r="L22" i="21" s="1"/>
  <c r="L31" i="21" s="1"/>
  <c r="L33" i="21" s="1"/>
  <c r="M22" i="21" s="1"/>
  <c r="M31" i="21" s="1"/>
  <c r="M33" i="21" s="1"/>
  <c r="C6" i="32"/>
  <c r="C15" i="32" s="1"/>
  <c r="B15" i="32"/>
  <c r="B17" i="32" s="1"/>
  <c r="C17" i="32"/>
  <c r="D6" i="32" s="1"/>
  <c r="D15" i="32" s="1"/>
  <c r="D17" i="32" s="1"/>
  <c r="E6" i="32" s="1"/>
  <c r="E15" i="32" s="1"/>
  <c r="E17" i="32" s="1"/>
  <c r="F6" i="32" s="1"/>
  <c r="F15" i="32" s="1"/>
  <c r="F17" i="32" s="1"/>
  <c r="G6" i="32" s="1"/>
  <c r="G15" i="32" s="1"/>
  <c r="G17" i="32" s="1"/>
  <c r="H6" i="32" s="1"/>
  <c r="H15" i="32" s="1"/>
  <c r="H17" i="32" s="1"/>
  <c r="I6" i="32" s="1"/>
  <c r="I15" i="32" s="1"/>
  <c r="I17" i="32" s="1"/>
  <c r="J6" i="32" s="1"/>
  <c r="J15" i="32" s="1"/>
  <c r="J17" i="32" s="1"/>
  <c r="K6" i="32" s="1"/>
  <c r="K15" i="32" s="1"/>
  <c r="K17" i="32" s="1"/>
  <c r="L6" i="32" s="1"/>
  <c r="L15" i="32" s="1"/>
  <c r="L17" i="32" s="1"/>
  <c r="M6" i="32" s="1"/>
  <c r="M15" i="32" s="1"/>
  <c r="M17" i="32" s="1"/>
  <c r="B34" i="32"/>
  <c r="B36" i="32" s="1"/>
  <c r="C25" i="32" s="1"/>
  <c r="C34" i="32" s="1"/>
  <c r="C36" i="32" s="1"/>
  <c r="D25" i="32" s="1"/>
  <c r="D34" i="32" s="1"/>
  <c r="D36" i="32" s="1"/>
  <c r="E25" i="32" s="1"/>
  <c r="E34" i="32" s="1"/>
  <c r="E36" i="32" s="1"/>
  <c r="F25" i="32" s="1"/>
  <c r="F34" i="32" s="1"/>
  <c r="F36" i="32" s="1"/>
  <c r="G25" i="32" s="1"/>
  <c r="G34" i="32" s="1"/>
  <c r="G36" i="32" s="1"/>
  <c r="H25" i="32" s="1"/>
  <c r="H34" i="32" s="1"/>
  <c r="H36" i="32" s="1"/>
  <c r="I25" i="32" s="1"/>
  <c r="I34" i="32" s="1"/>
  <c r="I36" i="32" s="1"/>
  <c r="J25" i="32" s="1"/>
  <c r="J34" i="32" s="1"/>
  <c r="J36" i="32" s="1"/>
  <c r="K25" i="32" s="1"/>
  <c r="K34" i="32" s="1"/>
  <c r="K36" i="32" s="1"/>
  <c r="L25" i="32" s="1"/>
  <c r="L34" i="32" s="1"/>
  <c r="L36" i="32" s="1"/>
  <c r="M25" i="32" s="1"/>
  <c r="M34" i="32" s="1"/>
  <c r="M36" i="32" s="1"/>
  <c r="B54" i="32"/>
  <c r="B56" i="32" s="1"/>
  <c r="C45" i="32" s="1"/>
  <c r="C54" i="32" s="1"/>
  <c r="C56" i="32" s="1"/>
  <c r="D45" i="32" s="1"/>
  <c r="D54" i="32" s="1"/>
  <c r="D56" i="32" s="1"/>
  <c r="E45" i="32" s="1"/>
  <c r="E54" i="32" s="1"/>
  <c r="E56" i="32" s="1"/>
  <c r="F45" i="32" s="1"/>
  <c r="F54" i="32" s="1"/>
  <c r="F56" i="32" s="1"/>
  <c r="G45" i="32" s="1"/>
  <c r="G54" i="32" s="1"/>
  <c r="G56" i="32" s="1"/>
  <c r="H45" i="32" s="1"/>
  <c r="H54" i="32" s="1"/>
  <c r="H56" i="32" s="1"/>
  <c r="I45" i="32" s="1"/>
  <c r="I54" i="32" s="1"/>
  <c r="B15" i="75"/>
  <c r="B17" i="75" s="1"/>
  <c r="C6" i="75" s="1"/>
  <c r="C15" i="75" s="1"/>
  <c r="C17" i="75" s="1"/>
  <c r="D6" i="75" s="1"/>
  <c r="D15" i="75" s="1"/>
  <c r="D17" i="75" s="1"/>
  <c r="E6" i="75" s="1"/>
  <c r="E15" i="75" s="1"/>
  <c r="E17" i="75" s="1"/>
  <c r="F6" i="75" s="1"/>
  <c r="F15" i="75" s="1"/>
  <c r="F17" i="75" s="1"/>
  <c r="G6" i="75" s="1"/>
  <c r="G15" i="75" s="1"/>
  <c r="G17" i="75" s="1"/>
  <c r="H6" i="75" s="1"/>
  <c r="H15" i="75" s="1"/>
  <c r="H17" i="75" s="1"/>
  <c r="I6" i="75" s="1"/>
  <c r="I15" i="75" s="1"/>
  <c r="I17" i="75" s="1"/>
  <c r="J6" i="75" s="1"/>
  <c r="J15" i="75" s="1"/>
  <c r="J17" i="75" s="1"/>
  <c r="K6" i="75" s="1"/>
  <c r="K15" i="75" s="1"/>
  <c r="K17" i="75" s="1"/>
  <c r="L6" i="75" s="1"/>
  <c r="L15" i="75" s="1"/>
  <c r="L17" i="75" s="1"/>
  <c r="M6" i="75" s="1"/>
  <c r="M15" i="75" s="1"/>
  <c r="M17" i="75" s="1"/>
  <c r="B32" i="75"/>
  <c r="M33" i="75"/>
  <c r="B34" i="75"/>
  <c r="C23" i="75" s="1"/>
  <c r="C32" i="75" s="1"/>
  <c r="C34" i="75" s="1"/>
  <c r="D23" i="75" s="1"/>
  <c r="D32" i="75" s="1"/>
  <c r="D34" i="75" s="1"/>
  <c r="E23" i="75" s="1"/>
  <c r="E32" i="75" s="1"/>
  <c r="E34" i="75" s="1"/>
  <c r="F23" i="75" s="1"/>
  <c r="F32" i="75" s="1"/>
  <c r="F34" i="75" s="1"/>
  <c r="G23" i="75" s="1"/>
  <c r="G32" i="75" s="1"/>
  <c r="G34" i="75" s="1"/>
  <c r="H23" i="75" s="1"/>
  <c r="H32" i="75" s="1"/>
  <c r="H34" i="75" s="1"/>
  <c r="I23" i="75" s="1"/>
  <c r="I32" i="75" s="1"/>
  <c r="I34" i="75" s="1"/>
  <c r="J23" i="75" s="1"/>
  <c r="J32" i="75" s="1"/>
  <c r="J34" i="75" s="1"/>
  <c r="K23" i="75" s="1"/>
  <c r="K32" i="75" s="1"/>
  <c r="K34" i="75" s="1"/>
  <c r="L23" i="75" s="1"/>
  <c r="L32" i="75" s="1"/>
  <c r="L34" i="75" s="1"/>
  <c r="M23" i="75" s="1"/>
  <c r="M32" i="75" s="1"/>
  <c r="M34" i="75" s="1"/>
  <c r="B16" i="33"/>
  <c r="B18" i="33" s="1"/>
  <c r="C7" i="33" s="1"/>
  <c r="C16" i="33" s="1"/>
  <c r="C18" i="33" s="1"/>
  <c r="D7" i="33" s="1"/>
  <c r="D16" i="33" s="1"/>
  <c r="D18" i="33" s="1"/>
  <c r="E7" i="33" s="1"/>
  <c r="E16" i="33" s="1"/>
  <c r="E18" i="33" s="1"/>
  <c r="F7" i="33" s="1"/>
  <c r="F16" i="33" s="1"/>
  <c r="F18" i="33" s="1"/>
  <c r="G7" i="33" s="1"/>
  <c r="G16" i="33" s="1"/>
  <c r="G18" i="33" s="1"/>
  <c r="H7" i="33" s="1"/>
  <c r="H16" i="33" s="1"/>
  <c r="H18" i="33" s="1"/>
  <c r="I7" i="33" s="1"/>
  <c r="I16" i="33" s="1"/>
  <c r="I18" i="33" s="1"/>
  <c r="J7" i="33" s="1"/>
  <c r="J16" i="33" s="1"/>
  <c r="J18" i="33" s="1"/>
  <c r="K7" i="33" s="1"/>
  <c r="K16" i="33" s="1"/>
  <c r="K18" i="33" s="1"/>
  <c r="L7" i="33" s="1"/>
  <c r="L16" i="33" s="1"/>
  <c r="L18" i="33" s="1"/>
  <c r="M7" i="33" s="1"/>
  <c r="M16" i="33" s="1"/>
  <c r="M18" i="33" s="1"/>
  <c r="B15" i="97"/>
  <c r="B17" i="97" s="1"/>
  <c r="C6" i="97" s="1"/>
  <c r="C15" i="97" s="1"/>
  <c r="C17" i="97" s="1"/>
  <c r="D6" i="97" s="1"/>
  <c r="D15" i="97" s="1"/>
  <c r="D17" i="97" s="1"/>
  <c r="E6" i="97" s="1"/>
  <c r="E15" i="97" s="1"/>
  <c r="E17" i="97" s="1"/>
  <c r="F6" i="97" s="1"/>
  <c r="F15" i="97" s="1"/>
  <c r="F17" i="97" s="1"/>
  <c r="G6" i="97" s="1"/>
  <c r="G15" i="97" s="1"/>
  <c r="G17" i="97" s="1"/>
  <c r="H6" i="97" s="1"/>
  <c r="H15" i="97" s="1"/>
  <c r="H17" i="97" s="1"/>
  <c r="I6" i="97" s="1"/>
  <c r="I15" i="97" s="1"/>
  <c r="I17" i="97" s="1"/>
  <c r="J6" i="97" s="1"/>
  <c r="J15" i="97" s="1"/>
  <c r="J17" i="97" s="1"/>
  <c r="K6" i="97" s="1"/>
  <c r="K15" i="97" s="1"/>
  <c r="K17" i="97" s="1"/>
  <c r="L6" i="97" s="1"/>
  <c r="L15" i="97" s="1"/>
  <c r="L17" i="97" s="1"/>
  <c r="M6" i="97" s="1"/>
  <c r="M15" i="97" s="1"/>
  <c r="M17" i="97" s="1"/>
  <c r="B33" i="97"/>
  <c r="B35" i="97" s="1"/>
  <c r="C24" i="97" s="1"/>
  <c r="C33" i="97" s="1"/>
  <c r="C35" i="97" s="1"/>
  <c r="D24" i="97" s="1"/>
  <c r="D33" i="97" s="1"/>
  <c r="D35" i="97" s="1"/>
  <c r="E24" i="97" s="1"/>
  <c r="E33" i="97" s="1"/>
  <c r="E35" i="97" s="1"/>
  <c r="F24" i="97" s="1"/>
  <c r="F33" i="97" s="1"/>
  <c r="F35" i="97" s="1"/>
  <c r="G24" i="97" s="1"/>
  <c r="G33" i="97" s="1"/>
  <c r="G35" i="97" s="1"/>
  <c r="H24" i="97" s="1"/>
  <c r="H33" i="97" s="1"/>
  <c r="H35" i="97" s="1"/>
  <c r="I24" i="97" s="1"/>
  <c r="I33" i="97" s="1"/>
  <c r="I35" i="97" s="1"/>
  <c r="J24" i="97" s="1"/>
  <c r="J33" i="97" s="1"/>
  <c r="J35" i="97" s="1"/>
  <c r="K24" i="97" s="1"/>
  <c r="K33" i="97" s="1"/>
  <c r="K35" i="97" s="1"/>
  <c r="L24" i="97" s="1"/>
  <c r="L33" i="97" s="1"/>
  <c r="L35" i="97" s="1"/>
  <c r="M24" i="97" s="1"/>
  <c r="M35" i="97"/>
  <c r="B15" i="98"/>
  <c r="B17" i="98" s="1"/>
  <c r="C6" i="98" s="1"/>
  <c r="C15" i="98" s="1"/>
  <c r="C17" i="98" s="1"/>
  <c r="D6" i="98" s="1"/>
  <c r="D15" i="98" s="1"/>
  <c r="D17" i="98" s="1"/>
  <c r="E6" i="98" s="1"/>
  <c r="E15" i="98" s="1"/>
  <c r="E17" i="98" s="1"/>
  <c r="F6" i="98" s="1"/>
  <c r="F15" i="98" s="1"/>
  <c r="F17" i="98" s="1"/>
  <c r="G6" i="98" s="1"/>
  <c r="G15" i="98" s="1"/>
  <c r="G17" i="98" s="1"/>
  <c r="H6" i="98" s="1"/>
  <c r="H15" i="98" s="1"/>
  <c r="H17" i="98" s="1"/>
  <c r="I6" i="98" s="1"/>
  <c r="I15" i="98" s="1"/>
  <c r="I17" i="98" s="1"/>
  <c r="J6" i="98" s="1"/>
  <c r="J15" i="98" s="1"/>
  <c r="J17" i="98" s="1"/>
  <c r="K6" i="98" s="1"/>
  <c r="K15" i="98" s="1"/>
  <c r="K17" i="98" s="1"/>
  <c r="L6" i="98" s="1"/>
  <c r="L15" i="98" s="1"/>
  <c r="L17" i="98" s="1"/>
  <c r="M6" i="98" s="1"/>
  <c r="M15" i="98" s="1"/>
  <c r="M17" i="98" s="1"/>
  <c r="D22" i="98"/>
  <c r="D31" i="98" s="1"/>
  <c r="D33" i="98" s="1"/>
  <c r="E22" i="98" s="1"/>
  <c r="E31" i="98" s="1"/>
  <c r="E33" i="98" s="1"/>
  <c r="F22" i="98" s="1"/>
  <c r="F31" i="98" s="1"/>
  <c r="F33" i="98" s="1"/>
  <c r="G22" i="98" s="1"/>
  <c r="G31" i="98" s="1"/>
  <c r="G33" i="98" s="1"/>
  <c r="H22" i="98" s="1"/>
  <c r="H31" i="98" s="1"/>
  <c r="H33" i="98" s="1"/>
  <c r="I22" i="98" s="1"/>
  <c r="I31" i="98" s="1"/>
  <c r="I33" i="98" s="1"/>
  <c r="J22" i="98" s="1"/>
  <c r="J31" i="98" s="1"/>
  <c r="J33" i="98" s="1"/>
  <c r="K22" i="98" s="1"/>
  <c r="K31" i="98" s="1"/>
  <c r="K33" i="98" s="1"/>
  <c r="L22" i="98" s="1"/>
  <c r="L31" i="98" s="1"/>
  <c r="L33" i="98" s="1"/>
  <c r="M22" i="98" s="1"/>
  <c r="M31" i="98" s="1"/>
  <c r="M33" i="98" s="1"/>
  <c r="B31" i="98"/>
  <c r="B33" i="98" s="1"/>
  <c r="C22" i="98" s="1"/>
  <c r="C31" i="98" s="1"/>
  <c r="C33" i="98" s="1"/>
  <c r="B14" i="100"/>
  <c r="B16" i="100" s="1"/>
  <c r="C5" i="100" s="1"/>
  <c r="C14" i="100" s="1"/>
  <c r="C16" i="100" s="1"/>
  <c r="D5" i="100" s="1"/>
  <c r="D14" i="100" s="1"/>
  <c r="D16" i="100" s="1"/>
  <c r="E5" i="100" s="1"/>
  <c r="E14" i="100" s="1"/>
  <c r="E16" i="100" s="1"/>
  <c r="F5" i="100" s="1"/>
  <c r="F14" i="100" s="1"/>
  <c r="F16" i="100" s="1"/>
  <c r="G5" i="100" s="1"/>
  <c r="G14" i="100" s="1"/>
  <c r="G16" i="100" s="1"/>
  <c r="H5" i="100" s="1"/>
  <c r="H14" i="100" s="1"/>
  <c r="H16" i="100" s="1"/>
  <c r="I5" i="100" s="1"/>
  <c r="I14" i="100" s="1"/>
  <c r="I16" i="100" s="1"/>
  <c r="J5" i="100" s="1"/>
  <c r="J14" i="100" s="1"/>
  <c r="J16" i="100" s="1"/>
  <c r="K5" i="100" s="1"/>
  <c r="K14" i="100" s="1"/>
  <c r="K16" i="100" s="1"/>
  <c r="L5" i="100" s="1"/>
  <c r="L14" i="100" s="1"/>
  <c r="L16" i="100" s="1"/>
  <c r="M5" i="100" s="1"/>
  <c r="M14" i="100" s="1"/>
  <c r="M16" i="100" s="1"/>
  <c r="G21" i="100"/>
  <c r="G30" i="100" s="1"/>
  <c r="G32" i="100" s="1"/>
  <c r="H21" i="100" s="1"/>
  <c r="H30" i="100" s="1"/>
  <c r="H32" i="100" s="1"/>
  <c r="I21" i="100" s="1"/>
  <c r="I30" i="100" s="1"/>
  <c r="I32" i="100" s="1"/>
  <c r="J21" i="100" s="1"/>
  <c r="J30" i="100" s="1"/>
  <c r="J32" i="100" s="1"/>
  <c r="K21" i="100" s="1"/>
  <c r="K30" i="100" s="1"/>
  <c r="K32" i="100" s="1"/>
  <c r="L21" i="100" s="1"/>
  <c r="L30" i="100" s="1"/>
  <c r="L32" i="100" s="1"/>
  <c r="M21" i="100" s="1"/>
  <c r="M30" i="100" s="1"/>
  <c r="M32" i="100" s="1"/>
  <c r="B30" i="100"/>
  <c r="B32" i="100"/>
  <c r="C21" i="100" s="1"/>
  <c r="C30" i="100" s="1"/>
  <c r="C32" i="100" s="1"/>
  <c r="D21" i="100" s="1"/>
  <c r="D30" i="100" s="1"/>
  <c r="D32" i="100" s="1"/>
  <c r="E21" i="100" s="1"/>
  <c r="E30" i="100" s="1"/>
  <c r="E32" i="100" s="1"/>
  <c r="F21" i="100" s="1"/>
  <c r="F30" i="100" s="1"/>
  <c r="B19" i="35"/>
  <c r="B21" i="35" s="1"/>
  <c r="C10" i="35" s="1"/>
  <c r="C19" i="35" s="1"/>
  <c r="C21" i="35" s="1"/>
  <c r="D10" i="35" s="1"/>
  <c r="D19" i="35" s="1"/>
  <c r="D21" i="35" s="1"/>
  <c r="E10" i="35" s="1"/>
  <c r="E19" i="35" s="1"/>
  <c r="E21" i="35" s="1"/>
  <c r="F10" i="35" s="1"/>
  <c r="F19" i="35" s="1"/>
  <c r="F21" i="35" s="1"/>
  <c r="G10" i="35" s="1"/>
  <c r="G19" i="35" s="1"/>
  <c r="G21" i="35" s="1"/>
  <c r="H10" i="35" s="1"/>
  <c r="H19" i="35" s="1"/>
  <c r="H21" i="35" s="1"/>
  <c r="I10" i="35" s="1"/>
  <c r="I19" i="35" s="1"/>
  <c r="I21" i="35" s="1"/>
  <c r="J10" i="35" s="1"/>
  <c r="J19" i="35" s="1"/>
  <c r="J21" i="35" s="1"/>
  <c r="K10" i="35" s="1"/>
  <c r="K19" i="35" s="1"/>
  <c r="K21" i="35" s="1"/>
  <c r="L10" i="35" s="1"/>
  <c r="L19" i="35" s="1"/>
  <c r="L21" i="35" s="1"/>
  <c r="M10" i="35" s="1"/>
  <c r="M19" i="35" s="1"/>
  <c r="M21" i="35" s="1"/>
  <c r="B37" i="35"/>
  <c r="B39" i="35" s="1"/>
  <c r="C28" i="35" s="1"/>
  <c r="C37" i="35" s="1"/>
  <c r="C39" i="35" s="1"/>
  <c r="D28" i="35" s="1"/>
  <c r="D37" i="35" s="1"/>
  <c r="D39" i="35" s="1"/>
  <c r="E28" i="35" s="1"/>
  <c r="E37" i="35" s="1"/>
  <c r="E39" i="35" s="1"/>
  <c r="F28" i="35" s="1"/>
  <c r="F37" i="35" s="1"/>
  <c r="F39" i="35" s="1"/>
  <c r="G28" i="35" s="1"/>
  <c r="G37" i="35" s="1"/>
  <c r="G39" i="35" s="1"/>
  <c r="H28" i="35" s="1"/>
  <c r="H37" i="35" s="1"/>
  <c r="H39" i="35" s="1"/>
  <c r="I28" i="35" s="1"/>
  <c r="I37" i="35" s="1"/>
  <c r="I39" i="35" s="1"/>
  <c r="J28" i="35" s="1"/>
  <c r="J37" i="35" s="1"/>
  <c r="J39" i="35" s="1"/>
  <c r="K28" i="35" s="1"/>
  <c r="K37" i="35" s="1"/>
  <c r="K39" i="35" s="1"/>
  <c r="L28" i="35" s="1"/>
  <c r="L37" i="35" s="1"/>
  <c r="L39" i="35" s="1"/>
  <c r="M28" i="35" s="1"/>
  <c r="M37" i="35" s="1"/>
  <c r="M39" i="35" s="1"/>
  <c r="C6" i="72"/>
  <c r="C14" i="72" s="1"/>
  <c r="F6" i="72"/>
  <c r="G6" i="72"/>
  <c r="G14" i="72" s="1"/>
  <c r="H6" i="72"/>
  <c r="H14" i="72" s="1"/>
  <c r="I6" i="72"/>
  <c r="J6" i="72"/>
  <c r="J14" i="72" s="1"/>
  <c r="K6" i="72"/>
  <c r="L6" i="72"/>
  <c r="M6" i="72"/>
  <c r="M14" i="72" s="1"/>
  <c r="B14" i="72"/>
  <c r="B16" i="72" s="1"/>
  <c r="F14" i="72"/>
  <c r="I14" i="72"/>
  <c r="K14" i="72"/>
  <c r="L14" i="72"/>
  <c r="C16" i="72"/>
  <c r="D6" i="72" s="1"/>
  <c r="D14" i="72" s="1"/>
  <c r="D16" i="72" s="1"/>
  <c r="E6" i="72" s="1"/>
  <c r="E14" i="72" s="1"/>
  <c r="E16" i="72" s="1"/>
  <c r="B33" i="72"/>
  <c r="B35" i="72" s="1"/>
  <c r="C24" i="72" s="1"/>
  <c r="C33" i="72" s="1"/>
  <c r="C35" i="72" s="1"/>
  <c r="D24" i="72" s="1"/>
  <c r="D33" i="72" s="1"/>
  <c r="D35" i="72" s="1"/>
  <c r="E24" i="72" s="1"/>
  <c r="E33" i="72" s="1"/>
  <c r="E35" i="72" s="1"/>
  <c r="F24" i="72" s="1"/>
  <c r="F33" i="72" s="1"/>
  <c r="F35" i="72" s="1"/>
  <c r="G24" i="72" s="1"/>
  <c r="G33" i="72" s="1"/>
  <c r="G35" i="72" s="1"/>
  <c r="H24" i="72" s="1"/>
  <c r="H33" i="72" s="1"/>
  <c r="H35" i="72" s="1"/>
  <c r="I24" i="72" s="1"/>
  <c r="I33" i="72" s="1"/>
  <c r="I35" i="72" s="1"/>
  <c r="J24" i="72" s="1"/>
  <c r="J33" i="72" s="1"/>
  <c r="J35" i="72" s="1"/>
  <c r="K24" i="72" s="1"/>
  <c r="K33" i="72" s="1"/>
  <c r="K35" i="72" s="1"/>
  <c r="L24" i="72" s="1"/>
  <c r="L33" i="72" s="1"/>
  <c r="L35" i="72" s="1"/>
  <c r="M24" i="72" s="1"/>
  <c r="M33" i="72" s="1"/>
  <c r="M35" i="72" s="1"/>
  <c r="B15" i="20"/>
  <c r="B17" i="20" s="1"/>
  <c r="C6" i="20" s="1"/>
  <c r="C15" i="20" s="1"/>
  <c r="C17" i="20" s="1"/>
  <c r="D6" i="20" s="1"/>
  <c r="D15" i="20" s="1"/>
  <c r="D17" i="20" s="1"/>
  <c r="E6" i="20" s="1"/>
  <c r="E15" i="20" s="1"/>
  <c r="E17" i="20" s="1"/>
  <c r="F6" i="20" s="1"/>
  <c r="F15" i="20" s="1"/>
  <c r="F17" i="20" s="1"/>
  <c r="G6" i="20" s="1"/>
  <c r="G15" i="20" s="1"/>
  <c r="G17" i="20" s="1"/>
  <c r="H6" i="20" s="1"/>
  <c r="H15" i="20" s="1"/>
  <c r="H17" i="20" s="1"/>
  <c r="I6" i="20" s="1"/>
  <c r="I15" i="20" s="1"/>
  <c r="I17" i="20" s="1"/>
  <c r="J6" i="20" s="1"/>
  <c r="J15" i="20" s="1"/>
  <c r="J17" i="20" s="1"/>
  <c r="K6" i="20" s="1"/>
  <c r="K15" i="20" s="1"/>
  <c r="L6" i="20"/>
  <c r="L15" i="20"/>
  <c r="L17" i="20" s="1"/>
  <c r="M6" i="20" s="1"/>
  <c r="M15" i="20" s="1"/>
  <c r="M17" i="20" s="1"/>
  <c r="B33" i="20"/>
  <c r="B35" i="20" s="1"/>
  <c r="C24" i="20" s="1"/>
  <c r="C33" i="20" s="1"/>
  <c r="C35" i="20" s="1"/>
  <c r="D24" i="20" s="1"/>
  <c r="D33" i="20" s="1"/>
  <c r="D35" i="20" s="1"/>
  <c r="E24" i="20" s="1"/>
  <c r="E33" i="20" s="1"/>
  <c r="E35" i="20" s="1"/>
  <c r="F24" i="20" s="1"/>
  <c r="F33" i="20" s="1"/>
  <c r="F35" i="20" s="1"/>
  <c r="G24" i="20" s="1"/>
  <c r="G33" i="20" s="1"/>
  <c r="G35" i="20" s="1"/>
  <c r="H24" i="20" s="1"/>
  <c r="H33" i="20" s="1"/>
  <c r="H35" i="20" s="1"/>
  <c r="I24" i="20" s="1"/>
  <c r="I33" i="20" s="1"/>
  <c r="I35" i="20" s="1"/>
  <c r="J24" i="20" s="1"/>
  <c r="J33" i="20" s="1"/>
  <c r="J35" i="20" s="1"/>
  <c r="K24" i="20" s="1"/>
  <c r="K33" i="20" s="1"/>
  <c r="K35" i="20" s="1"/>
  <c r="L24" i="20" s="1"/>
  <c r="L33" i="20" s="1"/>
  <c r="L35" i="20" s="1"/>
  <c r="M24" i="20" s="1"/>
  <c r="M33" i="20" s="1"/>
  <c r="M35" i="20" s="1"/>
  <c r="C43" i="20"/>
  <c r="B51" i="20"/>
  <c r="B52" i="20"/>
  <c r="C52" i="20"/>
  <c r="F52" i="20"/>
  <c r="H52" i="20"/>
  <c r="M52" i="20"/>
  <c r="D11" i="87"/>
  <c r="B14" i="87"/>
  <c r="B16" i="87" s="1"/>
  <c r="C5" i="87" s="1"/>
  <c r="C14" i="87" s="1"/>
  <c r="C16" i="87" s="1"/>
  <c r="D5" i="87" s="1"/>
  <c r="D14" i="87" s="1"/>
  <c r="D16" i="87" s="1"/>
  <c r="E5" i="87" s="1"/>
  <c r="E14" i="87" s="1"/>
  <c r="E16" i="87" s="1"/>
  <c r="F5" i="87" s="1"/>
  <c r="F14" i="87" s="1"/>
  <c r="F16" i="87" s="1"/>
  <c r="G5" i="87" s="1"/>
  <c r="G14" i="87" s="1"/>
  <c r="G16" i="87" s="1"/>
  <c r="H5" i="87" s="1"/>
  <c r="H14" i="87" s="1"/>
  <c r="H16" i="87" s="1"/>
  <c r="I5" i="87" s="1"/>
  <c r="I14" i="87" s="1"/>
  <c r="I16" i="87" s="1"/>
  <c r="J5" i="87" s="1"/>
  <c r="J14" i="87" s="1"/>
  <c r="J16" i="87" s="1"/>
  <c r="K5" i="87" s="1"/>
  <c r="K14" i="87" s="1"/>
  <c r="K16" i="87" s="1"/>
  <c r="L5" i="87" s="1"/>
  <c r="L14" i="87" s="1"/>
  <c r="L16" i="87" s="1"/>
  <c r="M5" i="87" s="1"/>
  <c r="M14" i="87" s="1"/>
  <c r="M16" i="87" s="1"/>
  <c r="B29" i="87"/>
  <c r="B31" i="87" s="1"/>
  <c r="C20" i="87" s="1"/>
  <c r="C29" i="87" s="1"/>
  <c r="C31" i="87" s="1"/>
  <c r="D20" i="87" s="1"/>
  <c r="D29" i="87" s="1"/>
  <c r="D31" i="87" s="1"/>
  <c r="E20" i="87" s="1"/>
  <c r="E29" i="87" s="1"/>
  <c r="E31" i="87" s="1"/>
  <c r="F20" i="87" s="1"/>
  <c r="F29" i="87" s="1"/>
  <c r="F31" i="87" s="1"/>
  <c r="G20" i="87" s="1"/>
  <c r="G29" i="87" s="1"/>
  <c r="G31" i="87" s="1"/>
  <c r="H20" i="87" s="1"/>
  <c r="H29" i="87" s="1"/>
  <c r="H31" i="87" s="1"/>
  <c r="I20" i="87" s="1"/>
  <c r="I29" i="87" s="1"/>
  <c r="I31" i="87" s="1"/>
  <c r="J20" i="87" s="1"/>
  <c r="J29" i="87" s="1"/>
  <c r="J31" i="87" s="1"/>
  <c r="K20" i="87" s="1"/>
  <c r="K29" i="87" s="1"/>
  <c r="K31" i="87" s="1"/>
  <c r="L20" i="87" s="1"/>
  <c r="L29" i="87" s="1"/>
  <c r="L31" i="87" s="1"/>
  <c r="M20" i="87" s="1"/>
  <c r="M29" i="87" s="1"/>
  <c r="M31" i="87" s="1"/>
  <c r="B16" i="89"/>
  <c r="B18" i="89" s="1"/>
  <c r="C7" i="89" s="1"/>
  <c r="C16" i="89" s="1"/>
  <c r="C18" i="89" s="1"/>
  <c r="D7" i="89" s="1"/>
  <c r="D16" i="89" s="1"/>
  <c r="D18" i="89" s="1"/>
  <c r="E7" i="89" s="1"/>
  <c r="E16" i="89" s="1"/>
  <c r="E18" i="89" s="1"/>
  <c r="F7" i="89" s="1"/>
  <c r="F16" i="89" s="1"/>
  <c r="F18" i="89" s="1"/>
  <c r="G7" i="89" s="1"/>
  <c r="G16" i="89" s="1"/>
  <c r="G18" i="89" s="1"/>
  <c r="H7" i="89" s="1"/>
  <c r="H16" i="89" s="1"/>
  <c r="H18" i="89" s="1"/>
  <c r="I7" i="89" s="1"/>
  <c r="I16" i="89" s="1"/>
  <c r="I18" i="89" s="1"/>
  <c r="J7" i="89" s="1"/>
  <c r="J16" i="89" s="1"/>
  <c r="J18" i="89" s="1"/>
  <c r="K7" i="89" s="1"/>
  <c r="K16" i="89" s="1"/>
  <c r="K18" i="89" s="1"/>
  <c r="L7" i="89" s="1"/>
  <c r="L16" i="89" s="1"/>
  <c r="L18" i="89" s="1"/>
  <c r="M7" i="89" s="1"/>
  <c r="M16" i="89" s="1"/>
  <c r="M18" i="89" s="1"/>
  <c r="B33" i="89"/>
  <c r="B35" i="89" s="1"/>
  <c r="C24" i="89" s="1"/>
  <c r="C33" i="89" s="1"/>
  <c r="C35" i="89" s="1"/>
  <c r="D24" i="89" s="1"/>
  <c r="D33" i="89" s="1"/>
  <c r="D35" i="89" s="1"/>
  <c r="E24" i="89" s="1"/>
  <c r="E33" i="89" s="1"/>
  <c r="E35" i="89" s="1"/>
  <c r="F24" i="89" s="1"/>
  <c r="F33" i="89" s="1"/>
  <c r="F35" i="89" s="1"/>
  <c r="G24" i="89" s="1"/>
  <c r="G33" i="89" s="1"/>
  <c r="G35" i="89" s="1"/>
  <c r="H24" i="89" s="1"/>
  <c r="H33" i="89" s="1"/>
  <c r="H35" i="89" s="1"/>
  <c r="I24" i="89"/>
  <c r="I33" i="89" s="1"/>
  <c r="I35" i="89" s="1"/>
  <c r="J24" i="89" s="1"/>
  <c r="J33" i="89" s="1"/>
  <c r="J35" i="89" s="1"/>
  <c r="K24" i="89" s="1"/>
  <c r="K33" i="89" s="1"/>
  <c r="K35" i="89" s="1"/>
  <c r="L24" i="89" s="1"/>
  <c r="L33" i="89" s="1"/>
  <c r="L35" i="89" s="1"/>
  <c r="M24" i="89" s="1"/>
  <c r="M33" i="89" s="1"/>
  <c r="M35" i="89" s="1"/>
  <c r="B48" i="89"/>
  <c r="B50" i="89"/>
  <c r="C39" i="89"/>
  <c r="C48" i="89" s="1"/>
  <c r="C50" i="89" s="1"/>
  <c r="D39" i="89" s="1"/>
  <c r="D48" i="89" s="1"/>
  <c r="D50" i="89" s="1"/>
  <c r="E39" i="89" s="1"/>
  <c r="E48" i="89" s="1"/>
  <c r="E50" i="89" s="1"/>
  <c r="F39" i="89" s="1"/>
  <c r="F48" i="89" s="1"/>
  <c r="F50" i="89" s="1"/>
  <c r="G39" i="89" s="1"/>
  <c r="G48" i="89" s="1"/>
  <c r="G50" i="89" s="1"/>
  <c r="H39" i="89" s="1"/>
  <c r="H48" i="89" s="1"/>
  <c r="H50" i="89" s="1"/>
  <c r="I39" i="89" s="1"/>
  <c r="I48" i="89" s="1"/>
  <c r="I50" i="89" s="1"/>
  <c r="J39" i="89" s="1"/>
  <c r="J48" i="89" s="1"/>
  <c r="J50" i="89" s="1"/>
  <c r="K39" i="89" s="1"/>
  <c r="K48" i="89" s="1"/>
  <c r="K50" i="89" s="1"/>
  <c r="L39" i="89" s="1"/>
  <c r="L48" i="89" s="1"/>
  <c r="L50" i="89" s="1"/>
  <c r="M39" i="89" s="1"/>
  <c r="M48" i="89" s="1"/>
  <c r="M50" i="89" s="1"/>
  <c r="B15" i="129"/>
  <c r="B17" i="129" s="1"/>
  <c r="C6" i="129" s="1"/>
  <c r="C15" i="129" s="1"/>
  <c r="C17" i="129" s="1"/>
  <c r="D6" i="129" s="1"/>
  <c r="D15" i="129" s="1"/>
  <c r="D17" i="129"/>
  <c r="E6" i="129" s="1"/>
  <c r="E15" i="129" s="1"/>
  <c r="E17" i="129" s="1"/>
  <c r="F6" i="129" s="1"/>
  <c r="F15" i="129" s="1"/>
  <c r="F17" i="129" s="1"/>
  <c r="G6" i="129" s="1"/>
  <c r="G15" i="129" s="1"/>
  <c r="G17" i="129" s="1"/>
  <c r="H6" i="129" s="1"/>
  <c r="H15" i="129" s="1"/>
  <c r="H17" i="129" s="1"/>
  <c r="I6" i="129" s="1"/>
  <c r="I15" i="129" s="1"/>
  <c r="I17" i="129" s="1"/>
  <c r="J6" i="129" s="1"/>
  <c r="J15" i="129" s="1"/>
  <c r="J17" i="129" s="1"/>
  <c r="K6" i="129" s="1"/>
  <c r="K15" i="129" s="1"/>
  <c r="K17" i="129" s="1"/>
  <c r="L6" i="129" s="1"/>
  <c r="L15" i="129" s="1"/>
  <c r="L17" i="129" s="1"/>
  <c r="M6" i="129" s="1"/>
  <c r="M15" i="129" s="1"/>
  <c r="M17" i="129" s="1"/>
  <c r="B32" i="129"/>
  <c r="B34" i="129" s="1"/>
  <c r="C23" i="129" s="1"/>
  <c r="C32" i="129" s="1"/>
  <c r="C34" i="129" s="1"/>
  <c r="D23" i="129" s="1"/>
  <c r="D32" i="129" s="1"/>
  <c r="D34" i="129" s="1"/>
  <c r="E23" i="129" s="1"/>
  <c r="E32" i="129" s="1"/>
  <c r="E34" i="129" s="1"/>
  <c r="F23" i="129" s="1"/>
  <c r="F32" i="129" s="1"/>
  <c r="F34" i="129" s="1"/>
  <c r="G23" i="129" s="1"/>
  <c r="G32" i="129" s="1"/>
  <c r="G34" i="129" s="1"/>
  <c r="H23" i="129" s="1"/>
  <c r="H32" i="129" s="1"/>
  <c r="H34" i="129" s="1"/>
  <c r="I23" i="129" s="1"/>
  <c r="I32" i="129" s="1"/>
  <c r="I34" i="129" s="1"/>
  <c r="J23" i="129" s="1"/>
  <c r="J32" i="129" s="1"/>
  <c r="J34" i="129" s="1"/>
  <c r="K23" i="129" s="1"/>
  <c r="K32" i="129" s="1"/>
  <c r="K34" i="129" s="1"/>
  <c r="L23" i="129" s="1"/>
  <c r="L32" i="129" s="1"/>
  <c r="L34" i="129" s="1"/>
  <c r="M23" i="129" s="1"/>
  <c r="M32" i="129" s="1"/>
  <c r="M34" i="129" s="1"/>
  <c r="B14" i="122"/>
  <c r="B16" i="122" s="1"/>
  <c r="C5" i="122" s="1"/>
  <c r="C14" i="122" s="1"/>
  <c r="C16" i="122" s="1"/>
  <c r="D5" i="122" s="1"/>
  <c r="D14" i="122" s="1"/>
  <c r="D16" i="122" s="1"/>
  <c r="E5" i="122" s="1"/>
  <c r="E14" i="122" s="1"/>
  <c r="E16" i="122" s="1"/>
  <c r="F5" i="122" s="1"/>
  <c r="F14" i="122" s="1"/>
  <c r="F16" i="122" s="1"/>
  <c r="G5" i="122" s="1"/>
  <c r="G14" i="122" s="1"/>
  <c r="G16" i="122" s="1"/>
  <c r="H5" i="122" s="1"/>
  <c r="H14" i="122" s="1"/>
  <c r="H16" i="122" s="1"/>
  <c r="I5" i="122" s="1"/>
  <c r="I14" i="122" s="1"/>
  <c r="I16" i="122" s="1"/>
  <c r="J5" i="122" s="1"/>
  <c r="J14" i="122" s="1"/>
  <c r="J16" i="122" s="1"/>
  <c r="K5" i="122" s="1"/>
  <c r="K14" i="122" s="1"/>
  <c r="K16" i="122" s="1"/>
  <c r="L5" i="122" s="1"/>
  <c r="L14" i="122" s="1"/>
  <c r="L16" i="122" s="1"/>
  <c r="M5" i="122" s="1"/>
  <c r="M14" i="122" s="1"/>
  <c r="M16" i="122" s="1"/>
  <c r="B30" i="122"/>
  <c r="B32" i="122"/>
  <c r="C21" i="122" s="1"/>
  <c r="C30" i="122" s="1"/>
  <c r="C32" i="122" s="1"/>
  <c r="D21" i="122" s="1"/>
  <c r="D30" i="122" s="1"/>
  <c r="D32" i="122" s="1"/>
  <c r="E21" i="122" s="1"/>
  <c r="E30" i="122" s="1"/>
  <c r="E32" i="122" s="1"/>
  <c r="F21" i="122" s="1"/>
  <c r="F30" i="122" s="1"/>
  <c r="F32" i="122" s="1"/>
  <c r="G21" i="122" s="1"/>
  <c r="G30" i="122" s="1"/>
  <c r="G32" i="122" s="1"/>
  <c r="H21" i="122" s="1"/>
  <c r="H30" i="122" s="1"/>
  <c r="H32" i="122" s="1"/>
  <c r="I21" i="122" s="1"/>
  <c r="I30" i="122" s="1"/>
  <c r="I32" i="122" s="1"/>
  <c r="J21" i="122" s="1"/>
  <c r="J30" i="122" s="1"/>
  <c r="J32" i="122" s="1"/>
  <c r="K21" i="122" s="1"/>
  <c r="K30" i="122" s="1"/>
  <c r="K32" i="122" s="1"/>
  <c r="L21" i="122" s="1"/>
  <c r="L30" i="122" s="1"/>
  <c r="L32" i="122" s="1"/>
  <c r="M21" i="122" s="1"/>
  <c r="M30" i="122" s="1"/>
  <c r="M32" i="122" s="1"/>
  <c r="B46" i="122"/>
  <c r="B48" i="122" s="1"/>
  <c r="C37" i="122" s="1"/>
  <c r="C46" i="122" s="1"/>
  <c r="C48" i="122" s="1"/>
  <c r="D37" i="122" s="1"/>
  <c r="D46" i="122" s="1"/>
  <c r="D48" i="122" s="1"/>
  <c r="E37" i="122" s="1"/>
  <c r="E46" i="122" s="1"/>
  <c r="E48" i="122" s="1"/>
  <c r="F37" i="122" s="1"/>
  <c r="F46" i="122" s="1"/>
  <c r="F48" i="122" s="1"/>
  <c r="G37" i="122" s="1"/>
  <c r="G46" i="122" s="1"/>
  <c r="G48" i="122" s="1"/>
  <c r="H37" i="122" s="1"/>
  <c r="H46" i="122" s="1"/>
  <c r="H48" i="122" s="1"/>
  <c r="I37" i="122" s="1"/>
  <c r="I46" i="122" s="1"/>
  <c r="I48" i="122" s="1"/>
  <c r="J37" i="122" s="1"/>
  <c r="J46" i="122" s="1"/>
  <c r="J48" i="122" s="1"/>
  <c r="K37" i="122" s="1"/>
  <c r="K46" i="122" s="1"/>
  <c r="K48" i="122" s="1"/>
  <c r="L37" i="122" s="1"/>
  <c r="L46" i="122" s="1"/>
  <c r="L48" i="122" s="1"/>
  <c r="M37" i="122" s="1"/>
  <c r="M46" i="122" s="1"/>
  <c r="M48" i="122" s="1"/>
  <c r="B15" i="158"/>
  <c r="B17" i="158" s="1"/>
  <c r="C6" i="158" s="1"/>
  <c r="C15" i="158" s="1"/>
  <c r="C17" i="158" s="1"/>
  <c r="D6" i="158" s="1"/>
  <c r="D15" i="158" s="1"/>
  <c r="D17" i="158" s="1"/>
  <c r="E6" i="158" s="1"/>
  <c r="E15" i="158" s="1"/>
  <c r="E17" i="158" s="1"/>
  <c r="F6" i="158" s="1"/>
  <c r="F15" i="158" s="1"/>
  <c r="F17" i="158" s="1"/>
  <c r="G6" i="158" s="1"/>
  <c r="G15" i="158" s="1"/>
  <c r="G17" i="158" s="1"/>
  <c r="H6" i="158" s="1"/>
  <c r="H15" i="158" s="1"/>
  <c r="H17" i="158" s="1"/>
  <c r="I6" i="158" s="1"/>
  <c r="I15" i="158" s="1"/>
  <c r="I17" i="158" s="1"/>
  <c r="J6" i="158" s="1"/>
  <c r="J15" i="158" s="1"/>
  <c r="J17" i="158" s="1"/>
  <c r="K6" i="158" s="1"/>
  <c r="K15" i="158" s="1"/>
  <c r="K17" i="158" s="1"/>
  <c r="L6" i="158" s="1"/>
  <c r="L15" i="158" s="1"/>
  <c r="L17" i="158" s="1"/>
  <c r="M6" i="158" s="1"/>
  <c r="M15" i="158" s="1"/>
  <c r="M17" i="158" s="1"/>
  <c r="B32" i="158"/>
  <c r="B34" i="158"/>
  <c r="C23" i="158" s="1"/>
  <c r="C32" i="158" s="1"/>
  <c r="C34" i="158" s="1"/>
  <c r="D23" i="158"/>
  <c r="D32" i="158" s="1"/>
  <c r="D34" i="158"/>
  <c r="E23" i="158" s="1"/>
  <c r="E32" i="158" s="1"/>
  <c r="E34" i="158" s="1"/>
  <c r="F23" i="158" s="1"/>
  <c r="F32" i="158" s="1"/>
  <c r="F34" i="158" s="1"/>
  <c r="G23" i="158" s="1"/>
  <c r="G32" i="158" s="1"/>
  <c r="G34" i="158" s="1"/>
  <c r="H23" i="158" s="1"/>
  <c r="H32" i="158" s="1"/>
  <c r="H34" i="158" s="1"/>
  <c r="I23" i="158" s="1"/>
  <c r="I32" i="158" s="1"/>
  <c r="I34" i="158" s="1"/>
  <c r="J23" i="158" s="1"/>
  <c r="J32" i="158" s="1"/>
  <c r="J34" i="158" s="1"/>
  <c r="K23" i="158" s="1"/>
  <c r="K32" i="158" s="1"/>
  <c r="K34" i="158" s="1"/>
  <c r="L23" i="158" s="1"/>
  <c r="L32" i="158" s="1"/>
  <c r="L34" i="158" s="1"/>
  <c r="M23" i="158" s="1"/>
  <c r="M32" i="158" s="1"/>
  <c r="M34" i="158" s="1"/>
  <c r="B17" i="30"/>
  <c r="B19" i="30" s="1"/>
  <c r="C8" i="30" s="1"/>
  <c r="C17" i="30"/>
  <c r="C19" i="30" s="1"/>
  <c r="D8" i="30" s="1"/>
  <c r="D17" i="30" s="1"/>
  <c r="D19" i="30" s="1"/>
  <c r="E8" i="30" s="1"/>
  <c r="E17" i="30" s="1"/>
  <c r="E19" i="30" s="1"/>
  <c r="F8" i="30" s="1"/>
  <c r="F17" i="30" s="1"/>
  <c r="F19" i="30" s="1"/>
  <c r="G8" i="30" s="1"/>
  <c r="G17" i="30" s="1"/>
  <c r="G19" i="30" s="1"/>
  <c r="H8" i="30" s="1"/>
  <c r="H17" i="30" s="1"/>
  <c r="H19" i="30" s="1"/>
  <c r="I8" i="30" s="1"/>
  <c r="I17" i="30" s="1"/>
  <c r="I19" i="30" s="1"/>
  <c r="J8" i="30" s="1"/>
  <c r="J17" i="30" s="1"/>
  <c r="J19" i="30" s="1"/>
  <c r="K8" i="30" s="1"/>
  <c r="K17" i="30" s="1"/>
  <c r="K19" i="30" s="1"/>
  <c r="L8" i="30" s="1"/>
  <c r="L17" i="30" s="1"/>
  <c r="L19" i="30" s="1"/>
  <c r="M8" i="30" s="1"/>
  <c r="M17" i="30" s="1"/>
  <c r="M19" i="30" s="1"/>
  <c r="N33" i="30"/>
  <c r="B34" i="30"/>
  <c r="B36" i="30" s="1"/>
  <c r="C25" i="30" s="1"/>
  <c r="C34" i="30" s="1"/>
  <c r="C36" i="30"/>
  <c r="D25" i="30" s="1"/>
  <c r="D34" i="30" s="1"/>
  <c r="D36" i="30" s="1"/>
  <c r="E25" i="30" s="1"/>
  <c r="E34" i="30" s="1"/>
  <c r="E36" i="30" s="1"/>
  <c r="F25" i="30" s="1"/>
  <c r="F34" i="30" s="1"/>
  <c r="F36" i="30"/>
  <c r="G25" i="30" s="1"/>
  <c r="G34" i="30" s="1"/>
  <c r="G36" i="30" s="1"/>
  <c r="H25" i="30" s="1"/>
  <c r="H34" i="30" s="1"/>
  <c r="H36" i="30" s="1"/>
  <c r="I25" i="30" s="1"/>
  <c r="I34" i="30" s="1"/>
  <c r="I36" i="30" s="1"/>
  <c r="J25" i="30" s="1"/>
  <c r="J34" i="30" s="1"/>
  <c r="J36" i="30" s="1"/>
  <c r="K25" i="30" s="1"/>
  <c r="K34" i="30" s="1"/>
  <c r="K36" i="30" s="1"/>
  <c r="L25" i="30" s="1"/>
  <c r="L34" i="30" s="1"/>
  <c r="L36" i="30" s="1"/>
  <c r="M25" i="30" s="1"/>
  <c r="M34" i="30" s="1"/>
  <c r="M36" i="30" s="1"/>
  <c r="B15" i="88"/>
  <c r="B17" i="88" s="1"/>
  <c r="C6" i="88" s="1"/>
  <c r="C15" i="88" s="1"/>
  <c r="C17" i="88" s="1"/>
  <c r="D6" i="88" s="1"/>
  <c r="D15" i="88" s="1"/>
  <c r="D17" i="88" s="1"/>
  <c r="E6" i="88" s="1"/>
  <c r="E15" i="88" s="1"/>
  <c r="E17" i="88" s="1"/>
  <c r="F6" i="88" s="1"/>
  <c r="F15" i="88" s="1"/>
  <c r="F17" i="88" s="1"/>
  <c r="G6" i="88" s="1"/>
  <c r="G15" i="88" s="1"/>
  <c r="G17" i="88" s="1"/>
  <c r="H6" i="88" s="1"/>
  <c r="H15" i="88" s="1"/>
  <c r="H17" i="88" s="1"/>
  <c r="I6" i="88" s="1"/>
  <c r="I15" i="88" s="1"/>
  <c r="I17" i="88" s="1"/>
  <c r="J6" i="88" s="1"/>
  <c r="J15" i="88" s="1"/>
  <c r="J17" i="88" s="1"/>
  <c r="K6" i="88" s="1"/>
  <c r="K15" i="88" s="1"/>
  <c r="K17" i="88" s="1"/>
  <c r="L6" i="88" s="1"/>
  <c r="L15" i="88" s="1"/>
  <c r="L17" i="88" s="1"/>
  <c r="M6" i="88" s="1"/>
  <c r="M15" i="88" s="1"/>
  <c r="M17" i="88" s="1"/>
  <c r="B33" i="88"/>
  <c r="B35" i="88" s="1"/>
  <c r="C24" i="88" s="1"/>
  <c r="C33" i="88" s="1"/>
  <c r="C35" i="88" s="1"/>
  <c r="D24" i="88" s="1"/>
  <c r="D33" i="88" s="1"/>
  <c r="D35" i="88" s="1"/>
  <c r="E24" i="88" s="1"/>
  <c r="E33" i="88" s="1"/>
  <c r="E35" i="88" s="1"/>
  <c r="F24" i="88" s="1"/>
  <c r="F33" i="88" s="1"/>
  <c r="F35" i="88" s="1"/>
  <c r="G24" i="88" s="1"/>
  <c r="G33" i="88" s="1"/>
  <c r="G35" i="88" s="1"/>
  <c r="H24" i="88" s="1"/>
  <c r="H33" i="88" s="1"/>
  <c r="H35" i="88" s="1"/>
  <c r="I24" i="88" s="1"/>
  <c r="I33" i="88" s="1"/>
  <c r="I35" i="88" s="1"/>
  <c r="J24" i="88" s="1"/>
  <c r="J33" i="88" s="1"/>
  <c r="J35" i="88" s="1"/>
  <c r="K24" i="88" s="1"/>
  <c r="K33" i="88" s="1"/>
  <c r="K35" i="88" s="1"/>
  <c r="L24" i="88" s="1"/>
  <c r="L33" i="88" s="1"/>
  <c r="L35" i="88" s="1"/>
  <c r="M24" i="88" s="1"/>
  <c r="M33" i="88" s="1"/>
  <c r="M35" i="88" s="1"/>
  <c r="E38" i="88"/>
  <c r="B13" i="31"/>
  <c r="B15" i="31" s="1"/>
  <c r="C4" i="31"/>
  <c r="C13" i="31" s="1"/>
  <c r="C15" i="31" s="1"/>
  <c r="D4" i="31" s="1"/>
  <c r="D13" i="31" s="1"/>
  <c r="D15" i="31" s="1"/>
  <c r="E4" i="31" s="1"/>
  <c r="E13" i="31" s="1"/>
  <c r="E15" i="31" s="1"/>
  <c r="F4" i="31" s="1"/>
  <c r="F13" i="31" s="1"/>
  <c r="F15" i="31" s="1"/>
  <c r="G4" i="31" s="1"/>
  <c r="G13" i="31" s="1"/>
  <c r="G15" i="31" s="1"/>
  <c r="H4" i="31" s="1"/>
  <c r="H13" i="31" s="1"/>
  <c r="H15" i="31" s="1"/>
  <c r="I4" i="31" s="1"/>
  <c r="I13" i="31" s="1"/>
  <c r="I15" i="31" s="1"/>
  <c r="J4" i="31" s="1"/>
  <c r="J13" i="31" s="1"/>
  <c r="J15" i="31" s="1"/>
  <c r="K4" i="31" s="1"/>
  <c r="K13" i="31" s="1"/>
  <c r="K15" i="31" s="1"/>
  <c r="L4" i="31" s="1"/>
  <c r="L13" i="31" s="1"/>
  <c r="L15" i="31" s="1"/>
  <c r="M4" i="31" s="1"/>
  <c r="M13" i="31" s="1"/>
  <c r="M15" i="31" s="1"/>
  <c r="B28" i="31"/>
  <c r="B30" i="31"/>
  <c r="C19" i="31" s="1"/>
  <c r="C28" i="31" s="1"/>
  <c r="C30" i="31" s="1"/>
  <c r="D19" i="31" s="1"/>
  <c r="D28" i="31" s="1"/>
  <c r="D30" i="31" s="1"/>
  <c r="E19" i="31" s="1"/>
  <c r="E28" i="31" s="1"/>
  <c r="E30" i="31" s="1"/>
  <c r="F19" i="31" s="1"/>
  <c r="F28" i="31" s="1"/>
  <c r="F30" i="31" s="1"/>
  <c r="G19" i="31" s="1"/>
  <c r="G28" i="31" s="1"/>
  <c r="G30" i="31" s="1"/>
  <c r="H19" i="31" s="1"/>
  <c r="H28" i="31" s="1"/>
  <c r="H30" i="31" s="1"/>
  <c r="I19" i="31" s="1"/>
  <c r="I28" i="31" s="1"/>
  <c r="I30" i="31" s="1"/>
  <c r="J19" i="31" s="1"/>
  <c r="J28" i="31" s="1"/>
  <c r="J30" i="31" s="1"/>
  <c r="K19" i="31" s="1"/>
  <c r="K28" i="31" s="1"/>
  <c r="K30" i="31" s="1"/>
  <c r="L19" i="31" s="1"/>
  <c r="L28" i="31" s="1"/>
  <c r="L30" i="31" s="1"/>
  <c r="M19" i="31" s="1"/>
  <c r="M28" i="31" s="1"/>
  <c r="M30" i="31" s="1"/>
  <c r="B43" i="31"/>
  <c r="B45" i="31" s="1"/>
  <c r="C34" i="31" s="1"/>
  <c r="C43" i="31" s="1"/>
  <c r="C45" i="31" s="1"/>
  <c r="D34" i="31" s="1"/>
  <c r="D43" i="31" s="1"/>
  <c r="D45" i="31" s="1"/>
  <c r="E34" i="31" s="1"/>
  <c r="E43" i="31" s="1"/>
  <c r="E45" i="31" s="1"/>
  <c r="F34" i="31" s="1"/>
  <c r="F43" i="31" s="1"/>
  <c r="F45" i="31" s="1"/>
  <c r="G34" i="31" s="1"/>
  <c r="G43" i="31" s="1"/>
  <c r="G45" i="31" s="1"/>
  <c r="H34" i="31" s="1"/>
  <c r="H43" i="31" s="1"/>
  <c r="H45" i="31" s="1"/>
  <c r="I34" i="31" s="1"/>
  <c r="I43" i="31" s="1"/>
  <c r="I45" i="31" s="1"/>
  <c r="J34" i="31" s="1"/>
  <c r="J43" i="31" s="1"/>
  <c r="J45" i="31" s="1"/>
  <c r="K34" i="31" s="1"/>
  <c r="K43" i="31" s="1"/>
  <c r="K45" i="31" s="1"/>
  <c r="L34" i="31" s="1"/>
  <c r="L43" i="31" s="1"/>
  <c r="L45" i="31" s="1"/>
  <c r="M34" i="31" s="1"/>
  <c r="M43" i="31" s="1"/>
  <c r="M45" i="31" s="1"/>
  <c r="B13" i="40"/>
  <c r="B15" i="40" s="1"/>
  <c r="C13" i="40"/>
  <c r="C15" i="40" s="1"/>
  <c r="C16" i="40" s="1"/>
  <c r="D13" i="40"/>
  <c r="D15" i="40" s="1"/>
  <c r="E13" i="40"/>
  <c r="E15" i="40" s="1"/>
  <c r="F13" i="40"/>
  <c r="G13" i="40"/>
  <c r="H13" i="40"/>
  <c r="I13" i="40"/>
  <c r="J13" i="40"/>
  <c r="J15" i="40" s="1"/>
  <c r="K13" i="40"/>
  <c r="K15" i="40" s="1"/>
  <c r="L13" i="40"/>
  <c r="L15" i="40" s="1"/>
  <c r="M13" i="40"/>
  <c r="F15" i="40"/>
  <c r="H15" i="40"/>
  <c r="I15" i="40"/>
  <c r="M15" i="40"/>
  <c r="H24" i="40"/>
  <c r="B32" i="40"/>
  <c r="B34" i="40" s="1"/>
  <c r="C24" i="40" s="1"/>
  <c r="C32" i="40" s="1"/>
  <c r="C34" i="40" s="1"/>
  <c r="H32" i="40"/>
  <c r="H34" i="40" s="1"/>
  <c r="I24" i="40" s="1"/>
  <c r="I32" i="40" s="1"/>
  <c r="I34" i="40" s="1"/>
  <c r="I35" i="40" s="1"/>
  <c r="G35" i="40"/>
  <c r="C16" i="163"/>
  <c r="C18" i="163" s="1"/>
  <c r="D7" i="163" s="1"/>
  <c r="D16" i="163" s="1"/>
  <c r="D18" i="163" s="1"/>
  <c r="E7" i="163" s="1"/>
  <c r="E16" i="163" s="1"/>
  <c r="E18" i="163" s="1"/>
  <c r="F7" i="163" s="1"/>
  <c r="F16" i="163" s="1"/>
  <c r="F18" i="163" s="1"/>
  <c r="G7" i="163" s="1"/>
  <c r="G16" i="163" s="1"/>
  <c r="G18" i="163" s="1"/>
  <c r="H7" i="163" s="1"/>
  <c r="H16" i="163" s="1"/>
  <c r="H18" i="163" s="1"/>
  <c r="I7" i="163" s="1"/>
  <c r="I16" i="163" s="1"/>
  <c r="I18" i="163" s="1"/>
  <c r="J7" i="163" s="1"/>
  <c r="J16" i="163" s="1"/>
  <c r="J18" i="163" s="1"/>
  <c r="K7" i="163" s="1"/>
  <c r="K16" i="163" s="1"/>
  <c r="K18" i="163" s="1"/>
  <c r="C33" i="163"/>
  <c r="C35" i="163"/>
  <c r="D24" i="163" s="1"/>
  <c r="D33" i="163" s="1"/>
  <c r="D35" i="163" s="1"/>
  <c r="E24" i="163" s="1"/>
  <c r="E33" i="163" s="1"/>
  <c r="E35" i="163" s="1"/>
  <c r="F24" i="163" s="1"/>
  <c r="F33" i="163" s="1"/>
  <c r="F35" i="163" s="1"/>
  <c r="G24" i="163" s="1"/>
  <c r="G33" i="163" s="1"/>
  <c r="G35" i="163" s="1"/>
  <c r="H24" i="163" s="1"/>
  <c r="H33" i="163" s="1"/>
  <c r="H35" i="163" s="1"/>
  <c r="I24" i="163" s="1"/>
  <c r="I33" i="163" s="1"/>
  <c r="I35" i="163" s="1"/>
  <c r="J24" i="163" s="1"/>
  <c r="J33" i="163" s="1"/>
  <c r="J35" i="163" s="1"/>
  <c r="K24" i="163" s="1"/>
  <c r="K33" i="163" s="1"/>
  <c r="K35" i="163" s="1"/>
  <c r="L24" i="163" s="1"/>
  <c r="L33" i="163" s="1"/>
  <c r="L35" i="163" s="1"/>
  <c r="M24" i="163" s="1"/>
  <c r="M33" i="163" s="1"/>
  <c r="M35" i="163" s="1"/>
  <c r="N24" i="163" s="1"/>
  <c r="N33" i="163" s="1"/>
  <c r="N35" i="163" s="1"/>
  <c r="B13" i="229"/>
  <c r="B15" i="229" s="1"/>
  <c r="C4" i="229" s="1"/>
  <c r="C13" i="229" s="1"/>
  <c r="C15" i="229" s="1"/>
  <c r="D4" i="229" s="1"/>
  <c r="D13" i="229" s="1"/>
  <c r="D15" i="229" s="1"/>
  <c r="E4" i="229" s="1"/>
  <c r="E13" i="229" s="1"/>
  <c r="E15" i="229" s="1"/>
  <c r="F4" i="229" s="1"/>
  <c r="F13" i="229" s="1"/>
  <c r="F15" i="229" s="1"/>
  <c r="G4" i="229" s="1"/>
  <c r="G13" i="229" s="1"/>
  <c r="G15" i="229" s="1"/>
  <c r="H4" i="229" s="1"/>
  <c r="H13" i="229" s="1"/>
  <c r="H15" i="229" s="1"/>
  <c r="I4" i="229" s="1"/>
  <c r="I13" i="229" s="1"/>
  <c r="I15" i="229" s="1"/>
  <c r="J4" i="229" s="1"/>
  <c r="J13" i="229" s="1"/>
  <c r="J15" i="229" s="1"/>
  <c r="B15" i="18"/>
  <c r="B17" i="18" s="1"/>
  <c r="C6" i="18" s="1"/>
  <c r="C15" i="18" s="1"/>
  <c r="C17" i="18" s="1"/>
  <c r="D6" i="18" s="1"/>
  <c r="D15" i="18" s="1"/>
  <c r="D17" i="18" s="1"/>
  <c r="E6" i="18" s="1"/>
  <c r="E15" i="18" s="1"/>
  <c r="E17" i="18" s="1"/>
  <c r="F6" i="18" s="1"/>
  <c r="F15" i="18" s="1"/>
  <c r="F17" i="18" s="1"/>
  <c r="G6" i="18" s="1"/>
  <c r="G15" i="18" s="1"/>
  <c r="G17" i="18" s="1"/>
  <c r="H6" i="18" s="1"/>
  <c r="H15" i="18" s="1"/>
  <c r="H17" i="18" s="1"/>
  <c r="I6" i="18" s="1"/>
  <c r="I15" i="18" s="1"/>
  <c r="I17" i="18" s="1"/>
  <c r="J6" i="18" s="1"/>
  <c r="J15" i="18" s="1"/>
  <c r="J17" i="18" s="1"/>
  <c r="K6" i="18" s="1"/>
  <c r="K15" i="18" s="1"/>
  <c r="K17" i="18" s="1"/>
  <c r="L6" i="18" s="1"/>
  <c r="L15" i="18" s="1"/>
  <c r="L17" i="18" s="1"/>
  <c r="M6" i="18" s="1"/>
  <c r="M15" i="18" s="1"/>
  <c r="M17" i="18" s="1"/>
  <c r="B31" i="18"/>
  <c r="B33" i="18" s="1"/>
  <c r="C22" i="18" s="1"/>
  <c r="C31" i="18" s="1"/>
  <c r="C33" i="18" s="1"/>
  <c r="D22" i="18" s="1"/>
  <c r="D31" i="18" s="1"/>
  <c r="D33" i="18" s="1"/>
  <c r="E22" i="18" s="1"/>
  <c r="E31" i="18" s="1"/>
  <c r="E33" i="18" s="1"/>
  <c r="F22" i="18" s="1"/>
  <c r="F31" i="18" s="1"/>
  <c r="F33" i="18" s="1"/>
  <c r="G22" i="18" s="1"/>
  <c r="G31" i="18" s="1"/>
  <c r="G33" i="18" s="1"/>
  <c r="H22" i="18" s="1"/>
  <c r="H31" i="18" s="1"/>
  <c r="H33" i="18" s="1"/>
  <c r="I22" i="18" s="1"/>
  <c r="I31" i="18" s="1"/>
  <c r="I33" i="18" s="1"/>
  <c r="J22" i="18" s="1"/>
  <c r="J31" i="18" s="1"/>
  <c r="J33" i="18" s="1"/>
  <c r="K22" i="18" s="1"/>
  <c r="K31" i="18" s="1"/>
  <c r="K33" i="18" s="1"/>
  <c r="L22" i="18" s="1"/>
  <c r="L31" i="18" s="1"/>
  <c r="L33" i="18" s="1"/>
  <c r="M22" i="18" s="1"/>
  <c r="M31" i="18" s="1"/>
  <c r="M33" i="18" s="1"/>
  <c r="C38" i="18"/>
  <c r="C47" i="18" s="1"/>
  <c r="C49" i="18" s="1"/>
  <c r="D38" i="18" s="1"/>
  <c r="D47" i="18" s="1"/>
  <c r="D49" i="18" s="1"/>
  <c r="E38" i="18" s="1"/>
  <c r="E47" i="18" s="1"/>
  <c r="E49" i="18" s="1"/>
  <c r="F38" i="18" s="1"/>
  <c r="F47" i="18" s="1"/>
  <c r="F49" i="18" s="1"/>
  <c r="G38" i="18" s="1"/>
  <c r="G47" i="18" s="1"/>
  <c r="G49" i="18" s="1"/>
  <c r="H38" i="18" s="1"/>
  <c r="H47" i="18" s="1"/>
  <c r="H49" i="18" s="1"/>
  <c r="I38" i="18" s="1"/>
  <c r="I47" i="18" s="1"/>
  <c r="I49" i="18" s="1"/>
  <c r="J38" i="18" s="1"/>
  <c r="J47" i="18" s="1"/>
  <c r="J49" i="18" s="1"/>
  <c r="K38" i="18" s="1"/>
  <c r="K47" i="18" s="1"/>
  <c r="K49" i="18" s="1"/>
  <c r="L38" i="18" s="1"/>
  <c r="L47" i="18" s="1"/>
  <c r="L49" i="18" s="1"/>
  <c r="M38" i="18" s="1"/>
  <c r="M47" i="18" s="1"/>
  <c r="M49" i="18" s="1"/>
  <c r="B47" i="18"/>
  <c r="B49" i="18" s="1"/>
  <c r="B15" i="184"/>
  <c r="B17" i="184" s="1"/>
  <c r="C6" i="184" s="1"/>
  <c r="C15" i="184" s="1"/>
  <c r="C17" i="184" s="1"/>
  <c r="D6" i="184" s="1"/>
  <c r="D15" i="184" s="1"/>
  <c r="D17" i="184" s="1"/>
  <c r="E6" i="184" s="1"/>
  <c r="E15" i="184" s="1"/>
  <c r="E17" i="184" s="1"/>
  <c r="F6" i="184" s="1"/>
  <c r="F15" i="184" s="1"/>
  <c r="F17" i="184" s="1"/>
  <c r="G6" i="184" s="1"/>
  <c r="G15" i="184" s="1"/>
  <c r="G17" i="184" s="1"/>
  <c r="H6" i="184" s="1"/>
  <c r="H15" i="184" s="1"/>
  <c r="H17" i="184" s="1"/>
  <c r="I6" i="184" s="1"/>
  <c r="I15" i="184" s="1"/>
  <c r="I17" i="184" s="1"/>
  <c r="J6" i="184" s="1"/>
  <c r="J15" i="184" s="1"/>
  <c r="J17" i="184" s="1"/>
  <c r="K6" i="184" s="1"/>
  <c r="K15" i="184" s="1"/>
  <c r="K17" i="184" s="1"/>
  <c r="L6" i="184" s="1"/>
  <c r="L15" i="184" s="1"/>
  <c r="L17" i="184" s="1"/>
  <c r="M6" i="184" s="1"/>
  <c r="M15" i="184" s="1"/>
  <c r="M17" i="184" s="1"/>
  <c r="D22" i="184"/>
  <c r="D31" i="184" s="1"/>
  <c r="D33" i="184" s="1"/>
  <c r="E22" i="184" s="1"/>
  <c r="E31" i="184" s="1"/>
  <c r="E33" i="184" s="1"/>
  <c r="F22" i="184" s="1"/>
  <c r="F31" i="184" s="1"/>
  <c r="F33" i="184" s="1"/>
  <c r="G22" i="184" s="1"/>
  <c r="G31" i="184" s="1"/>
  <c r="G33" i="184" s="1"/>
  <c r="H22" i="184" s="1"/>
  <c r="H31" i="184" s="1"/>
  <c r="H33" i="184" s="1"/>
  <c r="I22" i="184" s="1"/>
  <c r="I31" i="184" s="1"/>
  <c r="I33" i="184" s="1"/>
  <c r="J22" i="184" s="1"/>
  <c r="J31" i="184" s="1"/>
  <c r="J33" i="184" s="1"/>
  <c r="K22" i="184" s="1"/>
  <c r="K31" i="184" s="1"/>
  <c r="K33" i="184" s="1"/>
  <c r="L22" i="184" s="1"/>
  <c r="L31" i="184" s="1"/>
  <c r="L33" i="184" s="1"/>
  <c r="M22" i="184" s="1"/>
  <c r="M31" i="184" s="1"/>
  <c r="M33" i="184" s="1"/>
  <c r="B31" i="184"/>
  <c r="B33" i="184" s="1"/>
  <c r="C22" i="184" s="1"/>
  <c r="C31" i="184" s="1"/>
  <c r="C33" i="184" s="1"/>
  <c r="B16" i="16"/>
  <c r="B18" i="16" s="1"/>
  <c r="C7" i="16" s="1"/>
  <c r="C16" i="16" s="1"/>
  <c r="C18" i="16" s="1"/>
  <c r="D7" i="16" s="1"/>
  <c r="D16" i="16" s="1"/>
  <c r="D18" i="16" s="1"/>
  <c r="E7" i="16" s="1"/>
  <c r="E16" i="16" s="1"/>
  <c r="E18" i="16" s="1"/>
  <c r="F7" i="16" s="1"/>
  <c r="F16" i="16" s="1"/>
  <c r="F18" i="16" s="1"/>
  <c r="G7" i="16" s="1"/>
  <c r="G16" i="16" s="1"/>
  <c r="G18" i="16" s="1"/>
  <c r="H7" i="16" s="1"/>
  <c r="H16" i="16" s="1"/>
  <c r="H18" i="16" s="1"/>
  <c r="I7" i="16" s="1"/>
  <c r="I16" i="16" s="1"/>
  <c r="I18" i="16" s="1"/>
  <c r="J7" i="16" s="1"/>
  <c r="J16" i="16" s="1"/>
  <c r="J18" i="16" s="1"/>
  <c r="K7" i="16" s="1"/>
  <c r="K16" i="16" s="1"/>
  <c r="K18" i="16" s="1"/>
  <c r="L7" i="16" s="1"/>
  <c r="L16" i="16" s="1"/>
  <c r="L18" i="16" s="1"/>
  <c r="M7" i="16" s="1"/>
  <c r="M16" i="16" s="1"/>
  <c r="M18" i="16" s="1"/>
  <c r="B30" i="16"/>
  <c r="B32" i="16" s="1"/>
  <c r="C21" i="16" s="1"/>
  <c r="C30" i="16"/>
  <c r="C32" i="16" s="1"/>
  <c r="D21" i="16" s="1"/>
  <c r="D30" i="16" s="1"/>
  <c r="D32" i="16" s="1"/>
  <c r="E21" i="16" s="1"/>
  <c r="E30" i="16" s="1"/>
  <c r="E32" i="16" s="1"/>
  <c r="F21" i="16" s="1"/>
  <c r="F30" i="16" s="1"/>
  <c r="F32" i="16" s="1"/>
  <c r="G21" i="16" s="1"/>
  <c r="G30" i="16" s="1"/>
  <c r="G32" i="16"/>
  <c r="H21" i="16" s="1"/>
  <c r="H30" i="16" s="1"/>
  <c r="H32" i="16" s="1"/>
  <c r="I21" i="16" s="1"/>
  <c r="I30" i="16" s="1"/>
  <c r="I32" i="16" s="1"/>
  <c r="J21" i="16" s="1"/>
  <c r="J30" i="16" s="1"/>
  <c r="J32" i="16" s="1"/>
  <c r="K21" i="16" s="1"/>
  <c r="K30" i="16" s="1"/>
  <c r="K32" i="16" s="1"/>
  <c r="L21" i="16" s="1"/>
  <c r="L30" i="16" s="1"/>
  <c r="L32" i="16" s="1"/>
  <c r="M21" i="16" s="1"/>
  <c r="M30" i="16" s="1"/>
  <c r="M32" i="16" s="1"/>
  <c r="B17" i="39"/>
  <c r="B19" i="39" s="1"/>
  <c r="C8" i="39" s="1"/>
  <c r="C17" i="39" s="1"/>
  <c r="C19" i="39" s="1"/>
  <c r="D8" i="39" s="1"/>
  <c r="D17" i="39" s="1"/>
  <c r="D19" i="39" s="1"/>
  <c r="E8" i="39" s="1"/>
  <c r="E17" i="39" s="1"/>
  <c r="E19" i="39" s="1"/>
  <c r="F8" i="39" s="1"/>
  <c r="F17" i="39" s="1"/>
  <c r="F19" i="39" s="1"/>
  <c r="G8" i="39" s="1"/>
  <c r="G17" i="39" s="1"/>
  <c r="G19" i="39" s="1"/>
  <c r="H8" i="39" s="1"/>
  <c r="H17" i="39" s="1"/>
  <c r="H19" i="39" s="1"/>
  <c r="I8" i="39" s="1"/>
  <c r="I17" i="39" s="1"/>
  <c r="I19" i="39" s="1"/>
  <c r="J8" i="39" s="1"/>
  <c r="J17" i="39" s="1"/>
  <c r="J19" i="39" s="1"/>
  <c r="K8" i="39" s="1"/>
  <c r="K17" i="39" s="1"/>
  <c r="K19" i="39" s="1"/>
  <c r="L17" i="39"/>
  <c r="L19" i="39" s="1"/>
  <c r="M8" i="39" s="1"/>
  <c r="M17" i="39" s="1"/>
  <c r="M19" i="39" s="1"/>
  <c r="G28" i="39"/>
  <c r="I28" i="39"/>
  <c r="I29" i="39"/>
  <c r="J29" i="39"/>
  <c r="B35" i="39"/>
  <c r="B37" i="39" s="1"/>
  <c r="C26" i="39" s="1"/>
  <c r="C35" i="39" s="1"/>
  <c r="C37" i="39" s="1"/>
  <c r="D26" i="39" s="1"/>
  <c r="D35" i="39" s="1"/>
  <c r="D37" i="39" s="1"/>
  <c r="E26" i="39" s="1"/>
  <c r="E35" i="39"/>
  <c r="E37" i="39" s="1"/>
  <c r="F26" i="39" s="1"/>
  <c r="F35" i="39" s="1"/>
  <c r="F37" i="39" s="1"/>
  <c r="G26" i="39" s="1"/>
  <c r="M36" i="39"/>
  <c r="B16" i="120"/>
  <c r="B18" i="120" s="1"/>
  <c r="C7" i="120" s="1"/>
  <c r="C16" i="120" s="1"/>
  <c r="C18" i="120" s="1"/>
  <c r="D7" i="120" s="1"/>
  <c r="D16" i="120" s="1"/>
  <c r="D18" i="120" s="1"/>
  <c r="E7" i="120" s="1"/>
  <c r="E16" i="120" s="1"/>
  <c r="E18" i="120" s="1"/>
  <c r="F7" i="120" s="1"/>
  <c r="F16" i="120" s="1"/>
  <c r="F18" i="120" s="1"/>
  <c r="G7" i="120" s="1"/>
  <c r="G16" i="120" s="1"/>
  <c r="G18" i="120" s="1"/>
  <c r="H7" i="120" s="1"/>
  <c r="H16" i="120" s="1"/>
  <c r="H18" i="120" s="1"/>
  <c r="I7" i="120" s="1"/>
  <c r="I16" i="120" s="1"/>
  <c r="I18" i="120" s="1"/>
  <c r="J7" i="120" s="1"/>
  <c r="J16" i="120" s="1"/>
  <c r="J18" i="120" s="1"/>
  <c r="K7" i="120" s="1"/>
  <c r="K16" i="120" s="1"/>
  <c r="K18" i="120" s="1"/>
  <c r="L7" i="120" s="1"/>
  <c r="L16" i="120" s="1"/>
  <c r="L18" i="120" s="1"/>
  <c r="M7" i="120" s="1"/>
  <c r="M16" i="120" s="1"/>
  <c r="M18" i="120" s="1"/>
  <c r="B31" i="120"/>
  <c r="B33" i="120" s="1"/>
  <c r="C22" i="120" s="1"/>
  <c r="C31" i="120" s="1"/>
  <c r="C33" i="120" s="1"/>
  <c r="D22" i="120" s="1"/>
  <c r="D31" i="120" s="1"/>
  <c r="D33" i="120" s="1"/>
  <c r="E22" i="120" s="1"/>
  <c r="E31" i="120" s="1"/>
  <c r="E33" i="120" s="1"/>
  <c r="F22" i="120" s="1"/>
  <c r="F31" i="120" s="1"/>
  <c r="F33" i="120" s="1"/>
  <c r="G22" i="120" s="1"/>
  <c r="G31" i="120" s="1"/>
  <c r="G33" i="120" s="1"/>
  <c r="H22" i="120" s="1"/>
  <c r="H31" i="120" s="1"/>
  <c r="H33" i="120" s="1"/>
  <c r="I22" i="120" s="1"/>
  <c r="I31" i="120" s="1"/>
  <c r="I33" i="120" s="1"/>
  <c r="J22" i="120" s="1"/>
  <c r="J31" i="120" s="1"/>
  <c r="J33" i="120" s="1"/>
  <c r="K22" i="120" s="1"/>
  <c r="K31" i="120" s="1"/>
  <c r="K33" i="120" s="1"/>
  <c r="L22" i="120" s="1"/>
  <c r="L31" i="120" s="1"/>
  <c r="L33" i="120" s="1"/>
  <c r="M22" i="120" s="1"/>
  <c r="M31" i="120" s="1"/>
  <c r="M33" i="120" s="1"/>
  <c r="B14" i="130"/>
  <c r="B16" i="130" s="1"/>
  <c r="C5" i="130" s="1"/>
  <c r="C14" i="130" s="1"/>
  <c r="C16" i="130" s="1"/>
  <c r="D5" i="130" s="1"/>
  <c r="D14" i="130" s="1"/>
  <c r="D16" i="130" s="1"/>
  <c r="E5" i="130" s="1"/>
  <c r="E14" i="130" s="1"/>
  <c r="E16" i="130" s="1"/>
  <c r="F5" i="130" s="1"/>
  <c r="F14" i="130" s="1"/>
  <c r="F16" i="130" s="1"/>
  <c r="G5" i="130" s="1"/>
  <c r="G14" i="130" s="1"/>
  <c r="G16" i="130" s="1"/>
  <c r="H5" i="130" s="1"/>
  <c r="H14" i="130" s="1"/>
  <c r="H16" i="130" s="1"/>
  <c r="I5" i="130" s="1"/>
  <c r="I14" i="130" s="1"/>
  <c r="I16" i="130" s="1"/>
  <c r="J5" i="130" s="1"/>
  <c r="J14" i="130" s="1"/>
  <c r="J16" i="130" s="1"/>
  <c r="K5" i="130" s="1"/>
  <c r="K14" i="130" s="1"/>
  <c r="K16" i="130" s="1"/>
  <c r="L5" i="130" s="1"/>
  <c r="L14" i="130" s="1"/>
  <c r="L16" i="130" s="1"/>
  <c r="M5" i="130" s="1"/>
  <c r="M14" i="130" s="1"/>
  <c r="M16" i="130" s="1"/>
  <c r="F18" i="130"/>
  <c r="B31" i="130"/>
  <c r="B33" i="130" s="1"/>
  <c r="C22" i="130" s="1"/>
  <c r="C31" i="130" s="1"/>
  <c r="C33" i="130"/>
  <c r="D22" i="130" s="1"/>
  <c r="D31" i="130" s="1"/>
  <c r="D33" i="130" s="1"/>
  <c r="E22" i="130" s="1"/>
  <c r="E31" i="130"/>
  <c r="E33" i="130" s="1"/>
  <c r="F22" i="130" s="1"/>
  <c r="F31" i="130" s="1"/>
  <c r="F33" i="130" s="1"/>
  <c r="G22" i="130" s="1"/>
  <c r="G31" i="130" s="1"/>
  <c r="G33" i="130" s="1"/>
  <c r="H22" i="130" s="1"/>
  <c r="H31" i="130" s="1"/>
  <c r="H33" i="130" s="1"/>
  <c r="I22" i="130" s="1"/>
  <c r="I31" i="130" s="1"/>
  <c r="I33" i="130" s="1"/>
  <c r="J22" i="130" s="1"/>
  <c r="J31" i="130" s="1"/>
  <c r="J33" i="130" s="1"/>
  <c r="K22" i="130" s="1"/>
  <c r="K31" i="130" s="1"/>
  <c r="K33" i="130" s="1"/>
  <c r="L22" i="130" s="1"/>
  <c r="L31" i="130" s="1"/>
  <c r="L33" i="130" s="1"/>
  <c r="M22" i="130" s="1"/>
  <c r="M31" i="130" s="1"/>
  <c r="M33" i="130" s="1"/>
  <c r="B13" i="217"/>
  <c r="B15" i="217" s="1"/>
  <c r="C4" i="217" s="1"/>
  <c r="C13" i="217" s="1"/>
  <c r="C15" i="217" s="1"/>
  <c r="D4" i="217" s="1"/>
  <c r="D13" i="217" s="1"/>
  <c r="D14" i="217"/>
  <c r="K14" i="217"/>
  <c r="B30" i="217"/>
  <c r="B32" i="217"/>
  <c r="C21" i="217" s="1"/>
  <c r="C30" i="217" s="1"/>
  <c r="C32" i="217" s="1"/>
  <c r="D21" i="217" s="1"/>
  <c r="D30" i="217" s="1"/>
  <c r="D32" i="217" s="1"/>
  <c r="E21" i="217" s="1"/>
  <c r="E30" i="217" s="1"/>
  <c r="E32" i="217" s="1"/>
  <c r="F21" i="217" s="1"/>
  <c r="F30" i="217" s="1"/>
  <c r="F32" i="217" s="1"/>
  <c r="G21" i="217" s="1"/>
  <c r="G30" i="217" s="1"/>
  <c r="G32" i="217" s="1"/>
  <c r="H21" i="217" s="1"/>
  <c r="H30" i="217" s="1"/>
  <c r="H32" i="217" s="1"/>
  <c r="I21" i="217" s="1"/>
  <c r="I30" i="217" s="1"/>
  <c r="I32" i="217" s="1"/>
  <c r="J21" i="217" s="1"/>
  <c r="J30" i="217" s="1"/>
  <c r="J32" i="217" s="1"/>
  <c r="K21" i="217" s="1"/>
  <c r="K30" i="217" s="1"/>
  <c r="K32" i="217" s="1"/>
  <c r="L21" i="217" s="1"/>
  <c r="L30" i="217" s="1"/>
  <c r="L32" i="217" s="1"/>
  <c r="M21" i="217" s="1"/>
  <c r="M30" i="217" s="1"/>
  <c r="M32" i="217" s="1"/>
  <c r="B17" i="138"/>
  <c r="B19" i="138" s="1"/>
  <c r="C8" i="138" s="1"/>
  <c r="C17" i="138" s="1"/>
  <c r="C19" i="138" s="1"/>
  <c r="D8" i="138" s="1"/>
  <c r="D17" i="138" s="1"/>
  <c r="D19" i="138" s="1"/>
  <c r="E8" i="138" s="1"/>
  <c r="E17" i="138" s="1"/>
  <c r="E19" i="138" s="1"/>
  <c r="F8" i="138" s="1"/>
  <c r="F17" i="138" s="1"/>
  <c r="F19" i="138" s="1"/>
  <c r="G8" i="138" s="1"/>
  <c r="G17" i="138" s="1"/>
  <c r="G19" i="138" s="1"/>
  <c r="H8" i="138" s="1"/>
  <c r="H17" i="138"/>
  <c r="H19" i="138" s="1"/>
  <c r="I8" i="138" s="1"/>
  <c r="I17" i="138" s="1"/>
  <c r="I19" i="138" s="1"/>
  <c r="J8" i="138" s="1"/>
  <c r="J17" i="138" s="1"/>
  <c r="J19" i="138" s="1"/>
  <c r="K8" i="138" s="1"/>
  <c r="K17" i="138" s="1"/>
  <c r="K19" i="138" s="1"/>
  <c r="L8" i="138" s="1"/>
  <c r="L17" i="138" s="1"/>
  <c r="L19" i="138" s="1"/>
  <c r="M8" i="138" s="1"/>
  <c r="M17" i="138" s="1"/>
  <c r="M19" i="138" s="1"/>
  <c r="B32" i="138"/>
  <c r="B34" i="138" s="1"/>
  <c r="C23" i="138" s="1"/>
  <c r="C32" i="138" s="1"/>
  <c r="C34" i="138" s="1"/>
  <c r="D23" i="138" s="1"/>
  <c r="D32" i="138" s="1"/>
  <c r="G32" i="138"/>
  <c r="D33" i="138"/>
  <c r="E33" i="138"/>
  <c r="I33" i="138"/>
  <c r="F34" i="138"/>
  <c r="G23" i="138" s="1"/>
  <c r="G34" i="138"/>
  <c r="H23" i="138" s="1"/>
  <c r="H32" i="138" s="1"/>
  <c r="H34" i="138" s="1"/>
  <c r="I23" i="138" s="1"/>
  <c r="I32" i="138" s="1"/>
  <c r="I34" i="138" s="1"/>
  <c r="J23" i="138" s="1"/>
  <c r="J32" i="138" s="1"/>
  <c r="J34" i="138" s="1"/>
  <c r="K23" i="138" s="1"/>
  <c r="K32" i="138" s="1"/>
  <c r="K34" i="138" s="1"/>
  <c r="L23" i="138" s="1"/>
  <c r="L32" i="138" s="1"/>
  <c r="L34" i="138" s="1"/>
  <c r="M23" i="138" s="1"/>
  <c r="M32" i="138" s="1"/>
  <c r="M34" i="138" s="1"/>
  <c r="C36" i="138"/>
  <c r="C37" i="138"/>
  <c r="C41" i="138"/>
  <c r="B13" i="202"/>
  <c r="L13" i="202"/>
  <c r="L15" i="202" s="1"/>
  <c r="M4" i="202" s="1"/>
  <c r="M13" i="202" s="1"/>
  <c r="M15" i="202" s="1"/>
  <c r="B15" i="202"/>
  <c r="C4" i="202" s="1"/>
  <c r="C13" i="202" s="1"/>
  <c r="C15" i="202" s="1"/>
  <c r="D4" i="202" s="1"/>
  <c r="D13" i="202" s="1"/>
  <c r="D15" i="202" s="1"/>
  <c r="E4" i="202" s="1"/>
  <c r="E13" i="202" s="1"/>
  <c r="E15" i="202" s="1"/>
  <c r="F4" i="202" s="1"/>
  <c r="F13" i="202" s="1"/>
  <c r="F15" i="202" s="1"/>
  <c r="G4" i="202" s="1"/>
  <c r="G13" i="202" s="1"/>
  <c r="G15" i="202" s="1"/>
  <c r="H4" i="202" s="1"/>
  <c r="H13" i="202" s="1"/>
  <c r="H15" i="202" s="1"/>
  <c r="I4" i="202" s="1"/>
  <c r="I13" i="202" s="1"/>
  <c r="I15" i="202" s="1"/>
  <c r="J4" i="202" s="1"/>
  <c r="J13" i="202" s="1"/>
  <c r="J15" i="202" s="1"/>
  <c r="K4" i="202" s="1"/>
  <c r="K13" i="202" s="1"/>
  <c r="K15" i="202" s="1"/>
  <c r="B15" i="104"/>
  <c r="B17" i="104" s="1"/>
  <c r="C6" i="104" s="1"/>
  <c r="C15" i="104" s="1"/>
  <c r="G16" i="104"/>
  <c r="C17" i="104"/>
  <c r="D6" i="104" s="1"/>
  <c r="D15" i="104" s="1"/>
  <c r="D17" i="104" s="1"/>
  <c r="E6" i="104" s="1"/>
  <c r="E15" i="104" s="1"/>
  <c r="E17" i="104" s="1"/>
  <c r="F6" i="104" s="1"/>
  <c r="F15" i="104" s="1"/>
  <c r="F17" i="104" s="1"/>
  <c r="G6" i="104" s="1"/>
  <c r="G15" i="104" s="1"/>
  <c r="G17" i="104" s="1"/>
  <c r="H6" i="104" s="1"/>
  <c r="H15" i="104" s="1"/>
  <c r="H17" i="104" s="1"/>
  <c r="I6" i="104" s="1"/>
  <c r="I15" i="104" s="1"/>
  <c r="I17" i="104" s="1"/>
  <c r="J6" i="104" s="1"/>
  <c r="J15" i="104" s="1"/>
  <c r="J17" i="104" s="1"/>
  <c r="K6" i="104" s="1"/>
  <c r="K15" i="104" s="1"/>
  <c r="K17" i="104" s="1"/>
  <c r="L6" i="104" s="1"/>
  <c r="L15" i="104" s="1"/>
  <c r="L17" i="104" s="1"/>
  <c r="M6" i="104" s="1"/>
  <c r="M15" i="104" s="1"/>
  <c r="M17" i="104" s="1"/>
  <c r="B32" i="104"/>
  <c r="B34" i="104" s="1"/>
  <c r="C23" i="104" s="1"/>
  <c r="C32" i="104" s="1"/>
  <c r="C34" i="104" s="1"/>
  <c r="D23" i="104" s="1"/>
  <c r="D32" i="104" s="1"/>
  <c r="D34" i="104"/>
  <c r="E23" i="104" s="1"/>
  <c r="E32" i="104" s="1"/>
  <c r="E34" i="104" s="1"/>
  <c r="F23" i="104" s="1"/>
  <c r="F32" i="104" s="1"/>
  <c r="F34" i="104" s="1"/>
  <c r="G23" i="104" s="1"/>
  <c r="G32" i="104" s="1"/>
  <c r="G34" i="104" s="1"/>
  <c r="H23" i="104" s="1"/>
  <c r="H32" i="104" s="1"/>
  <c r="H34" i="104" s="1"/>
  <c r="I23" i="104" s="1"/>
  <c r="I32" i="104" s="1"/>
  <c r="I34" i="104" s="1"/>
  <c r="J23" i="104" s="1"/>
  <c r="J32" i="104" s="1"/>
  <c r="J34" i="104" s="1"/>
  <c r="K23" i="104" s="1"/>
  <c r="K32" i="104" s="1"/>
  <c r="K34" i="104" s="1"/>
  <c r="L23" i="104" s="1"/>
  <c r="L32" i="104" s="1"/>
  <c r="L34" i="104" s="1"/>
  <c r="M23" i="104" s="1"/>
  <c r="M32" i="104" s="1"/>
  <c r="M34" i="104" s="1"/>
  <c r="B30" i="44"/>
  <c r="B32" i="44" s="1"/>
  <c r="C21" i="44" s="1"/>
  <c r="C30" i="44" s="1"/>
  <c r="C32" i="44" s="1"/>
  <c r="D21" i="44" s="1"/>
  <c r="D30" i="44" s="1"/>
  <c r="D32" i="44" s="1"/>
  <c r="E21" i="44" s="1"/>
  <c r="E30" i="44" s="1"/>
  <c r="E32" i="44" s="1"/>
  <c r="F21" i="44" s="1"/>
  <c r="F30" i="44" s="1"/>
  <c r="F32" i="44" s="1"/>
  <c r="G21" i="44" s="1"/>
  <c r="G30" i="44" s="1"/>
  <c r="G32" i="44" s="1"/>
  <c r="H21" i="44" s="1"/>
  <c r="H30" i="44" s="1"/>
  <c r="H32" i="44" s="1"/>
  <c r="I21" i="44" s="1"/>
  <c r="I30" i="44" s="1"/>
  <c r="I32" i="44" s="1"/>
  <c r="J21" i="44" s="1"/>
  <c r="J30" i="44" s="1"/>
  <c r="J32" i="44" s="1"/>
  <c r="K21" i="44" s="1"/>
  <c r="K30" i="44" s="1"/>
  <c r="K32" i="44" s="1"/>
  <c r="L21" i="44" s="1"/>
  <c r="L30" i="44" s="1"/>
  <c r="L32" i="44" s="1"/>
  <c r="M21" i="44" s="1"/>
  <c r="B31" i="168"/>
  <c r="B33" i="168" s="1"/>
  <c r="C22" i="168" s="1"/>
  <c r="C31" i="168"/>
  <c r="C33" i="168" s="1"/>
  <c r="D22" i="168" s="1"/>
  <c r="D31" i="168" s="1"/>
  <c r="D33" i="168" s="1"/>
  <c r="E22" i="168" s="1"/>
  <c r="E31" i="168" s="1"/>
  <c r="E33" i="168" s="1"/>
  <c r="F22" i="168" s="1"/>
  <c r="F31" i="168" s="1"/>
  <c r="F33" i="168" s="1"/>
  <c r="G22" i="168" s="1"/>
  <c r="G31" i="168" s="1"/>
  <c r="G33" i="168" s="1"/>
  <c r="H22" i="168" s="1"/>
  <c r="H31" i="168" s="1"/>
  <c r="H33" i="168" s="1"/>
  <c r="I22" i="168" s="1"/>
  <c r="I31" i="168" s="1"/>
  <c r="I33" i="168" s="1"/>
  <c r="J22" i="168" s="1"/>
  <c r="J31" i="168" s="1"/>
  <c r="J33" i="168" s="1"/>
  <c r="K22" i="168" s="1"/>
  <c r="K31" i="168" s="1"/>
  <c r="K33" i="168" s="1"/>
  <c r="L22" i="168" s="1"/>
  <c r="L31" i="168" s="1"/>
  <c r="L33" i="168" s="1"/>
  <c r="M22" i="168" s="1"/>
  <c r="M31" i="168" s="1"/>
  <c r="M33" i="168" s="1"/>
  <c r="B13" i="168" s="1"/>
  <c r="B15" i="168" s="1"/>
  <c r="C4" i="168" s="1"/>
  <c r="C13" i="168" s="1"/>
  <c r="C15" i="168" s="1"/>
  <c r="D4" i="168" s="1"/>
  <c r="D13" i="168" s="1"/>
  <c r="D15" i="168" s="1"/>
  <c r="E4" i="168" s="1"/>
  <c r="E13" i="168" s="1"/>
  <c r="E15" i="168" s="1"/>
  <c r="F4" i="168" s="1"/>
  <c r="F13" i="168" s="1"/>
  <c r="F15" i="168" s="1"/>
  <c r="G4" i="168" s="1"/>
  <c r="G13" i="168" s="1"/>
  <c r="G15" i="168" s="1"/>
  <c r="H4" i="168" s="1"/>
  <c r="H13" i="168" s="1"/>
  <c r="H15" i="168" s="1"/>
  <c r="I4" i="168" s="1"/>
  <c r="I13" i="168" s="1"/>
  <c r="I15" i="168" s="1"/>
  <c r="J4" i="168" s="1"/>
  <c r="J13" i="168" s="1"/>
  <c r="J15" i="168" s="1"/>
  <c r="K4" i="168" s="1"/>
  <c r="K13" i="168" s="1"/>
  <c r="K15" i="168" s="1"/>
  <c r="L4" i="168" s="1"/>
  <c r="L13" i="168" s="1"/>
  <c r="L15" i="168" s="1"/>
  <c r="M4" i="168" s="1"/>
  <c r="M13" i="168" s="1"/>
  <c r="M15" i="168" s="1"/>
  <c r="D41" i="168"/>
  <c r="D50" i="168" s="1"/>
  <c r="D52" i="168" s="1"/>
  <c r="E41" i="168" s="1"/>
  <c r="E50" i="168" s="1"/>
  <c r="E52" i="168" s="1"/>
  <c r="F41" i="168" s="1"/>
  <c r="F50" i="168" s="1"/>
  <c r="F52" i="168" s="1"/>
  <c r="G41" i="168" s="1"/>
  <c r="G50" i="168" s="1"/>
  <c r="G52" i="168" s="1"/>
  <c r="H41" i="168" s="1"/>
  <c r="H50" i="168" s="1"/>
  <c r="H52" i="168" s="1"/>
  <c r="I41" i="168" s="1"/>
  <c r="I50" i="168" s="1"/>
  <c r="I52" i="168" s="1"/>
  <c r="J41" i="168" s="1"/>
  <c r="J50" i="168" s="1"/>
  <c r="J52" i="168" s="1"/>
  <c r="K41" i="168" s="1"/>
  <c r="K50" i="168" s="1"/>
  <c r="K52" i="168" s="1"/>
  <c r="L41" i="168" s="1"/>
  <c r="L50" i="168" s="1"/>
  <c r="L52" i="168" s="1"/>
  <c r="M41" i="168" s="1"/>
  <c r="M50" i="168" s="1"/>
  <c r="M52" i="168" s="1"/>
  <c r="B50" i="168"/>
  <c r="B52" i="168" s="1"/>
  <c r="C41" i="168" s="1"/>
  <c r="C50" i="168" s="1"/>
  <c r="C52" i="168" s="1"/>
  <c r="B18" i="41"/>
  <c r="B20" i="41"/>
  <c r="C9" i="41"/>
  <c r="C18" i="41" s="1"/>
  <c r="C20" i="41" s="1"/>
  <c r="D9" i="41" s="1"/>
  <c r="D18" i="41" s="1"/>
  <c r="D20" i="41" s="1"/>
  <c r="E9" i="41" s="1"/>
  <c r="E18" i="41" s="1"/>
  <c r="E20" i="41" s="1"/>
  <c r="F9" i="41" s="1"/>
  <c r="F18" i="41" s="1"/>
  <c r="F20" i="41" s="1"/>
  <c r="G9" i="41" s="1"/>
  <c r="G18" i="41" s="1"/>
  <c r="G20" i="41" s="1"/>
  <c r="H9" i="41" s="1"/>
  <c r="H18" i="41" s="1"/>
  <c r="H20" i="41" s="1"/>
  <c r="I9" i="41" s="1"/>
  <c r="I18" i="41" s="1"/>
  <c r="I20" i="41" s="1"/>
  <c r="J9" i="41" s="1"/>
  <c r="J18" i="41" s="1"/>
  <c r="J20" i="41" s="1"/>
  <c r="K9" i="41" s="1"/>
  <c r="K18" i="41" s="1"/>
  <c r="K20" i="41" s="1"/>
  <c r="L9" i="41" s="1"/>
  <c r="L18" i="41" s="1"/>
  <c r="L20" i="41" s="1"/>
  <c r="M9" i="41" s="1"/>
  <c r="M18" i="41" s="1"/>
  <c r="M20" i="41" s="1"/>
  <c r="B36" i="41"/>
  <c r="B38" i="41" s="1"/>
  <c r="C27" i="41" s="1"/>
  <c r="C36" i="41" s="1"/>
  <c r="C38" i="41" s="1"/>
  <c r="D27" i="41" s="1"/>
  <c r="D36" i="41" s="1"/>
  <c r="D38" i="41" s="1"/>
  <c r="E27" i="41" s="1"/>
  <c r="E36" i="41" s="1"/>
  <c r="E38" i="41" s="1"/>
  <c r="F27" i="41" s="1"/>
  <c r="F36" i="41" s="1"/>
  <c r="F38" i="41" s="1"/>
  <c r="G27" i="41" s="1"/>
  <c r="G36" i="41" s="1"/>
  <c r="G38" i="41" s="1"/>
  <c r="H27" i="41" s="1"/>
  <c r="H36" i="41" s="1"/>
  <c r="H38" i="41" s="1"/>
  <c r="I27" i="41" s="1"/>
  <c r="I36" i="41" s="1"/>
  <c r="I38" i="41" s="1"/>
  <c r="J27" i="41" s="1"/>
  <c r="J36" i="41" s="1"/>
  <c r="J38" i="41" s="1"/>
  <c r="K27" i="41" s="1"/>
  <c r="K36" i="41" s="1"/>
  <c r="K38" i="41" s="1"/>
  <c r="L27" i="41" s="1"/>
  <c r="L36" i="41" s="1"/>
  <c r="L38" i="41" s="1"/>
  <c r="M27" i="41" s="1"/>
  <c r="M36" i="41" s="1"/>
  <c r="M38" i="41" s="1"/>
  <c r="B54" i="41"/>
  <c r="B56" i="41" s="1"/>
  <c r="C45" i="41" s="1"/>
  <c r="C54" i="41" s="1"/>
  <c r="C56" i="41" s="1"/>
  <c r="D45" i="41" s="1"/>
  <c r="D54" i="41" s="1"/>
  <c r="D56" i="41" s="1"/>
  <c r="E45" i="41" s="1"/>
  <c r="E54" i="41" s="1"/>
  <c r="E56" i="41" s="1"/>
  <c r="F45" i="41" s="1"/>
  <c r="F54" i="41" s="1"/>
  <c r="F56" i="41" s="1"/>
  <c r="G45" i="41" s="1"/>
  <c r="G54" i="41" s="1"/>
  <c r="G56" i="41" s="1"/>
  <c r="H45" i="41" s="1"/>
  <c r="H54" i="41" s="1"/>
  <c r="H56" i="41" s="1"/>
  <c r="I45" i="41" s="1"/>
  <c r="I54" i="41" s="1"/>
  <c r="I56" i="41" s="1"/>
  <c r="J45" i="41" s="1"/>
  <c r="J54" i="41" s="1"/>
  <c r="J56" i="41" s="1"/>
  <c r="K45" i="41" s="1"/>
  <c r="K54" i="41" s="1"/>
  <c r="K56" i="41" s="1"/>
  <c r="L45" i="41" s="1"/>
  <c r="L54" i="41" s="1"/>
  <c r="L56" i="41" s="1"/>
  <c r="M45" i="41" s="1"/>
  <c r="M54" i="41" s="1"/>
  <c r="M56" i="41" s="1"/>
  <c r="B16" i="17"/>
  <c r="B18" i="17" s="1"/>
  <c r="C7" i="17" s="1"/>
  <c r="C16" i="17" s="1"/>
  <c r="C18" i="17" s="1"/>
  <c r="D7" i="17" s="1"/>
  <c r="D16" i="17" s="1"/>
  <c r="D18" i="17" s="1"/>
  <c r="E7" i="17" s="1"/>
  <c r="E16" i="17" s="1"/>
  <c r="E18" i="17" s="1"/>
  <c r="F7" i="17" s="1"/>
  <c r="F16" i="17" s="1"/>
  <c r="F18" i="17" s="1"/>
  <c r="G7" i="17" s="1"/>
  <c r="G16" i="17" s="1"/>
  <c r="G18" i="17" s="1"/>
  <c r="H7" i="17" s="1"/>
  <c r="H16" i="17" s="1"/>
  <c r="H18" i="17" s="1"/>
  <c r="I7" i="17" s="1"/>
  <c r="I16" i="17" s="1"/>
  <c r="I18" i="17" s="1"/>
  <c r="J7" i="17" s="1"/>
  <c r="J16" i="17" s="1"/>
  <c r="J18" i="17" s="1"/>
  <c r="K7" i="17" s="1"/>
  <c r="K16" i="17" s="1"/>
  <c r="K18" i="17" s="1"/>
  <c r="L7" i="17" s="1"/>
  <c r="L16" i="17" s="1"/>
  <c r="L18" i="17" s="1"/>
  <c r="M7" i="17" s="1"/>
  <c r="M16" i="17" s="1"/>
  <c r="M18" i="17" s="1"/>
  <c r="B32" i="17"/>
  <c r="B34" i="17"/>
  <c r="C23" i="17"/>
  <c r="C32" i="17" s="1"/>
  <c r="C34" i="17" s="1"/>
  <c r="D23" i="17" s="1"/>
  <c r="D32" i="17" s="1"/>
  <c r="D34" i="17" s="1"/>
  <c r="E23" i="17" s="1"/>
  <c r="E32" i="17"/>
  <c r="E34" i="17" s="1"/>
  <c r="F23" i="17" s="1"/>
  <c r="F32" i="17" s="1"/>
  <c r="F34" i="17" s="1"/>
  <c r="G23" i="17" s="1"/>
  <c r="G32" i="17" s="1"/>
  <c r="G34" i="17" s="1"/>
  <c r="H23" i="17" s="1"/>
  <c r="H32" i="17" s="1"/>
  <c r="H34" i="17" s="1"/>
  <c r="I23" i="17" s="1"/>
  <c r="I32" i="17" s="1"/>
  <c r="I34" i="17" s="1"/>
  <c r="J23" i="17" s="1"/>
  <c r="J32" i="17" s="1"/>
  <c r="J34" i="17" s="1"/>
  <c r="K23" i="17" s="1"/>
  <c r="K32" i="17" s="1"/>
  <c r="K34" i="17" s="1"/>
  <c r="L23" i="17" s="1"/>
  <c r="L32" i="17" s="1"/>
  <c r="L34" i="17" s="1"/>
  <c r="M23" i="17" s="1"/>
  <c r="M32" i="17" s="1"/>
  <c r="M34" i="17" s="1"/>
  <c r="B14" i="131"/>
  <c r="B16" i="131" s="1"/>
  <c r="C5" i="131" s="1"/>
  <c r="C14" i="131" s="1"/>
  <c r="C15" i="131"/>
  <c r="F15" i="131"/>
  <c r="B30" i="131"/>
  <c r="B32" i="131" s="1"/>
  <c r="C21" i="131" s="1"/>
  <c r="C30" i="131" s="1"/>
  <c r="C32" i="131" s="1"/>
  <c r="D21" i="131" s="1"/>
  <c r="D30" i="131" s="1"/>
  <c r="D32" i="131" s="1"/>
  <c r="E21" i="131" s="1"/>
  <c r="E30" i="131" s="1"/>
  <c r="E32" i="131"/>
  <c r="F21" i="131" s="1"/>
  <c r="F30" i="131" s="1"/>
  <c r="F32" i="131" s="1"/>
  <c r="G21" i="131"/>
  <c r="G30" i="131" s="1"/>
  <c r="G32" i="131" s="1"/>
  <c r="H21" i="131" s="1"/>
  <c r="H30" i="131" s="1"/>
  <c r="H32" i="131" s="1"/>
  <c r="I21" i="131" s="1"/>
  <c r="I30" i="131" s="1"/>
  <c r="I32" i="131" s="1"/>
  <c r="J21" i="131" s="1"/>
  <c r="J30" i="131" s="1"/>
  <c r="J32" i="131" s="1"/>
  <c r="K21" i="131" s="1"/>
  <c r="K30" i="131" s="1"/>
  <c r="K32" i="131" s="1"/>
  <c r="L21" i="131" s="1"/>
  <c r="L30" i="131" s="1"/>
  <c r="L32" i="131" s="1"/>
  <c r="M21" i="131" s="1"/>
  <c r="M30" i="131" s="1"/>
  <c r="M32" i="131" s="1"/>
  <c r="B8" i="43"/>
  <c r="B17" i="43" s="1"/>
  <c r="B19" i="43" s="1"/>
  <c r="C8" i="43" s="1"/>
  <c r="C17" i="43" s="1"/>
  <c r="C19" i="43" s="1"/>
  <c r="D8" i="43" s="1"/>
  <c r="D17" i="43" s="1"/>
  <c r="D19" i="43" s="1"/>
  <c r="E8" i="43" s="1"/>
  <c r="E17" i="43" s="1"/>
  <c r="E19" i="43" s="1"/>
  <c r="F8" i="43" s="1"/>
  <c r="F17" i="43" s="1"/>
  <c r="F19" i="43" s="1"/>
  <c r="G8" i="43" s="1"/>
  <c r="G17" i="43" s="1"/>
  <c r="G19" i="43" s="1"/>
  <c r="H8" i="43" s="1"/>
  <c r="H17" i="43" s="1"/>
  <c r="H19" i="43" s="1"/>
  <c r="I8" i="43" s="1"/>
  <c r="I17" i="43" s="1"/>
  <c r="I19" i="43" s="1"/>
  <c r="J8" i="43" s="1"/>
  <c r="J17" i="43" s="1"/>
  <c r="J19" i="43" s="1"/>
  <c r="K8" i="43" s="1"/>
  <c r="K17" i="43" s="1"/>
  <c r="K19" i="43" s="1"/>
  <c r="L8" i="43" s="1"/>
  <c r="L17" i="43" s="1"/>
  <c r="L19" i="43" s="1"/>
  <c r="M8" i="43" s="1"/>
  <c r="M17" i="43" s="1"/>
  <c r="M19" i="43" s="1"/>
  <c r="B24" i="43" s="1"/>
  <c r="B33" i="43" s="1"/>
  <c r="B35" i="43" s="1"/>
  <c r="C24" i="43" s="1"/>
  <c r="C33" i="43" s="1"/>
  <c r="C35" i="43" s="1"/>
  <c r="D24" i="43" s="1"/>
  <c r="D33" i="43" s="1"/>
  <c r="D35" i="43" s="1"/>
  <c r="E24" i="43" s="1"/>
  <c r="E33" i="43" s="1"/>
  <c r="E35" i="43" s="1"/>
  <c r="F24" i="43" s="1"/>
  <c r="F33" i="43" s="1"/>
  <c r="F35" i="43" s="1"/>
  <c r="G24" i="43" s="1"/>
  <c r="G33" i="43" s="1"/>
  <c r="G35" i="43" s="1"/>
  <c r="H24" i="43" s="1"/>
  <c r="H33" i="43" s="1"/>
  <c r="H35" i="43" s="1"/>
  <c r="I24" i="43" s="1"/>
  <c r="I33" i="43" s="1"/>
  <c r="I35" i="43" s="1"/>
  <c r="J24" i="43" s="1"/>
  <c r="J33" i="43" s="1"/>
  <c r="J35" i="43" s="1"/>
  <c r="K24" i="43" s="1"/>
  <c r="K33" i="43" s="1"/>
  <c r="K35" i="43" s="1"/>
  <c r="L24" i="43" s="1"/>
  <c r="L33" i="43" s="1"/>
  <c r="L35" i="43" s="1"/>
  <c r="M24" i="43" s="1"/>
  <c r="M33" i="43" s="1"/>
  <c r="M35" i="43" s="1"/>
  <c r="B42" i="43"/>
  <c r="B51" i="43" s="1"/>
  <c r="B53" i="43" s="1"/>
  <c r="C42" i="43" s="1"/>
  <c r="C51" i="43" s="1"/>
  <c r="C53" i="43" s="1"/>
  <c r="D42" i="43" s="1"/>
  <c r="D51" i="43" s="1"/>
  <c r="D53" i="43" s="1"/>
  <c r="E42" i="43" s="1"/>
  <c r="E51" i="43" s="1"/>
  <c r="E53" i="43" s="1"/>
  <c r="F42" i="43" s="1"/>
  <c r="F51" i="43" s="1"/>
  <c r="F53" i="43" s="1"/>
  <c r="G51" i="43"/>
  <c r="G53" i="43"/>
  <c r="H42" i="43" s="1"/>
  <c r="H51" i="43" s="1"/>
  <c r="H53" i="43" s="1"/>
  <c r="I42" i="43" s="1"/>
  <c r="I51" i="43" s="1"/>
  <c r="I53" i="43" s="1"/>
  <c r="J42" i="43" s="1"/>
  <c r="J51" i="43" s="1"/>
  <c r="J53" i="43" s="1"/>
  <c r="K42" i="43" s="1"/>
  <c r="K51" i="43" s="1"/>
  <c r="K53" i="43" s="1"/>
  <c r="L42" i="43" s="1"/>
  <c r="L51" i="43" s="1"/>
  <c r="L53" i="43" s="1"/>
  <c r="M42" i="43" s="1"/>
  <c r="M51" i="43" s="1"/>
  <c r="M53" i="43" s="1"/>
  <c r="B14" i="200"/>
  <c r="B16" i="200" s="1"/>
  <c r="C5" i="200" s="1"/>
  <c r="C14" i="200" s="1"/>
  <c r="C16" i="200" s="1"/>
  <c r="D5" i="200" s="1"/>
  <c r="D14" i="200" s="1"/>
  <c r="D16" i="200" s="1"/>
  <c r="E5" i="200" s="1"/>
  <c r="E14" i="200" s="1"/>
  <c r="E16" i="200" s="1"/>
  <c r="F5" i="200" s="1"/>
  <c r="F14" i="200" s="1"/>
  <c r="F16" i="200" s="1"/>
  <c r="G5" i="200" s="1"/>
  <c r="G14" i="200" s="1"/>
  <c r="G16" i="200" s="1"/>
  <c r="H5" i="200" s="1"/>
  <c r="H14" i="200" s="1"/>
  <c r="H16" i="200" s="1"/>
  <c r="I5" i="200" s="1"/>
  <c r="I14" i="200" s="1"/>
  <c r="I16" i="200" s="1"/>
  <c r="J5" i="200" s="1"/>
  <c r="J14" i="200" s="1"/>
  <c r="J16" i="200" s="1"/>
  <c r="K5" i="200" s="1"/>
  <c r="K14" i="200" s="1"/>
  <c r="K16" i="200" s="1"/>
  <c r="L5" i="200" s="1"/>
  <c r="L14" i="200" s="1"/>
  <c r="L16" i="200" s="1"/>
  <c r="M5" i="200" s="1"/>
  <c r="M14" i="200" s="1"/>
  <c r="M16" i="200" s="1"/>
  <c r="B18" i="42"/>
  <c r="B20" i="42" s="1"/>
  <c r="C9" i="42" s="1"/>
  <c r="C18" i="42" s="1"/>
  <c r="C20" i="42" s="1"/>
  <c r="D9" i="42" s="1"/>
  <c r="D18" i="42" s="1"/>
  <c r="D20" i="42" s="1"/>
  <c r="E9" i="42" s="1"/>
  <c r="E18" i="42" s="1"/>
  <c r="E20" i="42" s="1"/>
  <c r="F9" i="42" s="1"/>
  <c r="F18" i="42" s="1"/>
  <c r="F20" i="42" s="1"/>
  <c r="G9" i="42" s="1"/>
  <c r="G18" i="42" s="1"/>
  <c r="G20" i="42" s="1"/>
  <c r="H9" i="42" s="1"/>
  <c r="H18" i="42" s="1"/>
  <c r="H20" i="42" s="1"/>
  <c r="I9" i="42" s="1"/>
  <c r="I18" i="42" s="1"/>
  <c r="I20" i="42" s="1"/>
  <c r="J9" i="42" s="1"/>
  <c r="J18" i="42" s="1"/>
  <c r="J20" i="42" s="1"/>
  <c r="K9" i="42" s="1"/>
  <c r="K18" i="42" s="1"/>
  <c r="K20" i="42" s="1"/>
  <c r="L9" i="42" s="1"/>
  <c r="L18" i="42" s="1"/>
  <c r="L20" i="42" s="1"/>
  <c r="M9" i="42" s="1"/>
  <c r="M18" i="42" s="1"/>
  <c r="M20" i="42" s="1"/>
  <c r="B33" i="42"/>
  <c r="B35" i="42"/>
  <c r="C24" i="42" s="1"/>
  <c r="C33" i="42" s="1"/>
  <c r="C35" i="42" s="1"/>
  <c r="D24" i="42" s="1"/>
  <c r="D33" i="42" s="1"/>
  <c r="D35" i="42" s="1"/>
  <c r="E24" i="42" s="1"/>
  <c r="E33" i="42" s="1"/>
  <c r="E35" i="42" s="1"/>
  <c r="F24" i="42" s="1"/>
  <c r="F33" i="42" s="1"/>
  <c r="F35" i="42" s="1"/>
  <c r="G24" i="42" s="1"/>
  <c r="G33" i="42" s="1"/>
  <c r="G35" i="42" s="1"/>
  <c r="H24" i="42" s="1"/>
  <c r="H33" i="42" s="1"/>
  <c r="H35" i="42" s="1"/>
  <c r="I24" i="42" s="1"/>
  <c r="I33" i="42" s="1"/>
  <c r="I35" i="42" s="1"/>
  <c r="J24" i="42" s="1"/>
  <c r="J33" i="42" s="1"/>
  <c r="J35" i="42" s="1"/>
  <c r="K24" i="42" s="1"/>
  <c r="K33" i="42" s="1"/>
  <c r="K35" i="42" s="1"/>
  <c r="L24" i="42" s="1"/>
  <c r="L33" i="42" s="1"/>
  <c r="L35" i="42" s="1"/>
  <c r="M24" i="42" s="1"/>
  <c r="M33" i="42" s="1"/>
  <c r="M35" i="42" s="1"/>
  <c r="B51" i="42"/>
  <c r="B53" i="42" s="1"/>
  <c r="C42" i="42" s="1"/>
  <c r="C51" i="42" s="1"/>
  <c r="C53" i="42" s="1"/>
  <c r="D42" i="42" s="1"/>
  <c r="D51" i="42" s="1"/>
  <c r="D53" i="42" s="1"/>
  <c r="E42" i="42" s="1"/>
  <c r="E51" i="42" s="1"/>
  <c r="E53" i="42" s="1"/>
  <c r="F42" i="42" s="1"/>
  <c r="F51" i="42" s="1"/>
  <c r="F53" i="42" s="1"/>
  <c r="G42" i="42" s="1"/>
  <c r="G51" i="42" s="1"/>
  <c r="G53" i="42" s="1"/>
  <c r="H42" i="42" s="1"/>
  <c r="H51" i="42" s="1"/>
  <c r="H53" i="42" s="1"/>
  <c r="I42" i="42" s="1"/>
  <c r="I51" i="42" s="1"/>
  <c r="I53" i="42" s="1"/>
  <c r="J42" i="42" s="1"/>
  <c r="J51" i="42" s="1"/>
  <c r="J53" i="42" s="1"/>
  <c r="K42" i="42" s="1"/>
  <c r="K51" i="42" s="1"/>
  <c r="K53" i="42" s="1"/>
  <c r="L42" i="42" s="1"/>
  <c r="L51" i="42" s="1"/>
  <c r="L53" i="42" s="1"/>
  <c r="M42" i="42" s="1"/>
  <c r="M51" i="42" s="1"/>
  <c r="M53" i="42" s="1"/>
  <c r="M52" i="42"/>
  <c r="B70" i="42"/>
  <c r="B72" i="42"/>
  <c r="C61" i="42" s="1"/>
  <c r="C70" i="42" s="1"/>
  <c r="C72" i="42" s="1"/>
  <c r="D61" i="42" s="1"/>
  <c r="D70" i="42" s="1"/>
  <c r="D72" i="42" s="1"/>
  <c r="E61" i="42" s="1"/>
  <c r="E70" i="42" s="1"/>
  <c r="E72" i="42" s="1"/>
  <c r="F61" i="42" s="1"/>
  <c r="F70" i="42" s="1"/>
  <c r="F72" i="42" s="1"/>
  <c r="G61" i="42" s="1"/>
  <c r="G70" i="42" s="1"/>
  <c r="G72" i="42" s="1"/>
  <c r="H61" i="42" s="1"/>
  <c r="H70" i="42" s="1"/>
  <c r="H72" i="42" s="1"/>
  <c r="I61" i="42" s="1"/>
  <c r="I70" i="42" s="1"/>
  <c r="I72" i="42" s="1"/>
  <c r="J61" i="42" s="1"/>
  <c r="J70" i="42" s="1"/>
  <c r="J72" i="42" s="1"/>
  <c r="K61" i="42" s="1"/>
  <c r="K70" i="42" s="1"/>
  <c r="K72" i="42" s="1"/>
  <c r="L61" i="42" s="1"/>
  <c r="L70" i="42" s="1"/>
  <c r="L72" i="42" s="1"/>
  <c r="M61" i="42" s="1"/>
  <c r="M70" i="42" s="1"/>
  <c r="M72" i="42" s="1"/>
  <c r="B87" i="42"/>
  <c r="B89" i="42"/>
  <c r="C78" i="42" s="1"/>
  <c r="C87" i="42" s="1"/>
  <c r="C89" i="42" s="1"/>
  <c r="D78" i="42" s="1"/>
  <c r="D87" i="42" s="1"/>
  <c r="D89" i="42" s="1"/>
  <c r="E78" i="42" s="1"/>
  <c r="E87" i="42" s="1"/>
  <c r="E89" i="42" s="1"/>
  <c r="F78" i="42" s="1"/>
  <c r="F87" i="42" s="1"/>
  <c r="F89" i="42" s="1"/>
  <c r="G78" i="42" s="1"/>
  <c r="G87" i="42" s="1"/>
  <c r="G89" i="42" s="1"/>
  <c r="H78" i="42" s="1"/>
  <c r="H87" i="42" s="1"/>
  <c r="H89" i="42" s="1"/>
  <c r="I78" i="42" s="1"/>
  <c r="I87" i="42" s="1"/>
  <c r="I89" i="42" s="1"/>
  <c r="J78" i="42" s="1"/>
  <c r="J87" i="42" s="1"/>
  <c r="J89" i="42" s="1"/>
  <c r="K78" i="42" s="1"/>
  <c r="K87" i="42" s="1"/>
  <c r="K89" i="42" s="1"/>
  <c r="L78" i="42" s="1"/>
  <c r="L87" i="42" s="1"/>
  <c r="L89" i="42" s="1"/>
  <c r="M78" i="42" s="1"/>
  <c r="M87" i="42" s="1"/>
  <c r="M89" i="42" s="1"/>
  <c r="B16" i="173"/>
  <c r="B18" i="173"/>
  <c r="C7" i="173" s="1"/>
  <c r="C16" i="173" s="1"/>
  <c r="C18" i="173" s="1"/>
  <c r="D7" i="173" s="1"/>
  <c r="D16" i="173" s="1"/>
  <c r="D18" i="173" s="1"/>
  <c r="E7" i="173" s="1"/>
  <c r="E16" i="173" s="1"/>
  <c r="E18" i="173" s="1"/>
  <c r="F7" i="173" s="1"/>
  <c r="F16" i="173" s="1"/>
  <c r="F18" i="173" s="1"/>
  <c r="G7" i="173" s="1"/>
  <c r="G16" i="173" s="1"/>
  <c r="G18" i="173" s="1"/>
  <c r="H7" i="173" s="1"/>
  <c r="H16" i="173" s="1"/>
  <c r="H18" i="173" s="1"/>
  <c r="I7" i="173" s="1"/>
  <c r="I16" i="173" s="1"/>
  <c r="I18" i="173" s="1"/>
  <c r="J7" i="173" s="1"/>
  <c r="J16" i="173" s="1"/>
  <c r="J18" i="173" s="1"/>
  <c r="K7" i="173" s="1"/>
  <c r="K16" i="173" s="1"/>
  <c r="K18" i="173" s="1"/>
  <c r="L7" i="173" s="1"/>
  <c r="L16" i="173" s="1"/>
  <c r="L18" i="173" s="1"/>
  <c r="M7" i="173" s="1"/>
  <c r="M16" i="173" s="1"/>
  <c r="M18" i="173" s="1"/>
  <c r="B34" i="173"/>
  <c r="B36" i="173" s="1"/>
  <c r="C25" i="173" s="1"/>
  <c r="C34" i="173" s="1"/>
  <c r="C36" i="173" s="1"/>
  <c r="D25" i="173" s="1"/>
  <c r="D34" i="173" s="1"/>
  <c r="D36" i="173" s="1"/>
  <c r="E25" i="173" s="1"/>
  <c r="E34" i="173" s="1"/>
  <c r="E36" i="173" s="1"/>
  <c r="F25" i="173" s="1"/>
  <c r="F34" i="173" s="1"/>
  <c r="F36" i="173" s="1"/>
  <c r="G25" i="173" s="1"/>
  <c r="G34" i="173" s="1"/>
  <c r="G36" i="173" s="1"/>
  <c r="H25" i="173" s="1"/>
  <c r="H34" i="173" s="1"/>
  <c r="H36" i="173" s="1"/>
  <c r="I25" i="173" s="1"/>
  <c r="I34" i="173" s="1"/>
  <c r="I36" i="173" s="1"/>
  <c r="J25" i="173" s="1"/>
  <c r="J34" i="173" s="1"/>
  <c r="J36" i="173" s="1"/>
  <c r="K25" i="173" s="1"/>
  <c r="K34" i="173" s="1"/>
  <c r="K36" i="173" s="1"/>
  <c r="L25" i="173" s="1"/>
  <c r="L34" i="173" s="1"/>
  <c r="L36" i="173" s="1"/>
  <c r="M25" i="173" s="1"/>
  <c r="M34" i="173" s="1"/>
  <c r="M36" i="173" s="1"/>
  <c r="B52" i="173"/>
  <c r="B54" i="173" s="1"/>
  <c r="C43" i="173" s="1"/>
  <c r="C52" i="173" s="1"/>
  <c r="C54" i="173" s="1"/>
  <c r="D43" i="173" s="1"/>
  <c r="D52" i="173" s="1"/>
  <c r="D54" i="173" s="1"/>
  <c r="E43" i="173" s="1"/>
  <c r="E52" i="173" s="1"/>
  <c r="E54" i="173" s="1"/>
  <c r="F43" i="173" s="1"/>
  <c r="F52" i="173" s="1"/>
  <c r="F54" i="173" s="1"/>
  <c r="G43" i="173" s="1"/>
  <c r="G52" i="173" s="1"/>
  <c r="G54" i="173" s="1"/>
  <c r="H43" i="173" s="1"/>
  <c r="H52" i="173" s="1"/>
  <c r="H54" i="173" s="1"/>
  <c r="I43" i="173" s="1"/>
  <c r="I52" i="173" s="1"/>
  <c r="I54" i="173" s="1"/>
  <c r="J43" i="173" s="1"/>
  <c r="J52" i="173" s="1"/>
  <c r="J54" i="173" s="1"/>
  <c r="K43" i="173" s="1"/>
  <c r="K52" i="173" s="1"/>
  <c r="K54" i="173" s="1"/>
  <c r="L43" i="173" s="1"/>
  <c r="L52" i="173" s="1"/>
  <c r="L54" i="173" s="1"/>
  <c r="M43" i="173" s="1"/>
  <c r="M52" i="173" s="1"/>
  <c r="M54" i="173" s="1"/>
  <c r="B15" i="188"/>
  <c r="B17" i="188" s="1"/>
  <c r="C15" i="188"/>
  <c r="C17" i="188"/>
  <c r="D6" i="188"/>
  <c r="D15" i="188" s="1"/>
  <c r="D17" i="188" s="1"/>
  <c r="E6" i="188" s="1"/>
  <c r="E15" i="188" s="1"/>
  <c r="E17" i="188" s="1"/>
  <c r="F6" i="188" s="1"/>
  <c r="F15" i="188" s="1"/>
  <c r="F17" i="188" s="1"/>
  <c r="G6" i="188" s="1"/>
  <c r="G15" i="188" s="1"/>
  <c r="G17" i="188" s="1"/>
  <c r="H6" i="188" s="1"/>
  <c r="H15" i="188" s="1"/>
  <c r="H17" i="188" s="1"/>
  <c r="I6" i="188" s="1"/>
  <c r="I15" i="188" s="1"/>
  <c r="I17" i="188" s="1"/>
  <c r="J6" i="188" s="1"/>
  <c r="J15" i="188" s="1"/>
  <c r="J17" i="188" s="1"/>
  <c r="K6" i="188" s="1"/>
  <c r="K15" i="188" s="1"/>
  <c r="K17" i="188" s="1"/>
  <c r="L6" i="188" s="1"/>
  <c r="L15" i="188" s="1"/>
  <c r="L17" i="188" s="1"/>
  <c r="M6" i="188" s="1"/>
  <c r="M15" i="188" s="1"/>
  <c r="M17" i="188" s="1"/>
  <c r="H18" i="188"/>
  <c r="B30" i="188"/>
  <c r="B32" i="188"/>
  <c r="C21" i="188" s="1"/>
  <c r="C30" i="188" s="1"/>
  <c r="C32" i="188" s="1"/>
  <c r="D21" i="188" s="1"/>
  <c r="D30" i="188" s="1"/>
  <c r="D32" i="188" s="1"/>
  <c r="E21" i="188" s="1"/>
  <c r="E30" i="188" s="1"/>
  <c r="E32" i="188" s="1"/>
  <c r="F21" i="188" s="1"/>
  <c r="F30" i="188" s="1"/>
  <c r="F32" i="188" s="1"/>
  <c r="G21" i="188" s="1"/>
  <c r="G30" i="188" s="1"/>
  <c r="G32" i="188" s="1"/>
  <c r="H21" i="188" s="1"/>
  <c r="H30" i="188" s="1"/>
  <c r="H32" i="188" s="1"/>
  <c r="I21" i="188" s="1"/>
  <c r="I30" i="188" s="1"/>
  <c r="I32" i="188" s="1"/>
  <c r="J21" i="188" s="1"/>
  <c r="J30" i="188" s="1"/>
  <c r="J32" i="188" s="1"/>
  <c r="K21" i="188" s="1"/>
  <c r="K30" i="188" s="1"/>
  <c r="K32" i="188" s="1"/>
  <c r="L21" i="188" s="1"/>
  <c r="L30" i="188" s="1"/>
  <c r="L32" i="188" s="1"/>
  <c r="M21" i="188" s="1"/>
  <c r="M30" i="188" s="1"/>
  <c r="M32" i="188" s="1"/>
  <c r="B14" i="156"/>
  <c r="B16" i="156" s="1"/>
  <c r="C14" i="156"/>
  <c r="C16" i="156" s="1"/>
  <c r="D5" i="156" s="1"/>
  <c r="D14" i="156" s="1"/>
  <c r="D16" i="156" s="1"/>
  <c r="E5" i="156" s="1"/>
  <c r="E14" i="156" s="1"/>
  <c r="E16" i="156" s="1"/>
  <c r="F5" i="156" s="1"/>
  <c r="F14" i="156" s="1"/>
  <c r="F16" i="156" s="1"/>
  <c r="G5" i="156" s="1"/>
  <c r="G14" i="156" s="1"/>
  <c r="G16" i="156" s="1"/>
  <c r="H5" i="156" s="1"/>
  <c r="H14" i="156" s="1"/>
  <c r="H16" i="156" s="1"/>
  <c r="I5" i="156" s="1"/>
  <c r="I14" i="156" s="1"/>
  <c r="I16" i="156" s="1"/>
  <c r="J5" i="156" s="1"/>
  <c r="J14" i="156" s="1"/>
  <c r="J16" i="156" s="1"/>
  <c r="K5" i="156" s="1"/>
  <c r="K14" i="156" s="1"/>
  <c r="K16" i="156" s="1"/>
  <c r="L5" i="156" s="1"/>
  <c r="L14" i="156" s="1"/>
  <c r="L16" i="156" s="1"/>
  <c r="M5" i="156" s="1"/>
  <c r="M14" i="156" s="1"/>
  <c r="M16" i="156" s="1"/>
  <c r="F15" i="156"/>
  <c r="B32" i="156"/>
  <c r="B34" i="156" s="1"/>
  <c r="C23" i="156" s="1"/>
  <c r="C32" i="156" s="1"/>
  <c r="C34" i="156" s="1"/>
  <c r="D23" i="156" s="1"/>
  <c r="D32" i="156" s="1"/>
  <c r="D34" i="156" s="1"/>
  <c r="E23" i="156" s="1"/>
  <c r="E32" i="156" s="1"/>
  <c r="E34" i="156" s="1"/>
  <c r="F23" i="156" s="1"/>
  <c r="F32" i="156" s="1"/>
  <c r="F34" i="156" s="1"/>
  <c r="G23" i="156" s="1"/>
  <c r="G32" i="156" s="1"/>
  <c r="G34" i="156" s="1"/>
  <c r="H23" i="156" s="1"/>
  <c r="H32" i="156" s="1"/>
  <c r="H34" i="156" s="1"/>
  <c r="I23" i="156" s="1"/>
  <c r="I32" i="156" s="1"/>
  <c r="I34" i="156" s="1"/>
  <c r="J23" i="156" s="1"/>
  <c r="J32" i="156" s="1"/>
  <c r="J34" i="156" s="1"/>
  <c r="K23" i="156" s="1"/>
  <c r="K32" i="156" s="1"/>
  <c r="K34" i="156" s="1"/>
  <c r="L23" i="156" s="1"/>
  <c r="L32" i="156" s="1"/>
  <c r="L34" i="156" s="1"/>
  <c r="M23" i="156" s="1"/>
  <c r="M32" i="156" s="1"/>
  <c r="M34" i="156" s="1"/>
  <c r="B14" i="196"/>
  <c r="B16" i="196" s="1"/>
  <c r="C5" i="196" s="1"/>
  <c r="C14" i="196" s="1"/>
  <c r="C16" i="196" s="1"/>
  <c r="D5" i="196" s="1"/>
  <c r="D14" i="196" s="1"/>
  <c r="D16" i="196" s="1"/>
  <c r="E5" i="196" s="1"/>
  <c r="E14" i="196" s="1"/>
  <c r="E16" i="196" s="1"/>
  <c r="F5" i="196" s="1"/>
  <c r="F14" i="196" s="1"/>
  <c r="F16" i="196" s="1"/>
  <c r="G5" i="196" s="1"/>
  <c r="G14" i="196" s="1"/>
  <c r="G16" i="196" s="1"/>
  <c r="H5" i="196" s="1"/>
  <c r="H14" i="196" s="1"/>
  <c r="H16" i="196" s="1"/>
  <c r="I5" i="196" s="1"/>
  <c r="I14" i="196" s="1"/>
  <c r="I16" i="196" s="1"/>
  <c r="J5" i="196" s="1"/>
  <c r="J14" i="196" s="1"/>
  <c r="J16" i="196" s="1"/>
  <c r="K5" i="196" s="1"/>
  <c r="K14" i="196" s="1"/>
  <c r="K16" i="196" s="1"/>
  <c r="L5" i="196" s="1"/>
  <c r="L14" i="196" s="1"/>
  <c r="L16" i="196" s="1"/>
  <c r="M5" i="196" s="1"/>
  <c r="M14" i="196" s="1"/>
  <c r="M16" i="196" s="1"/>
  <c r="C22" i="196"/>
  <c r="B30" i="196"/>
  <c r="B32" i="196"/>
  <c r="C21" i="196" s="1"/>
  <c r="C30" i="196" s="1"/>
  <c r="C32" i="196" s="1"/>
  <c r="D21" i="196" s="1"/>
  <c r="D30" i="196" s="1"/>
  <c r="D32" i="196" s="1"/>
  <c r="E21" i="196" s="1"/>
  <c r="E30" i="196" s="1"/>
  <c r="E32" i="196" s="1"/>
  <c r="F21" i="196" s="1"/>
  <c r="F30" i="196" s="1"/>
  <c r="F32" i="196" s="1"/>
  <c r="G21" i="196" s="1"/>
  <c r="G30" i="196" s="1"/>
  <c r="G32" i="196" s="1"/>
  <c r="H21" i="196" s="1"/>
  <c r="H30" i="196" s="1"/>
  <c r="H32" i="196" s="1"/>
  <c r="I21" i="196" s="1"/>
  <c r="I30" i="196" s="1"/>
  <c r="I32" i="196" s="1"/>
  <c r="J21" i="196" s="1"/>
  <c r="J30" i="196" s="1"/>
  <c r="J32" i="196" s="1"/>
  <c r="K21" i="196" s="1"/>
  <c r="K30" i="196" s="1"/>
  <c r="K32" i="196" s="1"/>
  <c r="L21" i="196" s="1"/>
  <c r="L30" i="196" s="1"/>
  <c r="L32" i="196" s="1"/>
  <c r="M21" i="196" s="1"/>
  <c r="M30" i="196" s="1"/>
  <c r="M32" i="196" s="1"/>
  <c r="B15" i="103"/>
  <c r="B17" i="103" s="1"/>
  <c r="C6" i="103" s="1"/>
  <c r="C15" i="103" s="1"/>
  <c r="C17" i="103" s="1"/>
  <c r="D6" i="103" s="1"/>
  <c r="D15" i="103" s="1"/>
  <c r="D17" i="103" s="1"/>
  <c r="E6" i="103" s="1"/>
  <c r="E15" i="103" s="1"/>
  <c r="E17" i="103" s="1"/>
  <c r="F6" i="103" s="1"/>
  <c r="F15" i="103" s="1"/>
  <c r="F17" i="103" s="1"/>
  <c r="G6" i="103" s="1"/>
  <c r="G15" i="103" s="1"/>
  <c r="G17" i="103" s="1"/>
  <c r="H6" i="103" s="1"/>
  <c r="H15" i="103" s="1"/>
  <c r="H17" i="103" s="1"/>
  <c r="I6" i="103" s="1"/>
  <c r="I15" i="103" s="1"/>
  <c r="I17" i="103" s="1"/>
  <c r="J6" i="103" s="1"/>
  <c r="J15" i="103" s="1"/>
  <c r="J17" i="103" s="1"/>
  <c r="K6" i="103" s="1"/>
  <c r="K15" i="103" s="1"/>
  <c r="K17" i="103" s="1"/>
  <c r="L6" i="103" s="1"/>
  <c r="L15" i="103" s="1"/>
  <c r="L17" i="103" s="1"/>
  <c r="M6" i="103" s="1"/>
  <c r="M15" i="103" s="1"/>
  <c r="M17" i="103" s="1"/>
  <c r="B32" i="103"/>
  <c r="B34" i="103"/>
  <c r="C23" i="103" s="1"/>
  <c r="C32" i="103" s="1"/>
  <c r="C34" i="103" s="1"/>
  <c r="D23" i="103" s="1"/>
  <c r="D32" i="103" s="1"/>
  <c r="D34" i="103" s="1"/>
  <c r="E23" i="103" s="1"/>
  <c r="E32" i="103" s="1"/>
  <c r="E34" i="103" s="1"/>
  <c r="F23" i="103" s="1"/>
  <c r="F32" i="103" s="1"/>
  <c r="F34" i="103" s="1"/>
  <c r="G23" i="103" s="1"/>
  <c r="G32" i="103" s="1"/>
  <c r="G34" i="103" s="1"/>
  <c r="H23" i="103" s="1"/>
  <c r="H32" i="103" s="1"/>
  <c r="H34" i="103" s="1"/>
  <c r="I23" i="103" s="1"/>
  <c r="I32" i="103" s="1"/>
  <c r="I34" i="103" s="1"/>
  <c r="J23" i="103" s="1"/>
  <c r="J32" i="103" s="1"/>
  <c r="J34" i="103" s="1"/>
  <c r="K23" i="103" s="1"/>
  <c r="K32" i="103" s="1"/>
  <c r="K34" i="103" s="1"/>
  <c r="L23" i="103" s="1"/>
  <c r="L32" i="103" s="1"/>
  <c r="L34" i="103" s="1"/>
  <c r="M23" i="103" s="1"/>
  <c r="M32" i="103" s="1"/>
  <c r="M34" i="103" s="1"/>
  <c r="M8" i="179"/>
  <c r="B15" i="179"/>
  <c r="B17" i="179" s="1"/>
  <c r="C6" i="179" s="1"/>
  <c r="C15" i="179" s="1"/>
  <c r="C17" i="179" s="1"/>
  <c r="D6" i="179" s="1"/>
  <c r="D15" i="179" s="1"/>
  <c r="D17" i="179" s="1"/>
  <c r="E6" i="179" s="1"/>
  <c r="E15" i="179" s="1"/>
  <c r="E17" i="179" s="1"/>
  <c r="F6" i="179" s="1"/>
  <c r="F15" i="179" s="1"/>
  <c r="F17" i="179" s="1"/>
  <c r="G6" i="179" s="1"/>
  <c r="G15" i="179" s="1"/>
  <c r="G17" i="179" s="1"/>
  <c r="H6" i="179" s="1"/>
  <c r="H15" i="179" s="1"/>
  <c r="H17" i="179" s="1"/>
  <c r="I6" i="179" s="1"/>
  <c r="I15" i="179" s="1"/>
  <c r="I17" i="179" s="1"/>
  <c r="J6" i="179" s="1"/>
  <c r="J15" i="179" s="1"/>
  <c r="J17" i="179" s="1"/>
  <c r="K6" i="179" s="1"/>
  <c r="K15" i="179" s="1"/>
  <c r="K17" i="179" s="1"/>
  <c r="L6" i="179" s="1"/>
  <c r="L15" i="179" s="1"/>
  <c r="L17" i="179" s="1"/>
  <c r="M6" i="179" s="1"/>
  <c r="M15" i="179" s="1"/>
  <c r="M17" i="179" s="1"/>
  <c r="B34" i="179"/>
  <c r="B36" i="179" s="1"/>
  <c r="C25" i="179" s="1"/>
  <c r="C34" i="179" s="1"/>
  <c r="C36" i="179" s="1"/>
  <c r="D25" i="179" s="1"/>
  <c r="D34" i="179" s="1"/>
  <c r="D36" i="179" s="1"/>
  <c r="E25" i="179" s="1"/>
  <c r="E34" i="179" s="1"/>
  <c r="E36" i="179" s="1"/>
  <c r="F25" i="179" s="1"/>
  <c r="F34" i="179" s="1"/>
  <c r="F36" i="179" s="1"/>
  <c r="G25" i="179" s="1"/>
  <c r="G34" i="179" s="1"/>
  <c r="G36" i="179" s="1"/>
  <c r="H25" i="179" s="1"/>
  <c r="H34" i="179" s="1"/>
  <c r="H36" i="179" s="1"/>
  <c r="I25" i="179" s="1"/>
  <c r="I34" i="179" s="1"/>
  <c r="I36" i="179" s="1"/>
  <c r="J25" i="179" s="1"/>
  <c r="J34" i="179" s="1"/>
  <c r="J36" i="179" s="1"/>
  <c r="K25" i="179" s="1"/>
  <c r="K34" i="179" s="1"/>
  <c r="K36" i="179" s="1"/>
  <c r="L25" i="179" s="1"/>
  <c r="L34" i="179" s="1"/>
  <c r="L36" i="179" s="1"/>
  <c r="M25" i="179" s="1"/>
  <c r="M34" i="179" s="1"/>
  <c r="M36" i="179" s="1"/>
  <c r="B50" i="179"/>
  <c r="B52" i="179" s="1"/>
  <c r="C41" i="179" s="1"/>
  <c r="C50" i="179" s="1"/>
  <c r="C52" i="179" s="1"/>
  <c r="D41" i="179" s="1"/>
  <c r="D50" i="179" s="1"/>
  <c r="D52" i="179" s="1"/>
  <c r="E41" i="179" s="1"/>
  <c r="E50" i="179" s="1"/>
  <c r="E52" i="179" s="1"/>
  <c r="F41" i="179" s="1"/>
  <c r="F50" i="179" s="1"/>
  <c r="F52" i="179" s="1"/>
  <c r="G41" i="179" s="1"/>
  <c r="G50" i="179" s="1"/>
  <c r="G52" i="179" s="1"/>
  <c r="H41" i="179" s="1"/>
  <c r="H50" i="179" s="1"/>
  <c r="H52" i="179" s="1"/>
  <c r="I41" i="179" s="1"/>
  <c r="I50" i="179" s="1"/>
  <c r="I52" i="179" s="1"/>
  <c r="J41" i="179" s="1"/>
  <c r="J50" i="179" s="1"/>
  <c r="J52" i="179" s="1"/>
  <c r="K41" i="179" s="1"/>
  <c r="K50" i="179" s="1"/>
  <c r="K52" i="179" s="1"/>
  <c r="L41" i="179" s="1"/>
  <c r="L50" i="179" s="1"/>
  <c r="L52" i="179" s="1"/>
  <c r="M41" i="179" s="1"/>
  <c r="M50" i="179" s="1"/>
  <c r="M52" i="179" s="1"/>
  <c r="C51" i="179"/>
  <c r="B17" i="15"/>
  <c r="B19" i="15"/>
  <c r="C8" i="15" s="1"/>
  <c r="C17" i="15" s="1"/>
  <c r="C19" i="15" s="1"/>
  <c r="D8" i="15" s="1"/>
  <c r="D17" i="15" s="1"/>
  <c r="D19" i="15" s="1"/>
  <c r="E8" i="15" s="1"/>
  <c r="E17" i="15" s="1"/>
  <c r="E19" i="15" s="1"/>
  <c r="F8" i="15" s="1"/>
  <c r="F17" i="15" s="1"/>
  <c r="F19" i="15" s="1"/>
  <c r="G8" i="15" s="1"/>
  <c r="G17" i="15" s="1"/>
  <c r="G19" i="15" s="1"/>
  <c r="H8" i="15" s="1"/>
  <c r="H17" i="15" s="1"/>
  <c r="H19" i="15" s="1"/>
  <c r="I8" i="15" s="1"/>
  <c r="I17" i="15" s="1"/>
  <c r="I19" i="15" s="1"/>
  <c r="J8" i="15" s="1"/>
  <c r="J17" i="15" s="1"/>
  <c r="J19" i="15" s="1"/>
  <c r="K8" i="15" s="1"/>
  <c r="K17" i="15" s="1"/>
  <c r="K19" i="15" s="1"/>
  <c r="L8" i="15" s="1"/>
  <c r="L17" i="15" s="1"/>
  <c r="L19" i="15" s="1"/>
  <c r="M8" i="15" s="1"/>
  <c r="M17" i="15" s="1"/>
  <c r="M19" i="15" s="1"/>
  <c r="B32" i="15"/>
  <c r="B34" i="15" s="1"/>
  <c r="C23" i="15" s="1"/>
  <c r="C32" i="15" s="1"/>
  <c r="C34" i="15" s="1"/>
  <c r="D23" i="15" s="1"/>
  <c r="D32" i="15" s="1"/>
  <c r="D34" i="15" s="1"/>
  <c r="E23" i="15" s="1"/>
  <c r="E32" i="15" s="1"/>
  <c r="E34" i="15" s="1"/>
  <c r="F23" i="15" s="1"/>
  <c r="F32" i="15" s="1"/>
  <c r="F34" i="15" s="1"/>
  <c r="G23" i="15" s="1"/>
  <c r="G32" i="15" s="1"/>
  <c r="G34" i="15" s="1"/>
  <c r="H23" i="15" s="1"/>
  <c r="H32" i="15" s="1"/>
  <c r="H34" i="15" s="1"/>
  <c r="I23" i="15" s="1"/>
  <c r="I32" i="15" s="1"/>
  <c r="I34" i="15" s="1"/>
  <c r="J23" i="15" s="1"/>
  <c r="J32" i="15" s="1"/>
  <c r="J34" i="15" s="1"/>
  <c r="K23" i="15" s="1"/>
  <c r="K32" i="15" s="1"/>
  <c r="K34" i="15" s="1"/>
  <c r="L23" i="15" s="1"/>
  <c r="L32" i="15" s="1"/>
  <c r="L34" i="15" s="1"/>
  <c r="M23" i="15" s="1"/>
  <c r="M32" i="15" s="1"/>
  <c r="M34" i="15" s="1"/>
  <c r="B48" i="15"/>
  <c r="B50" i="15" s="1"/>
  <c r="C39" i="15" s="1"/>
  <c r="C48" i="15" s="1"/>
  <c r="C50" i="15" s="1"/>
  <c r="D39" i="15" s="1"/>
  <c r="D48" i="15" s="1"/>
  <c r="D50" i="15" s="1"/>
  <c r="E39" i="15" s="1"/>
  <c r="E48" i="15" s="1"/>
  <c r="E50" i="15" s="1"/>
  <c r="F39" i="15" s="1"/>
  <c r="F48" i="15" s="1"/>
  <c r="F50" i="15" s="1"/>
  <c r="G39" i="15" s="1"/>
  <c r="G48" i="15" s="1"/>
  <c r="G50" i="15" s="1"/>
  <c r="H39" i="15" s="1"/>
  <c r="H48" i="15" s="1"/>
  <c r="H50" i="15" s="1"/>
  <c r="I39" i="15" s="1"/>
  <c r="I48" i="15" s="1"/>
  <c r="I50" i="15" s="1"/>
  <c r="J39" i="15" s="1"/>
  <c r="J48" i="15" s="1"/>
  <c r="J50" i="15" s="1"/>
  <c r="K39" i="15" s="1"/>
  <c r="K48" i="15" s="1"/>
  <c r="K50" i="15" s="1"/>
  <c r="L39" i="15" s="1"/>
  <c r="L48" i="15" s="1"/>
  <c r="L50" i="15" s="1"/>
  <c r="M39" i="15" s="1"/>
  <c r="M48" i="15" s="1"/>
  <c r="M50" i="15" s="1"/>
  <c r="B64" i="15"/>
  <c r="B66" i="15" s="1"/>
  <c r="C55" i="15" s="1"/>
  <c r="C64" i="15" s="1"/>
  <c r="C66" i="15" s="1"/>
  <c r="D55" i="15" s="1"/>
  <c r="D64" i="15" s="1"/>
  <c r="D66" i="15" s="1"/>
  <c r="E55" i="15" s="1"/>
  <c r="E64" i="15" s="1"/>
  <c r="E66" i="15" s="1"/>
  <c r="F55" i="15" s="1"/>
  <c r="F64" i="15" s="1"/>
  <c r="F66" i="15" s="1"/>
  <c r="G55" i="15" s="1"/>
  <c r="G64" i="15" s="1"/>
  <c r="G66" i="15" s="1"/>
  <c r="H55" i="15" s="1"/>
  <c r="H64" i="15" s="1"/>
  <c r="H66" i="15" s="1"/>
  <c r="I55" i="15" s="1"/>
  <c r="I64" i="15" s="1"/>
  <c r="I66" i="15" s="1"/>
  <c r="J55" i="15" s="1"/>
  <c r="J64" i="15" s="1"/>
  <c r="J66" i="15" s="1"/>
  <c r="K55" i="15" s="1"/>
  <c r="K64" i="15" s="1"/>
  <c r="K66" i="15" s="1"/>
  <c r="L55" i="15" s="1"/>
  <c r="L64" i="15" s="1"/>
  <c r="L66" i="15" s="1"/>
  <c r="M55" i="15" s="1"/>
  <c r="M64" i="15" s="1"/>
  <c r="M66" i="15" s="1"/>
  <c r="B20" i="82"/>
  <c r="B22" i="82" s="1"/>
  <c r="C11" i="82" s="1"/>
  <c r="C20" i="82" s="1"/>
  <c r="C22" i="82" s="1"/>
  <c r="D11" i="82" s="1"/>
  <c r="D20" i="82" s="1"/>
  <c r="D22" i="82" s="1"/>
  <c r="E11" i="82" s="1"/>
  <c r="E20" i="82" s="1"/>
  <c r="E22" i="82"/>
  <c r="F11" i="82" s="1"/>
  <c r="F20" i="82" s="1"/>
  <c r="F22" i="82" s="1"/>
  <c r="G11" i="82" s="1"/>
  <c r="G20" i="82" s="1"/>
  <c r="G22" i="82" s="1"/>
  <c r="H11" i="82" s="1"/>
  <c r="H20" i="82" s="1"/>
  <c r="H22" i="82" s="1"/>
  <c r="I11" i="82" s="1"/>
  <c r="I20" i="82" s="1"/>
  <c r="I22" i="82" s="1"/>
  <c r="J11" i="82" s="1"/>
  <c r="J20" i="82" s="1"/>
  <c r="J22" i="82" s="1"/>
  <c r="K11" i="82" s="1"/>
  <c r="K20" i="82" s="1"/>
  <c r="K22" i="82" s="1"/>
  <c r="L11" i="82" s="1"/>
  <c r="L20" i="82" s="1"/>
  <c r="L22" i="82" s="1"/>
  <c r="M11" i="82" s="1"/>
  <c r="M20" i="82" s="1"/>
  <c r="M22" i="82" s="1"/>
  <c r="B38" i="82"/>
  <c r="B40" i="82" s="1"/>
  <c r="C29" i="82" s="1"/>
  <c r="C38" i="82" s="1"/>
  <c r="C40" i="82" s="1"/>
  <c r="D29" i="82" s="1"/>
  <c r="D38" i="82" s="1"/>
  <c r="D40" i="82" s="1"/>
  <c r="E29" i="82" s="1"/>
  <c r="E38" i="82" s="1"/>
  <c r="E40" i="82" s="1"/>
  <c r="F29" i="82" s="1"/>
  <c r="F38" i="82" s="1"/>
  <c r="F40" i="82" s="1"/>
  <c r="G29" i="82" s="1"/>
  <c r="G38" i="82" s="1"/>
  <c r="G40" i="82" s="1"/>
  <c r="H29" i="82" s="1"/>
  <c r="H38" i="82" s="1"/>
  <c r="H40" i="82" s="1"/>
  <c r="I29" i="82" s="1"/>
  <c r="I38" i="82" s="1"/>
  <c r="I40" i="82" s="1"/>
  <c r="J29" i="82" s="1"/>
  <c r="J38" i="82" s="1"/>
  <c r="G39" i="82"/>
  <c r="J40" i="82"/>
  <c r="K29" i="82" s="1"/>
  <c r="K38" i="82" s="1"/>
  <c r="K40" i="82" s="1"/>
  <c r="L29" i="82" s="1"/>
  <c r="L38" i="82" s="1"/>
  <c r="L40" i="82" s="1"/>
  <c r="M29" i="82" s="1"/>
  <c r="M38" i="82" s="1"/>
  <c r="M40" i="82" s="1"/>
  <c r="B55" i="82"/>
  <c r="B57" i="82"/>
  <c r="C46" i="82" s="1"/>
  <c r="C55" i="82" s="1"/>
  <c r="C57" i="82" s="1"/>
  <c r="D46" i="82" s="1"/>
  <c r="D55" i="82"/>
  <c r="D57" i="82" s="1"/>
  <c r="E46" i="82" s="1"/>
  <c r="E55" i="82" s="1"/>
  <c r="E57" i="82" s="1"/>
  <c r="F46" i="82" s="1"/>
  <c r="F55" i="82" s="1"/>
  <c r="F57" i="82" s="1"/>
  <c r="G46" i="82" s="1"/>
  <c r="G55" i="82" s="1"/>
  <c r="G57" i="82" s="1"/>
  <c r="H46" i="82" s="1"/>
  <c r="H55" i="82" s="1"/>
  <c r="H57" i="82" s="1"/>
  <c r="I46" i="82" s="1"/>
  <c r="I55" i="82" s="1"/>
  <c r="I57" i="82" s="1"/>
  <c r="J46" i="82" s="1"/>
  <c r="J55" i="82" s="1"/>
  <c r="J57" i="82" s="1"/>
  <c r="K46" i="82" s="1"/>
  <c r="K55" i="82" s="1"/>
  <c r="K57" i="82" s="1"/>
  <c r="L46" i="82" s="1"/>
  <c r="L55" i="82" s="1"/>
  <c r="L57" i="82" s="1"/>
  <c r="M46" i="82" s="1"/>
  <c r="M55" i="82" s="1"/>
  <c r="M57" i="82" s="1"/>
  <c r="B14" i="193"/>
  <c r="B16" i="193" s="1"/>
  <c r="C5" i="193" s="1"/>
  <c r="C14" i="193" s="1"/>
  <c r="C16" i="193" s="1"/>
  <c r="D5" i="193" s="1"/>
  <c r="D14" i="193" s="1"/>
  <c r="D16" i="193" s="1"/>
  <c r="E5" i="193" s="1"/>
  <c r="E14" i="193" s="1"/>
  <c r="E16" i="193" s="1"/>
  <c r="F5" i="193" s="1"/>
  <c r="F14" i="193" s="1"/>
  <c r="F16" i="193" s="1"/>
  <c r="G5" i="193" s="1"/>
  <c r="G14" i="193" s="1"/>
  <c r="G16" i="193" s="1"/>
  <c r="H5" i="193" s="1"/>
  <c r="H14" i="193" s="1"/>
  <c r="H16" i="193" s="1"/>
  <c r="I5" i="193" s="1"/>
  <c r="I14" i="193" s="1"/>
  <c r="I16" i="193" s="1"/>
  <c r="J5" i="193" s="1"/>
  <c r="J14" i="193" s="1"/>
  <c r="J16" i="193" s="1"/>
  <c r="K5" i="193" s="1"/>
  <c r="K14" i="193" s="1"/>
  <c r="K16" i="193" s="1"/>
  <c r="L5" i="193" s="1"/>
  <c r="L14" i="193" s="1"/>
  <c r="L16" i="193" s="1"/>
  <c r="M5" i="193" s="1"/>
  <c r="M14" i="193" s="1"/>
  <c r="M16" i="193" s="1"/>
  <c r="B29" i="193"/>
  <c r="B31" i="193" s="1"/>
  <c r="C20" i="193" s="1"/>
  <c r="C29" i="193" s="1"/>
  <c r="C31" i="193" s="1"/>
  <c r="D20" i="193" s="1"/>
  <c r="D29" i="193" s="1"/>
  <c r="D31" i="193" s="1"/>
  <c r="E20" i="193" s="1"/>
  <c r="E29" i="193" s="1"/>
  <c r="E31" i="193" s="1"/>
  <c r="F20" i="193" s="1"/>
  <c r="F29" i="193" s="1"/>
  <c r="F31" i="193" s="1"/>
  <c r="G20" i="193" s="1"/>
  <c r="G29" i="193" s="1"/>
  <c r="G31" i="193" s="1"/>
  <c r="H20" i="193" s="1"/>
  <c r="H29" i="193" s="1"/>
  <c r="H31" i="193" s="1"/>
  <c r="I20" i="193" s="1"/>
  <c r="I29" i="193" s="1"/>
  <c r="I31" i="193" s="1"/>
  <c r="J20" i="193" s="1"/>
  <c r="J29" i="193" s="1"/>
  <c r="J31" i="193" s="1"/>
  <c r="K20" i="193" s="1"/>
  <c r="K29" i="193" s="1"/>
  <c r="K31" i="193" s="1"/>
  <c r="L20" i="193" s="1"/>
  <c r="L29" i="193" s="1"/>
  <c r="L31" i="193" s="1"/>
  <c r="M20" i="193" s="1"/>
  <c r="M29" i="193" s="1"/>
  <c r="M31" i="193" s="1"/>
  <c r="B14" i="124"/>
  <c r="B16" i="124" s="1"/>
  <c r="C5" i="124" s="1"/>
  <c r="C14" i="124" s="1"/>
  <c r="C16" i="124" s="1"/>
  <c r="D5" i="124" s="1"/>
  <c r="D14" i="124" s="1"/>
  <c r="D16" i="124" s="1"/>
  <c r="E5" i="124" s="1"/>
  <c r="E14" i="124" s="1"/>
  <c r="E16" i="124" s="1"/>
  <c r="F5" i="124" s="1"/>
  <c r="F14" i="124" s="1"/>
  <c r="F16" i="124" s="1"/>
  <c r="G5" i="124" s="1"/>
  <c r="G14" i="124" s="1"/>
  <c r="G16" i="124" s="1"/>
  <c r="H5" i="124" s="1"/>
  <c r="H14" i="124" s="1"/>
  <c r="H16" i="124" s="1"/>
  <c r="I5" i="124" s="1"/>
  <c r="I14" i="124" s="1"/>
  <c r="I16" i="124" s="1"/>
  <c r="J5" i="124" s="1"/>
  <c r="J14" i="124" s="1"/>
  <c r="J16" i="124" s="1"/>
  <c r="K5" i="124" s="1"/>
  <c r="K14" i="124" s="1"/>
  <c r="K16" i="124" s="1"/>
  <c r="L5" i="124" s="1"/>
  <c r="L14" i="124" s="1"/>
  <c r="L16" i="124" s="1"/>
  <c r="M5" i="124" s="1"/>
  <c r="M14" i="124" s="1"/>
  <c r="M16" i="124" s="1"/>
  <c r="B28" i="124"/>
  <c r="B30" i="124" s="1"/>
  <c r="C19" i="124" s="1"/>
  <c r="C28" i="124" s="1"/>
  <c r="C30" i="124" s="1"/>
  <c r="D19" i="124" s="1"/>
  <c r="D28" i="124" s="1"/>
  <c r="D30" i="124" s="1"/>
  <c r="E19" i="124" s="1"/>
  <c r="E28" i="124" s="1"/>
  <c r="E30" i="124" s="1"/>
  <c r="F19" i="124" s="1"/>
  <c r="F28" i="124" s="1"/>
  <c r="F30" i="124" s="1"/>
  <c r="G19" i="124" s="1"/>
  <c r="G28" i="124" s="1"/>
  <c r="G30" i="124" s="1"/>
  <c r="H19" i="124" s="1"/>
  <c r="H28" i="124" s="1"/>
  <c r="H30" i="124" s="1"/>
  <c r="I19" i="124" s="1"/>
  <c r="I28" i="124" s="1"/>
  <c r="I30" i="124" s="1"/>
  <c r="J19" i="124" s="1"/>
  <c r="J28" i="124" s="1"/>
  <c r="J30" i="124" s="1"/>
  <c r="K19" i="124" s="1"/>
  <c r="K28" i="124" s="1"/>
  <c r="K30" i="124" s="1"/>
  <c r="L19" i="124" s="1"/>
  <c r="L28" i="124" s="1"/>
  <c r="L30" i="124" s="1"/>
  <c r="M19" i="124" s="1"/>
  <c r="M28" i="124" s="1"/>
  <c r="M30" i="124" s="1"/>
  <c r="B15" i="119"/>
  <c r="B17" i="119" s="1"/>
  <c r="C6" i="119" s="1"/>
  <c r="C15" i="119" s="1"/>
  <c r="C17" i="119" s="1"/>
  <c r="D6" i="119" s="1"/>
  <c r="D15" i="119" s="1"/>
  <c r="D17" i="119" s="1"/>
  <c r="E6" i="119" s="1"/>
  <c r="E15" i="119" s="1"/>
  <c r="E17" i="119" s="1"/>
  <c r="F6" i="119" s="1"/>
  <c r="F15" i="119" s="1"/>
  <c r="F17" i="119" s="1"/>
  <c r="G6" i="119" s="1"/>
  <c r="G15" i="119" s="1"/>
  <c r="G17" i="119" s="1"/>
  <c r="H6" i="119" s="1"/>
  <c r="H15" i="119" s="1"/>
  <c r="H17" i="119" s="1"/>
  <c r="I6" i="119" s="1"/>
  <c r="I15" i="119" s="1"/>
  <c r="I17" i="119" s="1"/>
  <c r="J6" i="119" s="1"/>
  <c r="J15" i="119" s="1"/>
  <c r="J17" i="119" s="1"/>
  <c r="K6" i="119" s="1"/>
  <c r="K15" i="119" s="1"/>
  <c r="K17" i="119" s="1"/>
  <c r="L6" i="119" s="1"/>
  <c r="L15" i="119" s="1"/>
  <c r="L17" i="119" s="1"/>
  <c r="M6" i="119" s="1"/>
  <c r="M15" i="119" s="1"/>
  <c r="M17" i="119" s="1"/>
  <c r="B31" i="119"/>
  <c r="B33" i="119"/>
  <c r="C22" i="119"/>
  <c r="C31" i="119" s="1"/>
  <c r="C33" i="119" s="1"/>
  <c r="D22" i="119" s="1"/>
  <c r="D31" i="119" s="1"/>
  <c r="D33" i="119" s="1"/>
  <c r="E22" i="119" s="1"/>
  <c r="E31" i="119" s="1"/>
  <c r="E33" i="119" s="1"/>
  <c r="F22" i="119" s="1"/>
  <c r="F31" i="119" s="1"/>
  <c r="F33" i="119" s="1"/>
  <c r="G22" i="119" s="1"/>
  <c r="G31" i="119" s="1"/>
  <c r="G33" i="119" s="1"/>
  <c r="H22" i="119" s="1"/>
  <c r="H31" i="119" s="1"/>
  <c r="H33" i="119" s="1"/>
  <c r="I22" i="119" s="1"/>
  <c r="I31" i="119" s="1"/>
  <c r="I33" i="119" s="1"/>
  <c r="J22" i="119" s="1"/>
  <c r="J31" i="119" s="1"/>
  <c r="J33" i="119" s="1"/>
  <c r="K22" i="119" s="1"/>
  <c r="K31" i="119" s="1"/>
  <c r="K33" i="119" s="1"/>
  <c r="L22" i="119" s="1"/>
  <c r="L31" i="119" s="1"/>
  <c r="L33" i="119" s="1"/>
  <c r="M22" i="119" s="1"/>
  <c r="M31" i="119" s="1"/>
  <c r="M33" i="119" s="1"/>
  <c r="B48" i="119"/>
  <c r="B50" i="119"/>
  <c r="C39" i="119"/>
  <c r="C48" i="119" s="1"/>
  <c r="C50" i="119" s="1"/>
  <c r="D39" i="119" s="1"/>
  <c r="D48" i="119" s="1"/>
  <c r="D50" i="119" s="1"/>
  <c r="E39" i="119" s="1"/>
  <c r="E48" i="119" s="1"/>
  <c r="E50" i="119" s="1"/>
  <c r="F39" i="119" s="1"/>
  <c r="F48" i="119" s="1"/>
  <c r="F50" i="119" s="1"/>
  <c r="G39" i="119" s="1"/>
  <c r="G48" i="119" s="1"/>
  <c r="G50" i="119" s="1"/>
  <c r="H39" i="119" s="1"/>
  <c r="H48" i="119" s="1"/>
  <c r="H50" i="119" s="1"/>
  <c r="I39" i="119" s="1"/>
  <c r="I48" i="119" s="1"/>
  <c r="I50" i="119" s="1"/>
  <c r="J39" i="119" s="1"/>
  <c r="J48" i="119" s="1"/>
  <c r="J50" i="119" s="1"/>
  <c r="K39" i="119" s="1"/>
  <c r="K48" i="119" s="1"/>
  <c r="K50" i="119" s="1"/>
  <c r="L39" i="119" s="1"/>
  <c r="L48" i="119" s="1"/>
  <c r="L50" i="119" s="1"/>
  <c r="M39" i="119" s="1"/>
  <c r="M48" i="119" s="1"/>
  <c r="M50" i="119" s="1"/>
  <c r="B65" i="119"/>
  <c r="B67" i="119"/>
  <c r="C56" i="119" s="1"/>
  <c r="C65" i="119" s="1"/>
  <c r="C67" i="119" s="1"/>
  <c r="D56" i="119" s="1"/>
  <c r="D65" i="119" s="1"/>
  <c r="D67" i="119" s="1"/>
  <c r="E56" i="119" s="1"/>
  <c r="E65" i="119" s="1"/>
  <c r="E67" i="119" s="1"/>
  <c r="F56" i="119" s="1"/>
  <c r="F65" i="119" s="1"/>
  <c r="F67" i="119" s="1"/>
  <c r="G56" i="119" s="1"/>
  <c r="G65" i="119" s="1"/>
  <c r="G67" i="119" s="1"/>
  <c r="H56" i="119" s="1"/>
  <c r="H65" i="119" s="1"/>
  <c r="H67" i="119" s="1"/>
  <c r="I56" i="119" s="1"/>
  <c r="I65" i="119" s="1"/>
  <c r="I67" i="119" s="1"/>
  <c r="J56" i="119" s="1"/>
  <c r="J65" i="119" s="1"/>
  <c r="J67" i="119" s="1"/>
  <c r="K56" i="119" s="1"/>
  <c r="K65" i="119" s="1"/>
  <c r="K67" i="119" s="1"/>
  <c r="L56" i="119" s="1"/>
  <c r="L65" i="119" s="1"/>
  <c r="L67" i="119" s="1"/>
  <c r="M56" i="119" s="1"/>
  <c r="M65" i="119" s="1"/>
  <c r="M67" i="119" s="1"/>
  <c r="B82" i="119"/>
  <c r="B84" i="119" s="1"/>
  <c r="C73" i="119" s="1"/>
  <c r="C82" i="119" s="1"/>
  <c r="C84" i="119" s="1"/>
  <c r="D73" i="119" s="1"/>
  <c r="D82" i="119" s="1"/>
  <c r="D84" i="119" s="1"/>
  <c r="E73" i="119" s="1"/>
  <c r="E82" i="119" s="1"/>
  <c r="E84" i="119" s="1"/>
  <c r="F73" i="119" s="1"/>
  <c r="F82" i="119" s="1"/>
  <c r="F84" i="119" s="1"/>
  <c r="G73" i="119" s="1"/>
  <c r="G82" i="119" s="1"/>
  <c r="G84" i="119" s="1"/>
  <c r="H73" i="119" s="1"/>
  <c r="H82" i="119" s="1"/>
  <c r="H84" i="119" s="1"/>
  <c r="I73" i="119" s="1"/>
  <c r="I82" i="119" s="1"/>
  <c r="I84" i="119" s="1"/>
  <c r="J73" i="119" s="1"/>
  <c r="J82" i="119" s="1"/>
  <c r="J84" i="119" s="1"/>
  <c r="K73" i="119" s="1"/>
  <c r="K82" i="119" s="1"/>
  <c r="K84" i="119" s="1"/>
  <c r="L73" i="119" s="1"/>
  <c r="L82" i="119" s="1"/>
  <c r="L84" i="119" s="1"/>
  <c r="M73" i="119" s="1"/>
  <c r="M82" i="119" s="1"/>
  <c r="M84" i="119" s="1"/>
  <c r="B99" i="119"/>
  <c r="B101" i="119"/>
  <c r="C90" i="119" s="1"/>
  <c r="C99" i="119" s="1"/>
  <c r="C101" i="119" s="1"/>
  <c r="D90" i="119" s="1"/>
  <c r="D99" i="119" s="1"/>
  <c r="D101" i="119" s="1"/>
  <c r="E90" i="119" s="1"/>
  <c r="E99" i="119" s="1"/>
  <c r="E101" i="119" s="1"/>
  <c r="F90" i="119" s="1"/>
  <c r="F99" i="119" s="1"/>
  <c r="F101" i="119" s="1"/>
  <c r="G90" i="119" s="1"/>
  <c r="G99" i="119" s="1"/>
  <c r="G101" i="119" s="1"/>
  <c r="H90" i="119" s="1"/>
  <c r="H99" i="119" s="1"/>
  <c r="H101" i="119" s="1"/>
  <c r="I90" i="119" s="1"/>
  <c r="I99" i="119" s="1"/>
  <c r="I101" i="119" s="1"/>
  <c r="J90" i="119" s="1"/>
  <c r="J99" i="119" s="1"/>
  <c r="J101" i="119" s="1"/>
  <c r="K90" i="119" s="1"/>
  <c r="K99" i="119" s="1"/>
  <c r="K101" i="119" s="1"/>
  <c r="L90" i="119" s="1"/>
  <c r="L99" i="119" s="1"/>
  <c r="L101" i="119" s="1"/>
  <c r="M90" i="119" s="1"/>
  <c r="M99" i="119" s="1"/>
  <c r="M101" i="119" s="1"/>
  <c r="B116" i="119"/>
  <c r="B118" i="119" s="1"/>
  <c r="C107" i="119" s="1"/>
  <c r="C116" i="119" s="1"/>
  <c r="C118" i="119" s="1"/>
  <c r="D107" i="119" s="1"/>
  <c r="D116" i="119" s="1"/>
  <c r="D118" i="119" s="1"/>
  <c r="E107" i="119" s="1"/>
  <c r="E116" i="119" s="1"/>
  <c r="E118" i="119" s="1"/>
  <c r="F107" i="119" s="1"/>
  <c r="F116" i="119" s="1"/>
  <c r="F118" i="119" s="1"/>
  <c r="G107" i="119" s="1"/>
  <c r="G116" i="119" s="1"/>
  <c r="G118" i="119" s="1"/>
  <c r="H107" i="119" s="1"/>
  <c r="H116" i="119" s="1"/>
  <c r="H118" i="119" s="1"/>
  <c r="I107" i="119" s="1"/>
  <c r="I116" i="119" s="1"/>
  <c r="I118" i="119" s="1"/>
  <c r="J107" i="119" s="1"/>
  <c r="J116" i="119" s="1"/>
  <c r="J118" i="119" s="1"/>
  <c r="K107" i="119" s="1"/>
  <c r="K116" i="119" s="1"/>
  <c r="K118" i="119" s="1"/>
  <c r="L107" i="119" s="1"/>
  <c r="L116" i="119" s="1"/>
  <c r="L118" i="119" s="1"/>
  <c r="M107" i="119" s="1"/>
  <c r="M116" i="119" s="1"/>
  <c r="M118" i="119" s="1"/>
  <c r="B16" i="128"/>
  <c r="B18" i="128" s="1"/>
  <c r="C7" i="128" s="1"/>
  <c r="C16" i="128" s="1"/>
  <c r="C18" i="128" s="1"/>
  <c r="D7" i="128" s="1"/>
  <c r="D16" i="128" s="1"/>
  <c r="D18" i="128"/>
  <c r="E7" i="128" s="1"/>
  <c r="E16" i="128" s="1"/>
  <c r="E18" i="128" s="1"/>
  <c r="F7" i="128" s="1"/>
  <c r="F16" i="128" s="1"/>
  <c r="F18" i="128" s="1"/>
  <c r="G7" i="128" s="1"/>
  <c r="G16" i="128" s="1"/>
  <c r="G18" i="128" s="1"/>
  <c r="H7" i="128" s="1"/>
  <c r="H16" i="128" s="1"/>
  <c r="H18" i="128" s="1"/>
  <c r="I7" i="128" s="1"/>
  <c r="I16" i="128" s="1"/>
  <c r="I18" i="128" s="1"/>
  <c r="J7" i="128" s="1"/>
  <c r="J16" i="128" s="1"/>
  <c r="J18" i="128" s="1"/>
  <c r="K7" i="128" s="1"/>
  <c r="K16" i="128" s="1"/>
  <c r="K18" i="128" s="1"/>
  <c r="L7" i="128" s="1"/>
  <c r="L16" i="128" s="1"/>
  <c r="L18" i="128" s="1"/>
  <c r="M7" i="128" s="1"/>
  <c r="M16" i="128" s="1"/>
  <c r="M18" i="128" s="1"/>
  <c r="B33" i="128"/>
  <c r="B35" i="128" s="1"/>
  <c r="C24" i="128" s="1"/>
  <c r="C33" i="128" s="1"/>
  <c r="C35" i="128" s="1"/>
  <c r="D24" i="128" s="1"/>
  <c r="D33" i="128" s="1"/>
  <c r="D35" i="128" s="1"/>
  <c r="E24" i="128" s="1"/>
  <c r="E33" i="128" s="1"/>
  <c r="E35" i="128" s="1"/>
  <c r="F24" i="128" s="1"/>
  <c r="F33" i="128" s="1"/>
  <c r="F35" i="128" s="1"/>
  <c r="G24" i="128" s="1"/>
  <c r="G33" i="128" s="1"/>
  <c r="G35" i="128" s="1"/>
  <c r="H24" i="128" s="1"/>
  <c r="H33" i="128" s="1"/>
  <c r="H35" i="128" s="1"/>
  <c r="I24" i="128" s="1"/>
  <c r="I33" i="128" s="1"/>
  <c r="I35" i="128" s="1"/>
  <c r="J24" i="128" s="1"/>
  <c r="J33" i="128" s="1"/>
  <c r="J35" i="128" s="1"/>
  <c r="K24" i="128" s="1"/>
  <c r="K33" i="128" s="1"/>
  <c r="K35" i="128" s="1"/>
  <c r="L24" i="128" s="1"/>
  <c r="L33" i="128" s="1"/>
  <c r="L35" i="128" s="1"/>
  <c r="M24" i="128" s="1"/>
  <c r="M33" i="128" s="1"/>
  <c r="M35" i="128" s="1"/>
  <c r="B50" i="128"/>
  <c r="C50" i="128"/>
  <c r="C52" i="128" s="1"/>
  <c r="D50" i="128"/>
  <c r="D52" i="128" s="1"/>
  <c r="E50" i="128"/>
  <c r="E52" i="128" s="1"/>
  <c r="F50" i="128"/>
  <c r="F52" i="128" s="1"/>
  <c r="G50" i="128"/>
  <c r="H50" i="128"/>
  <c r="I50" i="128"/>
  <c r="J50" i="128"/>
  <c r="K50" i="128"/>
  <c r="L50" i="128"/>
  <c r="L52" i="128" s="1"/>
  <c r="M50" i="128"/>
  <c r="M52" i="128" s="1"/>
  <c r="B52" i="128"/>
  <c r="G52" i="128"/>
  <c r="H52" i="128"/>
  <c r="I52" i="128"/>
  <c r="J52" i="128"/>
  <c r="K52" i="128"/>
  <c r="B68" i="128"/>
  <c r="C68" i="128"/>
  <c r="C70" i="128" s="1"/>
  <c r="D68" i="128"/>
  <c r="D70" i="128" s="1"/>
  <c r="E68" i="128"/>
  <c r="E70" i="128" s="1"/>
  <c r="F68" i="128"/>
  <c r="F70" i="128" s="1"/>
  <c r="G68" i="128"/>
  <c r="G70" i="128" s="1"/>
  <c r="H68" i="128"/>
  <c r="I68" i="128"/>
  <c r="J68" i="128"/>
  <c r="J70" i="128" s="1"/>
  <c r="K68" i="128"/>
  <c r="K70" i="128" s="1"/>
  <c r="L68" i="128"/>
  <c r="L70" i="128" s="1"/>
  <c r="M68" i="128"/>
  <c r="M70" i="128" s="1"/>
  <c r="B70" i="128"/>
  <c r="H70" i="128"/>
  <c r="I70" i="128"/>
  <c r="B85" i="128"/>
  <c r="B87" i="128" s="1"/>
  <c r="C76" i="128" s="1"/>
  <c r="C85" i="128" s="1"/>
  <c r="C87" i="128" s="1"/>
  <c r="D76" i="128" s="1"/>
  <c r="D85" i="128" s="1"/>
  <c r="D87" i="128" s="1"/>
  <c r="E76" i="128" s="1"/>
  <c r="E85" i="128" s="1"/>
  <c r="E87" i="128" s="1"/>
  <c r="F76" i="128" s="1"/>
  <c r="F85" i="128" s="1"/>
  <c r="F87" i="128" s="1"/>
  <c r="G76" i="128" s="1"/>
  <c r="G85" i="128" s="1"/>
  <c r="G87" i="128" s="1"/>
  <c r="H76" i="128" s="1"/>
  <c r="H85" i="128" s="1"/>
  <c r="H87" i="128" s="1"/>
  <c r="I76" i="128" s="1"/>
  <c r="I85" i="128" s="1"/>
  <c r="I87" i="128" s="1"/>
  <c r="J76" i="128" s="1"/>
  <c r="J85" i="128" s="1"/>
  <c r="J87" i="128" s="1"/>
  <c r="K76" i="128" s="1"/>
  <c r="K85" i="128" s="1"/>
  <c r="K87" i="128" s="1"/>
  <c r="L76" i="128" s="1"/>
  <c r="L85" i="128" s="1"/>
  <c r="L87" i="128" s="1"/>
  <c r="M76" i="128" s="1"/>
  <c r="M85" i="128" s="1"/>
  <c r="M87" i="128" s="1"/>
  <c r="B103" i="128"/>
  <c r="B105" i="128"/>
  <c r="C94" i="128" s="1"/>
  <c r="C103" i="128" s="1"/>
  <c r="C105" i="128" s="1"/>
  <c r="D94" i="128" s="1"/>
  <c r="D103" i="128" s="1"/>
  <c r="D105" i="128" s="1"/>
  <c r="E94" i="128" s="1"/>
  <c r="E103" i="128" s="1"/>
  <c r="E105" i="128" s="1"/>
  <c r="F94" i="128" s="1"/>
  <c r="F103" i="128" s="1"/>
  <c r="F105" i="128" s="1"/>
  <c r="G94" i="128" s="1"/>
  <c r="G103" i="128" s="1"/>
  <c r="G105" i="128" s="1"/>
  <c r="H94" i="128" s="1"/>
  <c r="H103" i="128" s="1"/>
  <c r="H105" i="128" s="1"/>
  <c r="I94" i="128" s="1"/>
  <c r="I103" i="128" s="1"/>
  <c r="I105" i="128" s="1"/>
  <c r="J94" i="128" s="1"/>
  <c r="J103" i="128" s="1"/>
  <c r="J105" i="128" s="1"/>
  <c r="K94" i="128" s="1"/>
  <c r="K103" i="128" s="1"/>
  <c r="K105" i="128" s="1"/>
  <c r="L94" i="128" s="1"/>
  <c r="L103" i="128" s="1"/>
  <c r="L105" i="128" s="1"/>
  <c r="M94" i="128" s="1"/>
  <c r="M103" i="128" s="1"/>
  <c r="M105" i="128" s="1"/>
  <c r="B119" i="128"/>
  <c r="B121" i="128" s="1"/>
  <c r="C110" i="128" s="1"/>
  <c r="C119" i="128" s="1"/>
  <c r="C121" i="128" s="1"/>
  <c r="D110" i="128" s="1"/>
  <c r="D119" i="128" s="1"/>
  <c r="D121" i="128" s="1"/>
  <c r="E110" i="128" s="1"/>
  <c r="E119" i="128" s="1"/>
  <c r="E121" i="128" s="1"/>
  <c r="F110" i="128" s="1"/>
  <c r="F119" i="128" s="1"/>
  <c r="F121" i="128" s="1"/>
  <c r="G110" i="128" s="1"/>
  <c r="G119" i="128" s="1"/>
  <c r="G121" i="128" s="1"/>
  <c r="H110" i="128" s="1"/>
  <c r="H119" i="128" s="1"/>
  <c r="H121" i="128" s="1"/>
  <c r="I110" i="128" s="1"/>
  <c r="I119" i="128" s="1"/>
  <c r="I121" i="128" s="1"/>
  <c r="J110" i="128" s="1"/>
  <c r="J119" i="128" s="1"/>
  <c r="J121" i="128" s="1"/>
  <c r="K110" i="128" s="1"/>
  <c r="K119" i="128" s="1"/>
  <c r="K121" i="128" s="1"/>
  <c r="L110" i="128" s="1"/>
  <c r="L119" i="128" s="1"/>
  <c r="L121" i="128" s="1"/>
  <c r="M110" i="128" s="1"/>
  <c r="M119" i="128" s="1"/>
  <c r="M121" i="128" s="1"/>
  <c r="B14" i="220"/>
  <c r="B16" i="220" s="1"/>
  <c r="C5" i="220"/>
  <c r="C14" i="220" s="1"/>
  <c r="C16" i="220" s="1"/>
  <c r="D5" i="220" s="1"/>
  <c r="D14" i="220" s="1"/>
  <c r="D16" i="220" s="1"/>
  <c r="E5" i="220" s="1"/>
  <c r="E14" i="220" s="1"/>
  <c r="E16" i="220" s="1"/>
  <c r="F5" i="220" s="1"/>
  <c r="F14" i="220" s="1"/>
  <c r="F16" i="220" s="1"/>
  <c r="G5" i="220" s="1"/>
  <c r="G14" i="220" s="1"/>
  <c r="G16" i="220" s="1"/>
  <c r="H5" i="220" s="1"/>
  <c r="H14" i="220" s="1"/>
  <c r="H16" i="220" s="1"/>
  <c r="I5" i="220" s="1"/>
  <c r="I14" i="220" s="1"/>
  <c r="I16" i="220" s="1"/>
  <c r="J5" i="220" s="1"/>
  <c r="J14" i="220" s="1"/>
  <c r="J16" i="220" s="1"/>
  <c r="K5" i="220" s="1"/>
  <c r="K14" i="220" s="1"/>
  <c r="K16" i="220" s="1"/>
  <c r="L5" i="220" s="1"/>
  <c r="L14" i="220" s="1"/>
  <c r="L16" i="220" s="1"/>
  <c r="M5" i="220" s="1"/>
  <c r="M14" i="220" s="1"/>
  <c r="M16" i="220" s="1"/>
  <c r="B30" i="220"/>
  <c r="B32" i="220" s="1"/>
  <c r="C21" i="220" s="1"/>
  <c r="C30" i="220" s="1"/>
  <c r="C32" i="220" s="1"/>
  <c r="D21" i="220" s="1"/>
  <c r="D30" i="220" s="1"/>
  <c r="D32" i="220" s="1"/>
  <c r="E21" i="220" s="1"/>
  <c r="E30" i="220" s="1"/>
  <c r="E32" i="220" s="1"/>
  <c r="F21" i="220" s="1"/>
  <c r="F30" i="220" s="1"/>
  <c r="F32" i="220"/>
  <c r="G21" i="220" s="1"/>
  <c r="G30" i="220" s="1"/>
  <c r="G32" i="220" s="1"/>
  <c r="H21" i="220" s="1"/>
  <c r="H30" i="220" s="1"/>
  <c r="H32" i="220" s="1"/>
  <c r="I21" i="220" s="1"/>
  <c r="I30" i="220" s="1"/>
  <c r="I32" i="220" s="1"/>
  <c r="J21" i="220" s="1"/>
  <c r="J30" i="220" s="1"/>
  <c r="J32" i="220" s="1"/>
  <c r="K21" i="220" s="1"/>
  <c r="K30" i="220" s="1"/>
  <c r="K32" i="220" s="1"/>
  <c r="L21" i="220" s="1"/>
  <c r="L30" i="220" s="1"/>
  <c r="L32" i="220" s="1"/>
  <c r="M21" i="220" s="1"/>
  <c r="M30" i="220" s="1"/>
  <c r="M32" i="220" s="1"/>
  <c r="C14" i="45"/>
  <c r="C16" i="45" s="1"/>
  <c r="D5" i="45" s="1"/>
  <c r="D14" i="45" s="1"/>
  <c r="D16" i="45" s="1"/>
  <c r="E5" i="45" s="1"/>
  <c r="E14" i="45" s="1"/>
  <c r="E16" i="45" s="1"/>
  <c r="F5" i="45" s="1"/>
  <c r="F14" i="45" s="1"/>
  <c r="F16" i="45" s="1"/>
  <c r="G5" i="45" s="1"/>
  <c r="G14" i="45" s="1"/>
  <c r="N15" i="45"/>
  <c r="G16" i="45"/>
  <c r="H5" i="45" s="1"/>
  <c r="H14" i="45" s="1"/>
  <c r="H16" i="45" s="1"/>
  <c r="I5" i="45" s="1"/>
  <c r="I14" i="45" s="1"/>
  <c r="I16" i="45" s="1"/>
  <c r="J5" i="45" s="1"/>
  <c r="J14" i="45" s="1"/>
  <c r="J16" i="45" s="1"/>
  <c r="K5" i="45" s="1"/>
  <c r="K14" i="45" s="1"/>
  <c r="K16" i="45" s="1"/>
  <c r="L5" i="45" s="1"/>
  <c r="L14" i="45" s="1"/>
  <c r="L16" i="45" s="1"/>
  <c r="M5" i="45" s="1"/>
  <c r="M14" i="45" s="1"/>
  <c r="M16" i="45" s="1"/>
  <c r="N5" i="45" s="1"/>
  <c r="N14" i="45" s="1"/>
  <c r="N16" i="45" s="1"/>
  <c r="C30" i="45"/>
  <c r="C32" i="45" s="1"/>
  <c r="D21" i="45" s="1"/>
  <c r="D30" i="45" s="1"/>
  <c r="D32" i="45" s="1"/>
  <c r="E21" i="45" s="1"/>
  <c r="E30" i="45" s="1"/>
  <c r="E32" i="45" s="1"/>
  <c r="F21" i="45" s="1"/>
  <c r="F30" i="45" s="1"/>
  <c r="F32" i="45" s="1"/>
  <c r="G21" i="45" s="1"/>
  <c r="G30" i="45" s="1"/>
  <c r="G32" i="45" s="1"/>
  <c r="H21" i="45" s="1"/>
  <c r="H30" i="45"/>
  <c r="H32" i="45" s="1"/>
  <c r="I21" i="45" s="1"/>
  <c r="I30" i="45" s="1"/>
  <c r="I32" i="45" s="1"/>
  <c r="J21" i="45" s="1"/>
  <c r="J30" i="45" s="1"/>
  <c r="J32" i="45" s="1"/>
  <c r="K21" i="45" s="1"/>
  <c r="K30" i="45" s="1"/>
  <c r="K32" i="45" s="1"/>
  <c r="L21" i="45" s="1"/>
  <c r="L30" i="45" s="1"/>
  <c r="L32" i="45" s="1"/>
  <c r="M21" i="45" s="1"/>
  <c r="M30" i="45" s="1"/>
  <c r="M32" i="45" s="1"/>
  <c r="N21" i="45" s="1"/>
  <c r="N30" i="45" s="1"/>
  <c r="N32" i="45" s="1"/>
  <c r="C46" i="45"/>
  <c r="C48" i="45"/>
  <c r="D37" i="45" s="1"/>
  <c r="D46" i="45" s="1"/>
  <c r="D48" i="45" s="1"/>
  <c r="E37" i="45" s="1"/>
  <c r="E46" i="45" s="1"/>
  <c r="E48" i="45" s="1"/>
  <c r="F37" i="45" s="1"/>
  <c r="F46" i="45" s="1"/>
  <c r="F48" i="45" s="1"/>
  <c r="G37" i="45" s="1"/>
  <c r="G46" i="45" s="1"/>
  <c r="G48" i="45" s="1"/>
  <c r="H37" i="45" s="1"/>
  <c r="H46" i="45" s="1"/>
  <c r="H48" i="45" s="1"/>
  <c r="I37" i="45" s="1"/>
  <c r="I46" i="45" s="1"/>
  <c r="I48" i="45" s="1"/>
  <c r="J37" i="45" s="1"/>
  <c r="J46" i="45" s="1"/>
  <c r="J48" i="45" s="1"/>
  <c r="K37" i="45" s="1"/>
  <c r="K46" i="45" s="1"/>
  <c r="K48" i="45" s="1"/>
  <c r="L37" i="45" s="1"/>
  <c r="L46" i="45" s="1"/>
  <c r="L48" i="45" s="1"/>
  <c r="M37" i="45" s="1"/>
  <c r="M46" i="45" s="1"/>
  <c r="M48" i="45" s="1"/>
  <c r="N37" i="45" s="1"/>
  <c r="N46" i="45" s="1"/>
  <c r="N48" i="45" s="1"/>
  <c r="B15" i="143"/>
  <c r="B17" i="143" s="1"/>
  <c r="C6" i="143" s="1"/>
  <c r="C15" i="143" s="1"/>
  <c r="C17" i="143" s="1"/>
  <c r="D6" i="143" s="1"/>
  <c r="D15" i="143" s="1"/>
  <c r="D17" i="143" s="1"/>
  <c r="E6" i="143" s="1"/>
  <c r="E15" i="143" s="1"/>
  <c r="E17" i="143" s="1"/>
  <c r="F6" i="143" s="1"/>
  <c r="F15" i="143" s="1"/>
  <c r="F17" i="143" s="1"/>
  <c r="G6" i="143" s="1"/>
  <c r="G15" i="143" s="1"/>
  <c r="G17" i="143" s="1"/>
  <c r="H6" i="143" s="1"/>
  <c r="H15" i="143" s="1"/>
  <c r="H17" i="143" s="1"/>
  <c r="I6" i="143" s="1"/>
  <c r="I15" i="143" s="1"/>
  <c r="I17" i="143" s="1"/>
  <c r="J6" i="143" s="1"/>
  <c r="J15" i="143" s="1"/>
  <c r="J17" i="143" s="1"/>
  <c r="K6" i="143" s="1"/>
  <c r="K15" i="143" s="1"/>
  <c r="K17" i="143" s="1"/>
  <c r="L6" i="143" s="1"/>
  <c r="L15" i="143" s="1"/>
  <c r="L17" i="143" s="1"/>
  <c r="M6" i="143" s="1"/>
  <c r="M15" i="143" s="1"/>
  <c r="M17" i="143" s="1"/>
  <c r="B31" i="143"/>
  <c r="D32" i="143"/>
  <c r="B33" i="143"/>
  <c r="C22" i="143" s="1"/>
  <c r="C31" i="143" s="1"/>
  <c r="C33" i="143" s="1"/>
  <c r="D22" i="143" s="1"/>
  <c r="D31" i="143" s="1"/>
  <c r="D33" i="143" s="1"/>
  <c r="E22" i="143" s="1"/>
  <c r="E31" i="143" s="1"/>
  <c r="E33" i="143" s="1"/>
  <c r="F22" i="143" s="1"/>
  <c r="F31" i="143" s="1"/>
  <c r="F33" i="143" s="1"/>
  <c r="G22" i="143" s="1"/>
  <c r="G31" i="143" s="1"/>
  <c r="G33" i="143" s="1"/>
  <c r="H22" i="143" s="1"/>
  <c r="H31" i="143" s="1"/>
  <c r="H33" i="143" s="1"/>
  <c r="I22" i="143" s="1"/>
  <c r="I31" i="143" s="1"/>
  <c r="I33" i="143" s="1"/>
  <c r="J22" i="143" s="1"/>
  <c r="J31" i="143" s="1"/>
  <c r="J33" i="143" s="1"/>
  <c r="K22" i="143" s="1"/>
  <c r="K31" i="143" s="1"/>
  <c r="K33" i="143" s="1"/>
  <c r="L22" i="143" s="1"/>
  <c r="L31" i="143" s="1"/>
  <c r="L33" i="143" s="1"/>
  <c r="M22" i="143" s="1"/>
  <c r="M31" i="143" s="1"/>
  <c r="M33" i="143" s="1"/>
  <c r="I38" i="143"/>
  <c r="B21" i="180"/>
  <c r="B23" i="180" s="1"/>
  <c r="C12" i="180" s="1"/>
  <c r="C21" i="180" s="1"/>
  <c r="C23" i="180" s="1"/>
  <c r="D12" i="180" s="1"/>
  <c r="D21" i="180" s="1"/>
  <c r="D23" i="180" s="1"/>
  <c r="E12" i="180" s="1"/>
  <c r="E21" i="180" s="1"/>
  <c r="E23" i="180" s="1"/>
  <c r="F12" i="180" s="1"/>
  <c r="F21" i="180" s="1"/>
  <c r="F23" i="180" s="1"/>
  <c r="G12" i="180" s="1"/>
  <c r="G21" i="180" s="1"/>
  <c r="G23" i="180" s="1"/>
  <c r="H12" i="180" s="1"/>
  <c r="H21" i="180" s="1"/>
  <c r="H23" i="180" s="1"/>
  <c r="I12" i="180" s="1"/>
  <c r="I21" i="180" s="1"/>
  <c r="I23" i="180" s="1"/>
  <c r="J12" i="180" s="1"/>
  <c r="J21" i="180" s="1"/>
  <c r="J23" i="180" s="1"/>
  <c r="K12" i="180" s="1"/>
  <c r="K21" i="180" s="1"/>
  <c r="K23" i="180" s="1"/>
  <c r="L12" i="180" s="1"/>
  <c r="L21" i="180" s="1"/>
  <c r="L23" i="180" s="1"/>
  <c r="M12" i="180" s="1"/>
  <c r="M21" i="180" s="1"/>
  <c r="M23" i="180" s="1"/>
  <c r="B38" i="180"/>
  <c r="B40" i="180" s="1"/>
  <c r="C29" i="180" s="1"/>
  <c r="C38" i="180" s="1"/>
  <c r="C40" i="180" s="1"/>
  <c r="D29" i="180" s="1"/>
  <c r="D38" i="180" s="1"/>
  <c r="D40" i="180" s="1"/>
  <c r="E29" i="180" s="1"/>
  <c r="E38" i="180" s="1"/>
  <c r="E40" i="180" s="1"/>
  <c r="F29" i="180" s="1"/>
  <c r="F38" i="180" s="1"/>
  <c r="F40" i="180" s="1"/>
  <c r="G29" i="180" s="1"/>
  <c r="G38" i="180" s="1"/>
  <c r="G40" i="180" s="1"/>
  <c r="H29" i="180" s="1"/>
  <c r="H38" i="180" s="1"/>
  <c r="H40" i="180" s="1"/>
  <c r="I29" i="180" s="1"/>
  <c r="I38" i="180" s="1"/>
  <c r="I40" i="180" s="1"/>
  <c r="J29" i="180" s="1"/>
  <c r="J38" i="180" s="1"/>
  <c r="J40" i="180" s="1"/>
  <c r="K29" i="180" s="1"/>
  <c r="K38" i="180" s="1"/>
  <c r="K40" i="180" s="1"/>
  <c r="L29" i="180" s="1"/>
  <c r="L38" i="180" s="1"/>
  <c r="L40" i="180" s="1"/>
  <c r="M29" i="180" s="1"/>
  <c r="M38" i="180" s="1"/>
  <c r="M40" i="180" s="1"/>
  <c r="B17" i="46"/>
  <c r="B19" i="46" s="1"/>
  <c r="C8" i="46" s="1"/>
  <c r="C17" i="46"/>
  <c r="C19" i="46" s="1"/>
  <c r="D8" i="46" s="1"/>
  <c r="D17" i="46" s="1"/>
  <c r="D19" i="46" s="1"/>
  <c r="E8" i="46" s="1"/>
  <c r="E17" i="46" s="1"/>
  <c r="E19" i="46" s="1"/>
  <c r="F8" i="46" s="1"/>
  <c r="F17" i="46" s="1"/>
  <c r="F19" i="46" s="1"/>
  <c r="G8" i="46" s="1"/>
  <c r="G17" i="46" s="1"/>
  <c r="G19" i="46" s="1"/>
  <c r="H8" i="46" s="1"/>
  <c r="H17" i="46" s="1"/>
  <c r="H19" i="46" s="1"/>
  <c r="I8" i="46" s="1"/>
  <c r="I17" i="46" s="1"/>
  <c r="I19" i="46" s="1"/>
  <c r="J8" i="46" s="1"/>
  <c r="J17" i="46" s="1"/>
  <c r="J19" i="46" s="1"/>
  <c r="K8" i="46" s="1"/>
  <c r="K17" i="46" s="1"/>
  <c r="K19" i="46" s="1"/>
  <c r="L8" i="46" s="1"/>
  <c r="L17" i="46" s="1"/>
  <c r="L19" i="46" s="1"/>
  <c r="M8" i="46" s="1"/>
  <c r="M17" i="46" s="1"/>
  <c r="M19" i="46" s="1"/>
  <c r="B36" i="46"/>
  <c r="B38" i="46"/>
  <c r="C27" i="46" s="1"/>
  <c r="C36" i="46" s="1"/>
  <c r="C38" i="46" s="1"/>
  <c r="D27" i="46" s="1"/>
  <c r="D36" i="46" s="1"/>
  <c r="D38" i="46" s="1"/>
  <c r="E27" i="46" s="1"/>
  <c r="E36" i="46" s="1"/>
  <c r="E38" i="46" s="1"/>
  <c r="F27" i="46" s="1"/>
  <c r="F36" i="46" s="1"/>
  <c r="F38" i="46" s="1"/>
  <c r="G27" i="46" s="1"/>
  <c r="G36" i="46" s="1"/>
  <c r="G38" i="46" s="1"/>
  <c r="H27" i="46" s="1"/>
  <c r="H36" i="46" s="1"/>
  <c r="H38" i="46" s="1"/>
  <c r="I27" i="46" s="1"/>
  <c r="I36" i="46" s="1"/>
  <c r="I38" i="46" s="1"/>
  <c r="J27" i="46" s="1"/>
  <c r="J36" i="46" s="1"/>
  <c r="J38" i="46" s="1"/>
  <c r="K27" i="46" s="1"/>
  <c r="K36" i="46" s="1"/>
  <c r="K38" i="46" s="1"/>
  <c r="L27" i="46" s="1"/>
  <c r="L36" i="46" s="1"/>
  <c r="L38" i="46" s="1"/>
  <c r="M27" i="46" s="1"/>
  <c r="M36" i="46" s="1"/>
  <c r="M38" i="46" s="1"/>
  <c r="B57" i="46"/>
  <c r="C57" i="46"/>
  <c r="C59" i="46" s="1"/>
  <c r="D48" i="46" s="1"/>
  <c r="D57" i="46" s="1"/>
  <c r="D59" i="46" s="1"/>
  <c r="E48" i="46" s="1"/>
  <c r="E57" i="46" s="1"/>
  <c r="E59" i="46" s="1"/>
  <c r="F48" i="46" s="1"/>
  <c r="F57" i="46" s="1"/>
  <c r="F59" i="46" s="1"/>
  <c r="G48" i="46" s="1"/>
  <c r="G57" i="46" s="1"/>
  <c r="G59" i="46" s="1"/>
  <c r="H48" i="46" s="1"/>
  <c r="H57" i="46" s="1"/>
  <c r="H59" i="46" s="1"/>
  <c r="I48" i="46" s="1"/>
  <c r="I57" i="46" s="1"/>
  <c r="I59" i="46" s="1"/>
  <c r="J48" i="46" s="1"/>
  <c r="J57" i="46" s="1"/>
  <c r="J59" i="46" s="1"/>
  <c r="K48" i="46" s="1"/>
  <c r="K57" i="46" s="1"/>
  <c r="K59" i="46" s="1"/>
  <c r="L48" i="46" s="1"/>
  <c r="L57" i="46" s="1"/>
  <c r="L59" i="46" s="1"/>
  <c r="M48" i="46" s="1"/>
  <c r="M57" i="46" s="1"/>
  <c r="M59" i="46" s="1"/>
  <c r="C58" i="46"/>
  <c r="B59" i="46"/>
  <c r="C48" i="46" s="1"/>
  <c r="B75" i="46"/>
  <c r="B77" i="46" s="1"/>
  <c r="C66" i="46" s="1"/>
  <c r="C75" i="46" s="1"/>
  <c r="C77" i="46" s="1"/>
  <c r="D66" i="46" s="1"/>
  <c r="D75" i="46"/>
  <c r="D77" i="46" s="1"/>
  <c r="E66" i="46" s="1"/>
  <c r="E75" i="46" s="1"/>
  <c r="E77" i="46" s="1"/>
  <c r="F66" i="46" s="1"/>
  <c r="F75" i="46" s="1"/>
  <c r="F77" i="46" s="1"/>
  <c r="G75" i="46"/>
  <c r="G77" i="46" s="1"/>
  <c r="H66" i="46" s="1"/>
  <c r="H75" i="46"/>
  <c r="H77" i="46" s="1"/>
  <c r="I66" i="46" s="1"/>
  <c r="I75" i="46" s="1"/>
  <c r="I77" i="46" s="1"/>
  <c r="J66" i="46" s="1"/>
  <c r="J75" i="46" s="1"/>
  <c r="J77" i="46" s="1"/>
  <c r="K66" i="46" s="1"/>
  <c r="K75" i="46" s="1"/>
  <c r="K77" i="46" s="1"/>
  <c r="L66" i="46" s="1"/>
  <c r="L75" i="46" s="1"/>
  <c r="L77" i="46" s="1"/>
  <c r="M66" i="46" s="1"/>
  <c r="M75" i="46" s="1"/>
  <c r="M77" i="46" s="1"/>
  <c r="F76" i="46"/>
  <c r="B14" i="114"/>
  <c r="B16" i="114" s="1"/>
  <c r="C5" i="114" s="1"/>
  <c r="C14" i="114" s="1"/>
  <c r="C16" i="114" s="1"/>
  <c r="D5" i="114" s="1"/>
  <c r="D14" i="114" s="1"/>
  <c r="D16" i="114" s="1"/>
  <c r="E5" i="114" s="1"/>
  <c r="E14" i="114" s="1"/>
  <c r="E16" i="114" s="1"/>
  <c r="F5" i="114" s="1"/>
  <c r="F14" i="114" s="1"/>
  <c r="F16" i="114" s="1"/>
  <c r="G5" i="114" s="1"/>
  <c r="G14" i="114" s="1"/>
  <c r="G16" i="114" s="1"/>
  <c r="H5" i="114" s="1"/>
  <c r="H14" i="114" s="1"/>
  <c r="H16" i="114" s="1"/>
  <c r="I5" i="114" s="1"/>
  <c r="I14" i="114" s="1"/>
  <c r="I16" i="114" s="1"/>
  <c r="J5" i="114" s="1"/>
  <c r="J14" i="114" s="1"/>
  <c r="J16" i="114" s="1"/>
  <c r="K5" i="114" s="1"/>
  <c r="K14" i="114" s="1"/>
  <c r="K16" i="114" s="1"/>
  <c r="L5" i="114" s="1"/>
  <c r="L14" i="114" s="1"/>
  <c r="L16" i="114" s="1"/>
  <c r="M5" i="114" s="1"/>
  <c r="M14" i="114" s="1"/>
  <c r="M16" i="114" s="1"/>
  <c r="B30" i="114"/>
  <c r="B32" i="114" s="1"/>
  <c r="C21" i="114" s="1"/>
  <c r="C30" i="114" s="1"/>
  <c r="C32" i="114" s="1"/>
  <c r="D21" i="114" s="1"/>
  <c r="D30" i="114" s="1"/>
  <c r="D32" i="114" s="1"/>
  <c r="E21" i="114" s="1"/>
  <c r="E30" i="114" s="1"/>
  <c r="E32" i="114" s="1"/>
  <c r="F21" i="114" s="1"/>
  <c r="F30" i="114" s="1"/>
  <c r="F32" i="114" s="1"/>
  <c r="G21" i="114" s="1"/>
  <c r="G30" i="114" s="1"/>
  <c r="G32" i="114" s="1"/>
  <c r="H21" i="114" s="1"/>
  <c r="H30" i="114" s="1"/>
  <c r="H32" i="114" s="1"/>
  <c r="I21" i="114" s="1"/>
  <c r="I30" i="114" s="1"/>
  <c r="I32" i="114" s="1"/>
  <c r="J21" i="114" s="1"/>
  <c r="J30" i="114" s="1"/>
  <c r="J32" i="114" s="1"/>
  <c r="K21" i="114" s="1"/>
  <c r="K30" i="114" s="1"/>
  <c r="K32" i="114" s="1"/>
  <c r="L21" i="114" s="1"/>
  <c r="L30" i="114" s="1"/>
  <c r="L32" i="114" s="1"/>
  <c r="M21" i="114" s="1"/>
  <c r="M30" i="114" s="1"/>
  <c r="M32" i="114" s="1"/>
  <c r="B16" i="49"/>
  <c r="B18" i="49" s="1"/>
  <c r="C7" i="49" s="1"/>
  <c r="C16" i="49" s="1"/>
  <c r="C18" i="49" s="1"/>
  <c r="D7" i="49" s="1"/>
  <c r="D16" i="49" s="1"/>
  <c r="D18" i="49" s="1"/>
  <c r="E7" i="49" s="1"/>
  <c r="E16" i="49" s="1"/>
  <c r="E18" i="49" s="1"/>
  <c r="F7" i="49" s="1"/>
  <c r="F16" i="49" s="1"/>
  <c r="F18" i="49" s="1"/>
  <c r="G7" i="49" s="1"/>
  <c r="G16" i="49" s="1"/>
  <c r="G18" i="49" s="1"/>
  <c r="H7" i="49" s="1"/>
  <c r="H16" i="49" s="1"/>
  <c r="H18" i="49" s="1"/>
  <c r="I7" i="49" s="1"/>
  <c r="I16" i="49" s="1"/>
  <c r="I18" i="49" s="1"/>
  <c r="J7" i="49" s="1"/>
  <c r="J16" i="49" s="1"/>
  <c r="J18" i="49" s="1"/>
  <c r="K7" i="49" s="1"/>
  <c r="K16" i="49" s="1"/>
  <c r="K18" i="49" s="1"/>
  <c r="L7" i="49" s="1"/>
  <c r="L16" i="49" s="1"/>
  <c r="L18" i="49" s="1"/>
  <c r="M7" i="49" s="1"/>
  <c r="M16" i="49" s="1"/>
  <c r="M18" i="49" s="1"/>
  <c r="C15" i="166"/>
  <c r="C17" i="166" s="1"/>
  <c r="D6" i="166" s="1"/>
  <c r="D15" i="166" s="1"/>
  <c r="D17" i="166" s="1"/>
  <c r="E6" i="166" s="1"/>
  <c r="E15" i="166" s="1"/>
  <c r="E17" i="166" s="1"/>
  <c r="F6" i="166" s="1"/>
  <c r="F15" i="166" s="1"/>
  <c r="F17" i="166" s="1"/>
  <c r="G6" i="166" s="1"/>
  <c r="G15" i="166" s="1"/>
  <c r="G17" i="166" s="1"/>
  <c r="H6" i="166" s="1"/>
  <c r="H15" i="166" s="1"/>
  <c r="H17" i="166" s="1"/>
  <c r="I6" i="166" s="1"/>
  <c r="I15" i="166" s="1"/>
  <c r="I17" i="166" s="1"/>
  <c r="J6" i="166" s="1"/>
  <c r="J15" i="166" s="1"/>
  <c r="J17" i="166" s="1"/>
  <c r="K6" i="166" s="1"/>
  <c r="K15" i="166" s="1"/>
  <c r="K17" i="166" s="1"/>
  <c r="L6" i="166" s="1"/>
  <c r="L15" i="166" s="1"/>
  <c r="L17" i="166" s="1"/>
  <c r="M6" i="166" s="1"/>
  <c r="M15" i="166" s="1"/>
  <c r="M17" i="166" s="1"/>
  <c r="N6" i="166" s="1"/>
  <c r="N15" i="166" s="1"/>
  <c r="N17" i="166" s="1"/>
  <c r="C33" i="166"/>
  <c r="C35" i="166" s="1"/>
  <c r="D24" i="166" s="1"/>
  <c r="D33" i="166" s="1"/>
  <c r="D35" i="166" s="1"/>
  <c r="E24" i="166" s="1"/>
  <c r="E33" i="166" s="1"/>
  <c r="E35" i="166" s="1"/>
  <c r="F24" i="166" s="1"/>
  <c r="F33" i="166" s="1"/>
  <c r="F35" i="166" s="1"/>
  <c r="G24" i="166" s="1"/>
  <c r="G33" i="166" s="1"/>
  <c r="G35" i="166" s="1"/>
  <c r="H24" i="166" s="1"/>
  <c r="H33" i="166" s="1"/>
  <c r="H35" i="166" s="1"/>
  <c r="I24" i="166" s="1"/>
  <c r="I33" i="166" s="1"/>
  <c r="I35" i="166" s="1"/>
  <c r="J24" i="166" s="1"/>
  <c r="J33" i="166" s="1"/>
  <c r="J35" i="166" s="1"/>
  <c r="K24" i="166" s="1"/>
  <c r="K33" i="166" s="1"/>
  <c r="K35" i="166" s="1"/>
  <c r="L24" i="166" s="1"/>
  <c r="L33" i="166" s="1"/>
  <c r="L35" i="166" s="1"/>
  <c r="M24" i="166" s="1"/>
  <c r="M33" i="166" s="1"/>
  <c r="M35" i="166" s="1"/>
  <c r="N24" i="166" s="1"/>
  <c r="N33" i="166" s="1"/>
  <c r="N35" i="166" s="1"/>
  <c r="C48" i="166"/>
  <c r="N49" i="166"/>
  <c r="C50" i="166"/>
  <c r="D39" i="166" s="1"/>
  <c r="D48" i="166" s="1"/>
  <c r="D50" i="166" s="1"/>
  <c r="E39" i="166" s="1"/>
  <c r="E48" i="166" s="1"/>
  <c r="E50" i="166" s="1"/>
  <c r="F39" i="166" s="1"/>
  <c r="F48" i="166" s="1"/>
  <c r="F50" i="166" s="1"/>
  <c r="G39" i="166" s="1"/>
  <c r="G48" i="166" s="1"/>
  <c r="G50" i="166" s="1"/>
  <c r="H39" i="166" s="1"/>
  <c r="H48" i="166" s="1"/>
  <c r="H50" i="166" s="1"/>
  <c r="I39" i="166" s="1"/>
  <c r="I48" i="166" s="1"/>
  <c r="I50" i="166" s="1"/>
  <c r="J39" i="166" s="1"/>
  <c r="J48" i="166" s="1"/>
  <c r="J50" i="166" s="1"/>
  <c r="K39" i="166" s="1"/>
  <c r="K48" i="166" s="1"/>
  <c r="K50" i="166" s="1"/>
  <c r="L39" i="166" s="1"/>
  <c r="L48" i="166" s="1"/>
  <c r="L50" i="166" s="1"/>
  <c r="M39" i="166" s="1"/>
  <c r="M48" i="166" s="1"/>
  <c r="M50" i="166" s="1"/>
  <c r="N39" i="166" s="1"/>
  <c r="N48" i="166" s="1"/>
  <c r="N50" i="166" s="1"/>
  <c r="B15" i="14"/>
  <c r="B17" i="14" s="1"/>
  <c r="C6" i="14" s="1"/>
  <c r="C15" i="14" s="1"/>
  <c r="C17" i="14" s="1"/>
  <c r="D6" i="14" s="1"/>
  <c r="D15" i="14" s="1"/>
  <c r="D17" i="14" s="1"/>
  <c r="E6" i="14" s="1"/>
  <c r="E15" i="14" s="1"/>
  <c r="E17" i="14" s="1"/>
  <c r="F6" i="14" s="1"/>
  <c r="F15" i="14" s="1"/>
  <c r="F17" i="14" s="1"/>
  <c r="G6" i="14" s="1"/>
  <c r="G15" i="14" s="1"/>
  <c r="G17" i="14" s="1"/>
  <c r="H6" i="14" s="1"/>
  <c r="H15" i="14" s="1"/>
  <c r="H17" i="14" s="1"/>
  <c r="I6" i="14" s="1"/>
  <c r="I15" i="14" s="1"/>
  <c r="I17" i="14" s="1"/>
  <c r="J6" i="14" s="1"/>
  <c r="J15" i="14" s="1"/>
  <c r="J17" i="14" s="1"/>
  <c r="K6" i="14" s="1"/>
  <c r="K15" i="14" s="1"/>
  <c r="K17" i="14" s="1"/>
  <c r="L6" i="14" s="1"/>
  <c r="L15" i="14" s="1"/>
  <c r="L17" i="14" s="1"/>
  <c r="M6" i="14" s="1"/>
  <c r="M15" i="14" s="1"/>
  <c r="M17" i="14" s="1"/>
  <c r="B31" i="14"/>
  <c r="B33" i="14"/>
  <c r="C22" i="14" s="1"/>
  <c r="C31" i="14" s="1"/>
  <c r="C33" i="14" s="1"/>
  <c r="D22" i="14" s="1"/>
  <c r="D31" i="14" s="1"/>
  <c r="D33" i="14" s="1"/>
  <c r="E22" i="14" s="1"/>
  <c r="E31" i="14" s="1"/>
  <c r="E33" i="14" s="1"/>
  <c r="F22" i="14" s="1"/>
  <c r="F31" i="14" s="1"/>
  <c r="F33" i="14" s="1"/>
  <c r="G22" i="14" s="1"/>
  <c r="G31" i="14" s="1"/>
  <c r="G33" i="14" s="1"/>
  <c r="H22" i="14" s="1"/>
  <c r="H31" i="14" s="1"/>
  <c r="H33" i="14" s="1"/>
  <c r="I22" i="14" s="1"/>
  <c r="I31" i="14" s="1"/>
  <c r="I33" i="14" s="1"/>
  <c r="J22" i="14" s="1"/>
  <c r="J31" i="14" s="1"/>
  <c r="J33" i="14" s="1"/>
  <c r="K22" i="14" s="1"/>
  <c r="K31" i="14" s="1"/>
  <c r="K33" i="14" s="1"/>
  <c r="L22" i="14" s="1"/>
  <c r="L31" i="14" s="1"/>
  <c r="L33" i="14" s="1"/>
  <c r="M22" i="14" s="1"/>
  <c r="M31" i="14" s="1"/>
  <c r="M33" i="14" s="1"/>
  <c r="B15" i="48"/>
  <c r="B17" i="48" s="1"/>
  <c r="C6" i="48" s="1"/>
  <c r="C15" i="48" s="1"/>
  <c r="C17" i="48" s="1"/>
  <c r="D6" i="48" s="1"/>
  <c r="D15" i="48" s="1"/>
  <c r="D17" i="48" s="1"/>
  <c r="E6" i="48" s="1"/>
  <c r="E15" i="48" s="1"/>
  <c r="E17" i="48" s="1"/>
  <c r="F6" i="48" s="1"/>
  <c r="F15" i="48" s="1"/>
  <c r="F17" i="48" s="1"/>
  <c r="G6" i="48" s="1"/>
  <c r="G15" i="48" s="1"/>
  <c r="G17" i="48" s="1"/>
  <c r="H6" i="48" s="1"/>
  <c r="H15" i="48" s="1"/>
  <c r="H17" i="48"/>
  <c r="I6" i="48" s="1"/>
  <c r="I15" i="48" s="1"/>
  <c r="I17" i="48" s="1"/>
  <c r="J6" i="48" s="1"/>
  <c r="J15" i="48" s="1"/>
  <c r="J17" i="48" s="1"/>
  <c r="K6" i="48" s="1"/>
  <c r="K15" i="48" s="1"/>
  <c r="K17" i="48" s="1"/>
  <c r="L6" i="48" s="1"/>
  <c r="L15" i="48" s="1"/>
  <c r="L17" i="48" s="1"/>
  <c r="M6" i="48" s="1"/>
  <c r="M15" i="48" s="1"/>
  <c r="M17" i="48" s="1"/>
  <c r="N6" i="48" s="1"/>
  <c r="N15" i="48" s="1"/>
  <c r="N17" i="48" s="1"/>
  <c r="O6" i="48" s="1"/>
  <c r="O15" i="48" s="1"/>
  <c r="O17" i="48" s="1"/>
  <c r="P6" i="48" s="1"/>
  <c r="P15" i="48" s="1"/>
  <c r="P17" i="48" s="1"/>
  <c r="Q6" i="48" s="1"/>
  <c r="Q15" i="48" s="1"/>
  <c r="Q17" i="48" s="1"/>
  <c r="R6" i="48" s="1"/>
  <c r="R15" i="48" s="1"/>
  <c r="R17" i="48" s="1"/>
  <c r="S6" i="48" s="1"/>
  <c r="S15" i="48" s="1"/>
  <c r="S17" i="48" s="1"/>
  <c r="T6" i="48" s="1"/>
  <c r="T15" i="48" s="1"/>
  <c r="T17" i="48" s="1"/>
  <c r="U6" i="48" s="1"/>
  <c r="U15" i="48" s="1"/>
  <c r="U17" i="48" s="1"/>
  <c r="V6" i="48" s="1"/>
  <c r="V15" i="48" s="1"/>
  <c r="V17" i="48" s="1"/>
  <c r="W6" i="48" s="1"/>
  <c r="W15" i="48" s="1"/>
  <c r="W17" i="48" s="1"/>
  <c r="X6" i="48" s="1"/>
  <c r="X15" i="48" s="1"/>
  <c r="X17" i="48" s="1"/>
  <c r="Y6" i="48" s="1"/>
  <c r="Y15" i="48" s="1"/>
  <c r="Y17" i="48" s="1"/>
  <c r="B33" i="48"/>
  <c r="B35" i="48"/>
  <c r="C24" i="48" s="1"/>
  <c r="C33" i="48" s="1"/>
  <c r="C35" i="48" s="1"/>
  <c r="D24" i="48" s="1"/>
  <c r="D33" i="48" s="1"/>
  <c r="D35" i="48" s="1"/>
  <c r="E24" i="48" s="1"/>
  <c r="E33" i="48" s="1"/>
  <c r="E35" i="48" s="1"/>
  <c r="F24" i="48" s="1"/>
  <c r="F33" i="48" s="1"/>
  <c r="F35" i="48" s="1"/>
  <c r="G24" i="48" s="1"/>
  <c r="G33" i="48" s="1"/>
  <c r="G35" i="48" s="1"/>
  <c r="H24" i="48" s="1"/>
  <c r="H33" i="48" s="1"/>
  <c r="H35" i="48" s="1"/>
  <c r="I24" i="48" s="1"/>
  <c r="I33" i="48" s="1"/>
  <c r="I35" i="48" s="1"/>
  <c r="J24" i="48" s="1"/>
  <c r="J33" i="48" s="1"/>
  <c r="J35" i="48" s="1"/>
  <c r="K24" i="48" s="1"/>
  <c r="K33" i="48" s="1"/>
  <c r="K35" i="48" s="1"/>
  <c r="L24" i="48" s="1"/>
  <c r="L33" i="48" s="1"/>
  <c r="L35" i="48" s="1"/>
  <c r="M24" i="48" s="1"/>
  <c r="M33" i="48" s="1"/>
  <c r="M35" i="48" s="1"/>
  <c r="B52" i="48"/>
  <c r="B54" i="48" s="1"/>
  <c r="C43" i="48" s="1"/>
  <c r="C52" i="48" s="1"/>
  <c r="C54" i="48" s="1"/>
  <c r="D43" i="48" s="1"/>
  <c r="D52" i="48" s="1"/>
  <c r="D54" i="48" s="1"/>
  <c r="E43" i="48" s="1"/>
  <c r="E52" i="48" s="1"/>
  <c r="E54" i="48" s="1"/>
  <c r="F43" i="48" s="1"/>
  <c r="F52" i="48" s="1"/>
  <c r="F54" i="48" s="1"/>
  <c r="G43" i="48" s="1"/>
  <c r="G52" i="48" s="1"/>
  <c r="G54" i="48" s="1"/>
  <c r="H43" i="48" s="1"/>
  <c r="H52" i="48" s="1"/>
  <c r="H54" i="48" s="1"/>
  <c r="I43" i="48" s="1"/>
  <c r="I52" i="48" s="1"/>
  <c r="I54" i="48" s="1"/>
  <c r="J43" i="48" s="1"/>
  <c r="J52" i="48" s="1"/>
  <c r="J54" i="48" s="1"/>
  <c r="K43" i="48" s="1"/>
  <c r="K52" i="48" s="1"/>
  <c r="K54" i="48" s="1"/>
  <c r="L43" i="48" s="1"/>
  <c r="L52" i="48" s="1"/>
  <c r="L54" i="48" s="1"/>
  <c r="M43" i="48" s="1"/>
  <c r="M52" i="48" s="1"/>
  <c r="M54" i="48" s="1"/>
  <c r="B69" i="48"/>
  <c r="B71" i="48" s="1"/>
  <c r="C60" i="48" s="1"/>
  <c r="C69" i="48" s="1"/>
  <c r="C71" i="48" s="1"/>
  <c r="D60" i="48" s="1"/>
  <c r="D69" i="48" s="1"/>
  <c r="D71" i="48" s="1"/>
  <c r="E60" i="48" s="1"/>
  <c r="E69" i="48" s="1"/>
  <c r="E71" i="48" s="1"/>
  <c r="F60" i="48" s="1"/>
  <c r="F69" i="48" s="1"/>
  <c r="F71" i="48" s="1"/>
  <c r="G60" i="48" s="1"/>
  <c r="G69" i="48" s="1"/>
  <c r="G71" i="48" s="1"/>
  <c r="H60" i="48" s="1"/>
  <c r="H69" i="48" s="1"/>
  <c r="H71" i="48" s="1"/>
  <c r="I60" i="48" s="1"/>
  <c r="I69" i="48" s="1"/>
  <c r="I71" i="48" s="1"/>
  <c r="J60" i="48" s="1"/>
  <c r="J69" i="48" s="1"/>
  <c r="J71" i="48" s="1"/>
  <c r="K60" i="48" s="1"/>
  <c r="K69" i="48" s="1"/>
  <c r="K71" i="48" s="1"/>
  <c r="L60" i="48" s="1"/>
  <c r="L69" i="48" s="1"/>
  <c r="L71" i="48" s="1"/>
  <c r="M60" i="48" s="1"/>
  <c r="M69" i="48" s="1"/>
  <c r="M71" i="48" s="1"/>
  <c r="B86" i="48"/>
  <c r="B88" i="48"/>
  <c r="C77" i="48" s="1"/>
  <c r="C86" i="48" s="1"/>
  <c r="C88" i="48" s="1"/>
  <c r="D77" i="48" s="1"/>
  <c r="D86" i="48" s="1"/>
  <c r="D88" i="48" s="1"/>
  <c r="E77" i="48" s="1"/>
  <c r="E86" i="48" s="1"/>
  <c r="E88" i="48" s="1"/>
  <c r="F77" i="48" s="1"/>
  <c r="F86" i="48" s="1"/>
  <c r="F88" i="48" s="1"/>
  <c r="G77" i="48" s="1"/>
  <c r="G86" i="48" s="1"/>
  <c r="G88" i="48" s="1"/>
  <c r="H77" i="48" s="1"/>
  <c r="H86" i="48" s="1"/>
  <c r="H88" i="48" s="1"/>
  <c r="I77" i="48" s="1"/>
  <c r="I86" i="48" s="1"/>
  <c r="I88" i="48" s="1"/>
  <c r="J77" i="48" s="1"/>
  <c r="J86" i="48" s="1"/>
  <c r="J88" i="48" s="1"/>
  <c r="K77" i="48" s="1"/>
  <c r="K86" i="48" s="1"/>
  <c r="K88" i="48" s="1"/>
  <c r="L77" i="48" s="1"/>
  <c r="L86" i="48" s="1"/>
  <c r="L88" i="48" s="1"/>
  <c r="M77" i="48" s="1"/>
  <c r="M86" i="48" s="1"/>
  <c r="M88" i="48" s="1"/>
  <c r="B103" i="48"/>
  <c r="B105" i="48" s="1"/>
  <c r="C94" i="48" s="1"/>
  <c r="C103" i="48" s="1"/>
  <c r="C105" i="48" s="1"/>
  <c r="D94" i="48" s="1"/>
  <c r="D103" i="48" s="1"/>
  <c r="D105" i="48" s="1"/>
  <c r="E94" i="48" s="1"/>
  <c r="E103" i="48" s="1"/>
  <c r="E105" i="48" s="1"/>
  <c r="F94" i="48" s="1"/>
  <c r="F103" i="48" s="1"/>
  <c r="F105" i="48" s="1"/>
  <c r="G94" i="48" s="1"/>
  <c r="G103" i="48" s="1"/>
  <c r="G105" i="48" s="1"/>
  <c r="H94" i="48" s="1"/>
  <c r="H103" i="48" s="1"/>
  <c r="H105" i="48" s="1"/>
  <c r="I94" i="48" s="1"/>
  <c r="I103" i="48" s="1"/>
  <c r="I105" i="48" s="1"/>
  <c r="J94" i="48" s="1"/>
  <c r="J103" i="48" s="1"/>
  <c r="J105" i="48" s="1"/>
  <c r="K94" i="48" s="1"/>
  <c r="K103" i="48" s="1"/>
  <c r="K105" i="48" s="1"/>
  <c r="L94" i="48" s="1"/>
  <c r="L103" i="48" s="1"/>
  <c r="L105" i="48" s="1"/>
  <c r="M94" i="48" s="1"/>
  <c r="M103" i="48" s="1"/>
  <c r="M105" i="48" s="1"/>
  <c r="B126" i="48"/>
  <c r="B128" i="48" s="1"/>
  <c r="C117" i="48" s="1"/>
  <c r="C126" i="48" s="1"/>
  <c r="C128" i="48" s="1"/>
  <c r="D117" i="48" s="1"/>
  <c r="D126" i="48" s="1"/>
  <c r="D128" i="48" s="1"/>
  <c r="E117" i="48" s="1"/>
  <c r="E126" i="48" s="1"/>
  <c r="E128" i="48" s="1"/>
  <c r="F117" i="48" s="1"/>
  <c r="F126" i="48" s="1"/>
  <c r="F128" i="48" s="1"/>
  <c r="G117" i="48" s="1"/>
  <c r="G126" i="48" s="1"/>
  <c r="G128" i="48" s="1"/>
  <c r="H117" i="48" s="1"/>
  <c r="H126" i="48" s="1"/>
  <c r="H128" i="48" s="1"/>
  <c r="I117" i="48" s="1"/>
  <c r="I126" i="48" s="1"/>
  <c r="I128" i="48" s="1"/>
  <c r="J117" i="48" s="1"/>
  <c r="J126" i="48" s="1"/>
  <c r="J128" i="48" s="1"/>
  <c r="K117" i="48" s="1"/>
  <c r="K126" i="48" s="1"/>
  <c r="K128" i="48" s="1"/>
  <c r="L117" i="48" s="1"/>
  <c r="L126" i="48" s="1"/>
  <c r="L128" i="48" s="1"/>
  <c r="M117" i="48" s="1"/>
  <c r="M126" i="48" s="1"/>
  <c r="M128" i="48" s="1"/>
  <c r="B146" i="48"/>
  <c r="G146" i="48"/>
  <c r="G148" i="48" s="1"/>
  <c r="H137" i="48" s="1"/>
  <c r="H146" i="48" s="1"/>
  <c r="H148" i="48" s="1"/>
  <c r="I137" i="48" s="1"/>
  <c r="I146" i="48" s="1"/>
  <c r="I148" i="48" s="1"/>
  <c r="J137" i="48" s="1"/>
  <c r="J146" i="48" s="1"/>
  <c r="J148" i="48" s="1"/>
  <c r="K137" i="48" s="1"/>
  <c r="K146" i="48" s="1"/>
  <c r="K148" i="48" s="1"/>
  <c r="L137" i="48" s="1"/>
  <c r="L146" i="48" s="1"/>
  <c r="L148" i="48" s="1"/>
  <c r="M137" i="48" s="1"/>
  <c r="M146" i="48" s="1"/>
  <c r="M148" i="48" s="1"/>
  <c r="B148" i="48"/>
  <c r="C137" i="48" s="1"/>
  <c r="C146" i="48" s="1"/>
  <c r="C148" i="48" s="1"/>
  <c r="D137" i="48" s="1"/>
  <c r="D146" i="48" s="1"/>
  <c r="D148" i="48" s="1"/>
  <c r="E137" i="48" s="1"/>
  <c r="E146" i="48" s="1"/>
  <c r="E148" i="48" s="1"/>
  <c r="F137" i="48" s="1"/>
  <c r="F146" i="48" s="1"/>
  <c r="F148" i="48" s="1"/>
  <c r="G137" i="48" s="1"/>
  <c r="D8" i="83"/>
  <c r="B17" i="83"/>
  <c r="B19" i="83" s="1"/>
  <c r="C8" i="83" s="1"/>
  <c r="C17" i="83" s="1"/>
  <c r="C19" i="83" s="1"/>
  <c r="D17" i="83"/>
  <c r="D19" i="83" s="1"/>
  <c r="E8" i="83" s="1"/>
  <c r="E17" i="83" s="1"/>
  <c r="E19" i="83" s="1"/>
  <c r="F8" i="83" s="1"/>
  <c r="F17" i="83" s="1"/>
  <c r="F19" i="83" s="1"/>
  <c r="G8" i="83" s="1"/>
  <c r="G17" i="83" s="1"/>
  <c r="G19" i="83" s="1"/>
  <c r="H8" i="83" s="1"/>
  <c r="H17" i="83"/>
  <c r="H19" i="83" s="1"/>
  <c r="I8" i="83" s="1"/>
  <c r="I17" i="83" s="1"/>
  <c r="I19" i="83" s="1"/>
  <c r="J8" i="83" s="1"/>
  <c r="J17" i="83" s="1"/>
  <c r="J19" i="83" s="1"/>
  <c r="K8" i="83" s="1"/>
  <c r="K17" i="83" s="1"/>
  <c r="K19" i="83" s="1"/>
  <c r="L8" i="83" s="1"/>
  <c r="L17" i="83" s="1"/>
  <c r="L19" i="83" s="1"/>
  <c r="M8" i="83" s="1"/>
  <c r="M17" i="83" s="1"/>
  <c r="M19" i="83" s="1"/>
  <c r="F28" i="83"/>
  <c r="F37" i="83" s="1"/>
  <c r="F39" i="83" s="1"/>
  <c r="G28" i="83" s="1"/>
  <c r="G37" i="83" s="1"/>
  <c r="G39" i="83" s="1"/>
  <c r="H28" i="83" s="1"/>
  <c r="H37" i="83" s="1"/>
  <c r="H39" i="83" s="1"/>
  <c r="I28" i="83" s="1"/>
  <c r="I37" i="83" s="1"/>
  <c r="I39" i="83" s="1"/>
  <c r="J28" i="83" s="1"/>
  <c r="J37" i="83" s="1"/>
  <c r="J39" i="83" s="1"/>
  <c r="K28" i="83" s="1"/>
  <c r="K37" i="83" s="1"/>
  <c r="K39" i="83" s="1"/>
  <c r="L28" i="83" s="1"/>
  <c r="L37" i="83" s="1"/>
  <c r="L39" i="83" s="1"/>
  <c r="M28" i="83" s="1"/>
  <c r="M37" i="83" s="1"/>
  <c r="M39" i="83" s="1"/>
  <c r="B37" i="83"/>
  <c r="B39" i="83" s="1"/>
  <c r="C28" i="83" s="1"/>
  <c r="C37" i="83" s="1"/>
  <c r="C39" i="83" s="1"/>
  <c r="D28" i="83" s="1"/>
  <c r="D37" i="83" s="1"/>
  <c r="D39" i="83" s="1"/>
  <c r="E28" i="83" s="1"/>
  <c r="E37" i="83" s="1"/>
  <c r="E39" i="83"/>
  <c r="B17" i="195"/>
  <c r="B19" i="195" s="1"/>
  <c r="C8" i="195" s="1"/>
  <c r="C17" i="195" s="1"/>
  <c r="C19" i="195" s="1"/>
  <c r="D8" i="195" s="1"/>
  <c r="D17" i="195" s="1"/>
  <c r="D19" i="195" s="1"/>
  <c r="E8" i="195" s="1"/>
  <c r="E17" i="195" s="1"/>
  <c r="E19" i="195" s="1"/>
  <c r="F8" i="195" s="1"/>
  <c r="F17" i="195" s="1"/>
  <c r="F19" i="195" s="1"/>
  <c r="G8" i="195" s="1"/>
  <c r="G17" i="195" s="1"/>
  <c r="G19" i="195" s="1"/>
  <c r="H8" i="195" s="1"/>
  <c r="H17" i="195" s="1"/>
  <c r="H19" i="195" s="1"/>
  <c r="I8" i="195" s="1"/>
  <c r="I17" i="195" s="1"/>
  <c r="I19" i="195" s="1"/>
  <c r="J8" i="195" s="1"/>
  <c r="J17" i="195" s="1"/>
  <c r="J19" i="195" s="1"/>
  <c r="K8" i="195" s="1"/>
  <c r="K17" i="195" s="1"/>
  <c r="K19" i="195" s="1"/>
  <c r="L8" i="195" s="1"/>
  <c r="L17" i="195" s="1"/>
  <c r="L19" i="195" s="1"/>
  <c r="M8" i="195" s="1"/>
  <c r="M17" i="195" s="1"/>
  <c r="M19" i="195" s="1"/>
  <c r="B14" i="125"/>
  <c r="B16" i="125"/>
  <c r="C5" i="125" s="1"/>
  <c r="C14" i="125" s="1"/>
  <c r="C16" i="125" s="1"/>
  <c r="D5" i="125" s="1"/>
  <c r="D14" i="125" s="1"/>
  <c r="D16" i="125" s="1"/>
  <c r="E5" i="125" s="1"/>
  <c r="E14" i="125" s="1"/>
  <c r="E16" i="125" s="1"/>
  <c r="F5" i="125" s="1"/>
  <c r="F14" i="125" s="1"/>
  <c r="F16" i="125" s="1"/>
  <c r="G5" i="125" s="1"/>
  <c r="G14" i="125" s="1"/>
  <c r="G16" i="125" s="1"/>
  <c r="H5" i="125" s="1"/>
  <c r="H14" i="125" s="1"/>
  <c r="H16" i="125" s="1"/>
  <c r="I5" i="125" s="1"/>
  <c r="I14" i="125" s="1"/>
  <c r="I16" i="125" s="1"/>
  <c r="J5" i="125" s="1"/>
  <c r="J14" i="125" s="1"/>
  <c r="J16" i="125" s="1"/>
  <c r="K5" i="125" s="1"/>
  <c r="K14" i="125" s="1"/>
  <c r="K16" i="125" s="1"/>
  <c r="L5" i="125" s="1"/>
  <c r="L14" i="125" s="1"/>
  <c r="L16" i="125" s="1"/>
  <c r="M5" i="125" s="1"/>
  <c r="M14" i="125" s="1"/>
  <c r="M16" i="125" s="1"/>
  <c r="B32" i="125"/>
  <c r="B34" i="125" s="1"/>
  <c r="C23" i="125" s="1"/>
  <c r="C32" i="125" s="1"/>
  <c r="C34" i="125" s="1"/>
  <c r="D23" i="125" s="1"/>
  <c r="D32" i="125" s="1"/>
  <c r="D34" i="125" s="1"/>
  <c r="E23" i="125" s="1"/>
  <c r="E32" i="125" s="1"/>
  <c r="E34" i="125" s="1"/>
  <c r="F23" i="125" s="1"/>
  <c r="F32" i="125" s="1"/>
  <c r="F34" i="125" s="1"/>
  <c r="G23" i="125" s="1"/>
  <c r="G32" i="125" s="1"/>
  <c r="G34" i="125" s="1"/>
  <c r="H23" i="125" s="1"/>
  <c r="H32" i="125" s="1"/>
  <c r="H34" i="125" s="1"/>
  <c r="I23" i="125" s="1"/>
  <c r="I32" i="125" s="1"/>
  <c r="I34" i="125" s="1"/>
  <c r="J23" i="125" s="1"/>
  <c r="J32" i="125" s="1"/>
  <c r="J34" i="125" s="1"/>
  <c r="K23" i="125" s="1"/>
  <c r="K32" i="125" s="1"/>
  <c r="K34" i="125" s="1"/>
  <c r="L23" i="125" s="1"/>
  <c r="L32" i="125" s="1"/>
  <c r="L34" i="125" s="1"/>
  <c r="M23" i="125" s="1"/>
  <c r="M32" i="125" s="1"/>
  <c r="M34" i="125" s="1"/>
  <c r="B14" i="219"/>
  <c r="B16" i="219" s="1"/>
  <c r="C5" i="219"/>
  <c r="C14" i="219" s="1"/>
  <c r="C16" i="219" s="1"/>
  <c r="D5" i="219" s="1"/>
  <c r="D14" i="219" s="1"/>
  <c r="D16" i="219" s="1"/>
  <c r="E5" i="219" s="1"/>
  <c r="E14" i="219" s="1"/>
  <c r="E16" i="219" s="1"/>
  <c r="F5" i="219" s="1"/>
  <c r="F14" i="219" s="1"/>
  <c r="F16" i="219" s="1"/>
  <c r="G5" i="219" s="1"/>
  <c r="G14" i="219" s="1"/>
  <c r="G16" i="219" s="1"/>
  <c r="H5" i="219" s="1"/>
  <c r="H14" i="219" s="1"/>
  <c r="H16" i="219" s="1"/>
  <c r="I5" i="219" s="1"/>
  <c r="I14" i="219" s="1"/>
  <c r="I16" i="219" s="1"/>
  <c r="J5" i="219" s="1"/>
  <c r="J14" i="219" s="1"/>
  <c r="J16" i="219" s="1"/>
  <c r="K5" i="219" s="1"/>
  <c r="K14" i="219" s="1"/>
  <c r="K16" i="219" s="1"/>
  <c r="L5" i="219" s="1"/>
  <c r="L14" i="219" s="1"/>
  <c r="L16" i="219" s="1"/>
  <c r="M5" i="219" s="1"/>
  <c r="M14" i="219" s="1"/>
  <c r="M16" i="219" s="1"/>
  <c r="B29" i="219"/>
  <c r="B31" i="219" s="1"/>
  <c r="C20" i="219" s="1"/>
  <c r="C29" i="219" s="1"/>
  <c r="C31" i="219" s="1"/>
  <c r="D20" i="219" s="1"/>
  <c r="D29" i="219" s="1"/>
  <c r="D31" i="219" s="1"/>
  <c r="E20" i="219" s="1"/>
  <c r="E29" i="219" s="1"/>
  <c r="E31" i="219" s="1"/>
  <c r="F20" i="219" s="1"/>
  <c r="F29" i="219" s="1"/>
  <c r="F31" i="219" s="1"/>
  <c r="G20" i="219" s="1"/>
  <c r="G29" i="219" s="1"/>
  <c r="G31" i="219" s="1"/>
  <c r="H20" i="219" s="1"/>
  <c r="H29" i="219" s="1"/>
  <c r="H31" i="219" s="1"/>
  <c r="I20" i="219" s="1"/>
  <c r="I29" i="219" s="1"/>
  <c r="I31" i="219" s="1"/>
  <c r="J20" i="219" s="1"/>
  <c r="J29" i="219" s="1"/>
  <c r="J31" i="219" s="1"/>
  <c r="K20" i="219" s="1"/>
  <c r="K29" i="219" s="1"/>
  <c r="K31" i="219" s="1"/>
  <c r="L20" i="219" s="1"/>
  <c r="L29" i="219" s="1"/>
  <c r="L31" i="219" s="1"/>
  <c r="M20" i="219" s="1"/>
  <c r="M29" i="219" s="1"/>
  <c r="M31" i="219" s="1"/>
  <c r="B41" i="219" s="1"/>
  <c r="C41" i="219" s="1"/>
  <c r="C42" i="219" s="1"/>
  <c r="B14" i="126"/>
  <c r="B16" i="126"/>
  <c r="C5" i="126" s="1"/>
  <c r="C14" i="126" s="1"/>
  <c r="C16" i="126" s="1"/>
  <c r="D5" i="126" s="1"/>
  <c r="D14" i="126" s="1"/>
  <c r="D16" i="126" s="1"/>
  <c r="E5" i="126" s="1"/>
  <c r="E14" i="126" s="1"/>
  <c r="E16" i="126" s="1"/>
  <c r="F5" i="126" s="1"/>
  <c r="F14" i="126" s="1"/>
  <c r="F16" i="126" s="1"/>
  <c r="G5" i="126" s="1"/>
  <c r="G14" i="126" s="1"/>
  <c r="G16" i="126" s="1"/>
  <c r="H5" i="126" s="1"/>
  <c r="H14" i="126" s="1"/>
  <c r="H16" i="126" s="1"/>
  <c r="I5" i="126" s="1"/>
  <c r="I14" i="126" s="1"/>
  <c r="I16" i="126" s="1"/>
  <c r="J5" i="126" s="1"/>
  <c r="J14" i="126" s="1"/>
  <c r="J16" i="126" s="1"/>
  <c r="K5" i="126" s="1"/>
  <c r="K14" i="126" s="1"/>
  <c r="K16" i="126" s="1"/>
  <c r="L5" i="126" s="1"/>
  <c r="L14" i="126" s="1"/>
  <c r="L16" i="126" s="1"/>
  <c r="M5" i="126" s="1"/>
  <c r="M14" i="126" s="1"/>
  <c r="M16" i="126" s="1"/>
  <c r="B30" i="126"/>
  <c r="B32" i="126" s="1"/>
  <c r="C21" i="126" s="1"/>
  <c r="C30" i="126" s="1"/>
  <c r="C32" i="126" s="1"/>
  <c r="D21" i="126" s="1"/>
  <c r="D30" i="126" s="1"/>
  <c r="D32" i="126" s="1"/>
  <c r="E21" i="126" s="1"/>
  <c r="E30" i="126" s="1"/>
  <c r="E32" i="126" s="1"/>
  <c r="F21" i="126" s="1"/>
  <c r="F30" i="126" s="1"/>
  <c r="F32" i="126" s="1"/>
  <c r="G21" i="126" s="1"/>
  <c r="G30" i="126" s="1"/>
  <c r="G32" i="126" s="1"/>
  <c r="H21" i="126" s="1"/>
  <c r="H30" i="126" s="1"/>
  <c r="H32" i="126" s="1"/>
  <c r="I21" i="126" s="1"/>
  <c r="I30" i="126" s="1"/>
  <c r="I32" i="126" s="1"/>
  <c r="J21" i="126" s="1"/>
  <c r="J30" i="126" s="1"/>
  <c r="J32" i="126" s="1"/>
  <c r="K21" i="126" s="1"/>
  <c r="K30" i="126" s="1"/>
  <c r="K32" i="126" s="1"/>
  <c r="L21" i="126" s="1"/>
  <c r="L30" i="126" s="1"/>
  <c r="L32" i="126" s="1"/>
  <c r="M21" i="126" s="1"/>
  <c r="M30" i="126" s="1"/>
  <c r="M32" i="126" s="1"/>
  <c r="B15" i="86"/>
  <c r="B17" i="86"/>
  <c r="C6" i="86" s="1"/>
  <c r="C15" i="86" s="1"/>
  <c r="C17" i="86" s="1"/>
  <c r="D6" i="86" s="1"/>
  <c r="D15" i="86" s="1"/>
  <c r="D17" i="86" s="1"/>
  <c r="E6" i="86" s="1"/>
  <c r="E15" i="86" s="1"/>
  <c r="E17" i="86" s="1"/>
  <c r="F6" i="86" s="1"/>
  <c r="F15" i="86" s="1"/>
  <c r="F17" i="86" s="1"/>
  <c r="G6" i="86" s="1"/>
  <c r="G15" i="86" s="1"/>
  <c r="G17" i="86" s="1"/>
  <c r="H6" i="86" s="1"/>
  <c r="H15" i="86" s="1"/>
  <c r="H17" i="86" s="1"/>
  <c r="I6" i="86" s="1"/>
  <c r="I15" i="86" s="1"/>
  <c r="I17" i="86" s="1"/>
  <c r="J6" i="86" s="1"/>
  <c r="J15" i="86" s="1"/>
  <c r="J17" i="86" s="1"/>
  <c r="K6" i="86" s="1"/>
  <c r="K15" i="86" s="1"/>
  <c r="K17" i="86" s="1"/>
  <c r="L6" i="86" s="1"/>
  <c r="L15" i="86" s="1"/>
  <c r="L17" i="86" s="1"/>
  <c r="M6" i="86" s="1"/>
  <c r="M15" i="86" s="1"/>
  <c r="M17" i="86" s="1"/>
  <c r="B31" i="86"/>
  <c r="B33" i="86" s="1"/>
  <c r="C31" i="86"/>
  <c r="C33" i="86" s="1"/>
  <c r="D22" i="86" s="1"/>
  <c r="D31" i="86" s="1"/>
  <c r="D33" i="86" s="1"/>
  <c r="E22" i="86" s="1"/>
  <c r="E31" i="86" s="1"/>
  <c r="E33" i="86" s="1"/>
  <c r="F22" i="86" s="1"/>
  <c r="F31" i="86" s="1"/>
  <c r="F33" i="86" s="1"/>
  <c r="G22" i="86" s="1"/>
  <c r="G31" i="86" s="1"/>
  <c r="G33" i="86" s="1"/>
  <c r="H22" i="86" s="1"/>
  <c r="H31" i="86" s="1"/>
  <c r="H33" i="86" s="1"/>
  <c r="I22" i="86" s="1"/>
  <c r="I31" i="86" s="1"/>
  <c r="I33" i="86" s="1"/>
  <c r="J22" i="86" s="1"/>
  <c r="J31" i="86" s="1"/>
  <c r="J33" i="86" s="1"/>
  <c r="K22" i="86" s="1"/>
  <c r="K31" i="86" s="1"/>
  <c r="K33" i="86" s="1"/>
  <c r="L22" i="86" s="1"/>
  <c r="L31" i="86" s="1"/>
  <c r="L33" i="86" s="1"/>
  <c r="M22" i="86" s="1"/>
  <c r="M31" i="86" s="1"/>
  <c r="M33" i="86" s="1"/>
  <c r="B48" i="86"/>
  <c r="B50" i="86"/>
  <c r="C39" i="86" s="1"/>
  <c r="C48" i="86" s="1"/>
  <c r="C50" i="86" s="1"/>
  <c r="D39" i="86" s="1"/>
  <c r="D48" i="86" s="1"/>
  <c r="D50" i="86" s="1"/>
  <c r="E39" i="86" s="1"/>
  <c r="E48" i="86" s="1"/>
  <c r="E50" i="86" s="1"/>
  <c r="F39" i="86" s="1"/>
  <c r="F48" i="86" s="1"/>
  <c r="F50" i="86" s="1"/>
  <c r="G39" i="86" s="1"/>
  <c r="G48" i="86" s="1"/>
  <c r="G50" i="86" s="1"/>
  <c r="H39" i="86" s="1"/>
  <c r="H48" i="86" s="1"/>
  <c r="H50" i="86" s="1"/>
  <c r="I39" i="86" s="1"/>
  <c r="I48" i="86" s="1"/>
  <c r="I50" i="86" s="1"/>
  <c r="J39" i="86" s="1"/>
  <c r="J48" i="86" s="1"/>
  <c r="J50" i="86" s="1"/>
  <c r="K39" i="86" s="1"/>
  <c r="K48" i="86" s="1"/>
  <c r="K50" i="86" s="1"/>
  <c r="L39" i="86" s="1"/>
  <c r="L48" i="86" s="1"/>
  <c r="L50" i="86" s="1"/>
  <c r="M39" i="86" s="1"/>
  <c r="M48" i="86" s="1"/>
  <c r="M50" i="86" s="1"/>
  <c r="B64" i="86"/>
  <c r="B66" i="86"/>
  <c r="C55" i="86" s="1"/>
  <c r="C64" i="86" s="1"/>
  <c r="C66" i="86" s="1"/>
  <c r="D55" i="86" s="1"/>
  <c r="D64" i="86" s="1"/>
  <c r="D66" i="86" s="1"/>
  <c r="E55" i="86" s="1"/>
  <c r="E64" i="86" s="1"/>
  <c r="E66" i="86" s="1"/>
  <c r="F55" i="86" s="1"/>
  <c r="F64" i="86" s="1"/>
  <c r="F66" i="86" s="1"/>
  <c r="G55" i="86" s="1"/>
  <c r="G64" i="86" s="1"/>
  <c r="G66" i="86" s="1"/>
  <c r="H55" i="86" s="1"/>
  <c r="H64" i="86" s="1"/>
  <c r="H66" i="86" s="1"/>
  <c r="I55" i="86" s="1"/>
  <c r="I64" i="86" s="1"/>
  <c r="I66" i="86" s="1"/>
  <c r="J55" i="86" s="1"/>
  <c r="J64" i="86" s="1"/>
  <c r="J66" i="86" s="1"/>
  <c r="K55" i="86" s="1"/>
  <c r="K64" i="86" s="1"/>
  <c r="K66" i="86" s="1"/>
  <c r="L55" i="86" s="1"/>
  <c r="L64" i="86" s="1"/>
  <c r="L66" i="86" s="1"/>
  <c r="M55" i="86" s="1"/>
  <c r="M64" i="86" s="1"/>
  <c r="M66" i="86" s="1"/>
  <c r="B83" i="86"/>
  <c r="B85" i="86" s="1"/>
  <c r="C74" i="86" s="1"/>
  <c r="C83" i="86" s="1"/>
  <c r="C85" i="86" s="1"/>
  <c r="D74" i="86" s="1"/>
  <c r="D83" i="86" s="1"/>
  <c r="D85" i="86" s="1"/>
  <c r="E74" i="86" s="1"/>
  <c r="E83" i="86" s="1"/>
  <c r="E85" i="86" s="1"/>
  <c r="F74" i="86" s="1"/>
  <c r="F83" i="86" s="1"/>
  <c r="F85" i="86" s="1"/>
  <c r="G74" i="86" s="1"/>
  <c r="G83" i="86" s="1"/>
  <c r="G85" i="86" s="1"/>
  <c r="H74" i="86" s="1"/>
  <c r="H83" i="86" s="1"/>
  <c r="H85" i="86" s="1"/>
  <c r="I74" i="86" s="1"/>
  <c r="I83" i="86" s="1"/>
  <c r="I85" i="86" s="1"/>
  <c r="J74" i="86" s="1"/>
  <c r="J83" i="86" s="1"/>
  <c r="J85" i="86" s="1"/>
  <c r="K74" i="86" s="1"/>
  <c r="K83" i="86" s="1"/>
  <c r="K85" i="86" s="1"/>
  <c r="L74" i="86" s="1"/>
  <c r="L83" i="86" s="1"/>
  <c r="L85" i="86" s="1"/>
  <c r="M74" i="86" s="1"/>
  <c r="M83" i="86" s="1"/>
  <c r="M85" i="86" s="1"/>
  <c r="B15" i="170"/>
  <c r="B17" i="170" s="1"/>
  <c r="C6" i="170" s="1"/>
  <c r="C15" i="170" s="1"/>
  <c r="C17" i="170" s="1"/>
  <c r="D6" i="170" s="1"/>
  <c r="D15" i="170" s="1"/>
  <c r="D17" i="170" s="1"/>
  <c r="E6" i="170" s="1"/>
  <c r="E15" i="170" s="1"/>
  <c r="E16" i="170"/>
  <c r="B17" i="102"/>
  <c r="B19" i="102" s="1"/>
  <c r="C8" i="102" s="1"/>
  <c r="C17" i="102" s="1"/>
  <c r="C19" i="102" s="1"/>
  <c r="D8" i="102" s="1"/>
  <c r="D17" i="102" s="1"/>
  <c r="D19" i="102" s="1"/>
  <c r="E8" i="102" s="1"/>
  <c r="E17" i="102" s="1"/>
  <c r="E19" i="102" s="1"/>
  <c r="F8" i="102" s="1"/>
  <c r="F17" i="102" s="1"/>
  <c r="F19" i="102" s="1"/>
  <c r="G8" i="102" s="1"/>
  <c r="G17" i="102" s="1"/>
  <c r="G19" i="102" s="1"/>
  <c r="H8" i="102" s="1"/>
  <c r="H17" i="102" s="1"/>
  <c r="H19" i="102" s="1"/>
  <c r="I8" i="102" s="1"/>
  <c r="I17" i="102" s="1"/>
  <c r="I19" i="102" s="1"/>
  <c r="J8" i="102" s="1"/>
  <c r="J17" i="102" s="1"/>
  <c r="J19" i="102" s="1"/>
  <c r="K8" i="102" s="1"/>
  <c r="K17" i="102" s="1"/>
  <c r="K19" i="102" s="1"/>
  <c r="L8" i="102" s="1"/>
  <c r="L17" i="102" s="1"/>
  <c r="L19" i="102" s="1"/>
  <c r="M8" i="102" s="1"/>
  <c r="M17" i="102" s="1"/>
  <c r="M19" i="102" s="1"/>
  <c r="B33" i="102"/>
  <c r="B35" i="102" s="1"/>
  <c r="C24" i="102" s="1"/>
  <c r="C33" i="102" s="1"/>
  <c r="C35" i="102" s="1"/>
  <c r="D24" i="102" s="1"/>
  <c r="D33" i="102" s="1"/>
  <c r="D35" i="102" s="1"/>
  <c r="E24" i="102" s="1"/>
  <c r="E33" i="102" s="1"/>
  <c r="E35" i="102" s="1"/>
  <c r="F24" i="102" s="1"/>
  <c r="F33" i="102" s="1"/>
  <c r="F35" i="102" s="1"/>
  <c r="G24" i="102" s="1"/>
  <c r="G33" i="102" s="1"/>
  <c r="G35" i="102" s="1"/>
  <c r="H24" i="102" s="1"/>
  <c r="H33" i="102" s="1"/>
  <c r="H35" i="102" s="1"/>
  <c r="I24" i="102" s="1"/>
  <c r="I33" i="102" s="1"/>
  <c r="I35" i="102" s="1"/>
  <c r="J24" i="102" s="1"/>
  <c r="J33" i="102" s="1"/>
  <c r="J35" i="102" s="1"/>
  <c r="K24" i="102" s="1"/>
  <c r="K33" i="102" s="1"/>
  <c r="K35" i="102" s="1"/>
  <c r="L24" i="102" s="1"/>
  <c r="L33" i="102" s="1"/>
  <c r="L35" i="102" s="1"/>
  <c r="M24" i="102" s="1"/>
  <c r="M33" i="102" s="1"/>
  <c r="M35" i="102" s="1"/>
  <c r="B16" i="85"/>
  <c r="B18" i="85"/>
  <c r="C7" i="85" s="1"/>
  <c r="C16" i="85" s="1"/>
  <c r="C18" i="85" s="1"/>
  <c r="D7" i="85" s="1"/>
  <c r="D16" i="85" s="1"/>
  <c r="D18" i="85" s="1"/>
  <c r="E7" i="85" s="1"/>
  <c r="E16" i="85" s="1"/>
  <c r="E18" i="85" s="1"/>
  <c r="F7" i="85" s="1"/>
  <c r="F16" i="85" s="1"/>
  <c r="F18" i="85" s="1"/>
  <c r="G7" i="85" s="1"/>
  <c r="G16" i="85" s="1"/>
  <c r="G18" i="85" s="1"/>
  <c r="H7" i="85" s="1"/>
  <c r="H16" i="85" s="1"/>
  <c r="H18" i="85" s="1"/>
  <c r="I7" i="85" s="1"/>
  <c r="I16" i="85" s="1"/>
  <c r="I18" i="85" s="1"/>
  <c r="J7" i="85" s="1"/>
  <c r="J16" i="85" s="1"/>
  <c r="J18" i="85" s="1"/>
  <c r="K7" i="85" s="1"/>
  <c r="K16" i="85" s="1"/>
  <c r="K18" i="85" s="1"/>
  <c r="L7" i="85" s="1"/>
  <c r="L16" i="85" s="1"/>
  <c r="L18" i="85" s="1"/>
  <c r="M7" i="85" s="1"/>
  <c r="M16" i="85" s="1"/>
  <c r="M18" i="85" s="1"/>
  <c r="B33" i="85"/>
  <c r="B35" i="85" s="1"/>
  <c r="C24" i="85" s="1"/>
  <c r="C33" i="85" s="1"/>
  <c r="C35" i="85" s="1"/>
  <c r="D24" i="85" s="1"/>
  <c r="D33" i="85" s="1"/>
  <c r="D35" i="85" s="1"/>
  <c r="E24" i="85" s="1"/>
  <c r="E33" i="85" s="1"/>
  <c r="E35" i="85" s="1"/>
  <c r="F24" i="85" s="1"/>
  <c r="F33" i="85" s="1"/>
  <c r="F35" i="85" s="1"/>
  <c r="G24" i="85" s="1"/>
  <c r="G33" i="85" s="1"/>
  <c r="G35" i="85" s="1"/>
  <c r="H24" i="85" s="1"/>
  <c r="H33" i="85" s="1"/>
  <c r="H35" i="85" s="1"/>
  <c r="I24" i="85" s="1"/>
  <c r="I33" i="85" s="1"/>
  <c r="I35" i="85" s="1"/>
  <c r="J24" i="85" s="1"/>
  <c r="J33" i="85" s="1"/>
  <c r="J35" i="85" s="1"/>
  <c r="K24" i="85" s="1"/>
  <c r="K33" i="85" s="1"/>
  <c r="K35" i="85" s="1"/>
  <c r="L24" i="85" s="1"/>
  <c r="L33" i="85" s="1"/>
  <c r="L35" i="85" s="1"/>
  <c r="M24" i="85" s="1"/>
  <c r="M33" i="85" s="1"/>
  <c r="M35" i="85" s="1"/>
  <c r="B18" i="47"/>
  <c r="B20" i="47" s="1"/>
  <c r="C9" i="47" s="1"/>
  <c r="C18" i="47" s="1"/>
  <c r="C20" i="47" s="1"/>
  <c r="D9" i="47" s="1"/>
  <c r="D18" i="47" s="1"/>
  <c r="D20" i="47" s="1"/>
  <c r="E9" i="47" s="1"/>
  <c r="E18" i="47" s="1"/>
  <c r="E20" i="47"/>
  <c r="F9" i="47" s="1"/>
  <c r="F18" i="47" s="1"/>
  <c r="F20" i="47" s="1"/>
  <c r="G9" i="47" s="1"/>
  <c r="G18" i="47" s="1"/>
  <c r="G20" i="47" s="1"/>
  <c r="H9" i="47" s="1"/>
  <c r="H18" i="47" s="1"/>
  <c r="H20" i="47" s="1"/>
  <c r="I9" i="47" s="1"/>
  <c r="I18" i="47" s="1"/>
  <c r="I20" i="47" s="1"/>
  <c r="J9" i="47" s="1"/>
  <c r="J18" i="47" s="1"/>
  <c r="J20" i="47" s="1"/>
  <c r="K9" i="47" s="1"/>
  <c r="K18" i="47" s="1"/>
  <c r="K20" i="47" s="1"/>
  <c r="L9" i="47" s="1"/>
  <c r="L18" i="47" s="1"/>
  <c r="L20" i="47" s="1"/>
  <c r="M9" i="47" s="1"/>
  <c r="M18" i="47" s="1"/>
  <c r="M20" i="47" s="1"/>
  <c r="B35" i="47"/>
  <c r="B37" i="47"/>
  <c r="C26" i="47" s="1"/>
  <c r="C35" i="47" s="1"/>
  <c r="C37" i="47" s="1"/>
  <c r="D26" i="47" s="1"/>
  <c r="D35" i="47" s="1"/>
  <c r="D37" i="47" s="1"/>
  <c r="E26" i="47" s="1"/>
  <c r="E35" i="47" s="1"/>
  <c r="E37" i="47" s="1"/>
  <c r="F26" i="47" s="1"/>
  <c r="F35" i="47" s="1"/>
  <c r="F37" i="47" s="1"/>
  <c r="G26" i="47" s="1"/>
  <c r="G35" i="47" s="1"/>
  <c r="G37" i="47" s="1"/>
  <c r="H26" i="47" s="1"/>
  <c r="H35" i="47" s="1"/>
  <c r="H37" i="47" s="1"/>
  <c r="I26" i="47" s="1"/>
  <c r="I35" i="47" s="1"/>
  <c r="I37" i="47" s="1"/>
  <c r="J26" i="47" s="1"/>
  <c r="J35" i="47" s="1"/>
  <c r="J37" i="47" s="1"/>
  <c r="K26" i="47" s="1"/>
  <c r="K35" i="47" s="1"/>
  <c r="K37" i="47" s="1"/>
  <c r="L26" i="47" s="1"/>
  <c r="L35" i="47" s="1"/>
  <c r="L37" i="47" s="1"/>
  <c r="M26" i="47" s="1"/>
  <c r="M35" i="47" s="1"/>
  <c r="M37" i="47" s="1"/>
  <c r="B70" i="47"/>
  <c r="B72" i="47" s="1"/>
  <c r="C61" i="47" s="1"/>
  <c r="C70" i="47" s="1"/>
  <c r="C72" i="47" s="1"/>
  <c r="D61" i="47" s="1"/>
  <c r="D70" i="47" s="1"/>
  <c r="D72" i="47" s="1"/>
  <c r="E61" i="47" s="1"/>
  <c r="E70" i="47" s="1"/>
  <c r="E72" i="47" s="1"/>
  <c r="F61" i="47" s="1"/>
  <c r="F70" i="47" s="1"/>
  <c r="F72" i="47" s="1"/>
  <c r="G61" i="47" s="1"/>
  <c r="G70" i="47" s="1"/>
  <c r="G72" i="47" s="1"/>
  <c r="H61" i="47" s="1"/>
  <c r="H70" i="47" s="1"/>
  <c r="H72" i="47" s="1"/>
  <c r="I61" i="47" s="1"/>
  <c r="I70" i="47" s="1"/>
  <c r="I72" i="47" s="1"/>
  <c r="J61" i="47" s="1"/>
  <c r="J70" i="47" s="1"/>
  <c r="J72" i="47" s="1"/>
  <c r="K61" i="47" s="1"/>
  <c r="K70" i="47" s="1"/>
  <c r="K72" i="47" s="1"/>
  <c r="L61" i="47" s="1"/>
  <c r="L70" i="47" s="1"/>
  <c r="L72" i="47" s="1"/>
  <c r="M61" i="47" s="1"/>
  <c r="M70" i="47" s="1"/>
  <c r="M72" i="47" s="1"/>
  <c r="C7" i="127"/>
  <c r="C16" i="127" s="1"/>
  <c r="C18" i="127" s="1"/>
  <c r="D7" i="127" s="1"/>
  <c r="D16" i="127" s="1"/>
  <c r="D18" i="127" s="1"/>
  <c r="E7" i="127" s="1"/>
  <c r="E16" i="127" s="1"/>
  <c r="E18" i="127" s="1"/>
  <c r="F7" i="127" s="1"/>
  <c r="F16" i="127" s="1"/>
  <c r="F18" i="127" s="1"/>
  <c r="G7" i="127" s="1"/>
  <c r="G16" i="127" s="1"/>
  <c r="G18" i="127" s="1"/>
  <c r="H7" i="127" s="1"/>
  <c r="H16" i="127" s="1"/>
  <c r="H18" i="127" s="1"/>
  <c r="I7" i="127" s="1"/>
  <c r="I16" i="127" s="1"/>
  <c r="I18" i="127" s="1"/>
  <c r="J7" i="127" s="1"/>
  <c r="J16" i="127" s="1"/>
  <c r="J18" i="127" s="1"/>
  <c r="K7" i="127" s="1"/>
  <c r="K16" i="127" s="1"/>
  <c r="K18" i="127" s="1"/>
  <c r="L7" i="127" s="1"/>
  <c r="L16" i="127" s="1"/>
  <c r="L18" i="127" s="1"/>
  <c r="M7" i="127" s="1"/>
  <c r="M16" i="127" s="1"/>
  <c r="M18" i="127" s="1"/>
  <c r="B16" i="127"/>
  <c r="B18" i="127" s="1"/>
  <c r="B33" i="127"/>
  <c r="B35" i="127" s="1"/>
  <c r="C24" i="127" s="1"/>
  <c r="C33" i="127" s="1"/>
  <c r="C35" i="127" s="1"/>
  <c r="D24" i="127" s="1"/>
  <c r="D33" i="127"/>
  <c r="D35" i="127" s="1"/>
  <c r="E24" i="127" s="1"/>
  <c r="E33" i="127" s="1"/>
  <c r="E35" i="127" s="1"/>
  <c r="F24" i="127" s="1"/>
  <c r="F33" i="127" s="1"/>
  <c r="F35" i="127"/>
  <c r="G24" i="127" s="1"/>
  <c r="G33" i="127" s="1"/>
  <c r="G35" i="127" s="1"/>
  <c r="H24" i="127" s="1"/>
  <c r="H33" i="127" s="1"/>
  <c r="H35" i="127" s="1"/>
  <c r="I24" i="127" s="1"/>
  <c r="I33" i="127" s="1"/>
  <c r="I35" i="127" s="1"/>
  <c r="J24" i="127" s="1"/>
  <c r="J33" i="127" s="1"/>
  <c r="J35" i="127" s="1"/>
  <c r="K24" i="127" s="1"/>
  <c r="K33" i="127" s="1"/>
  <c r="K35" i="127" s="1"/>
  <c r="L24" i="127" s="1"/>
  <c r="L33" i="127" s="1"/>
  <c r="L35" i="127" s="1"/>
  <c r="M24" i="127" s="1"/>
  <c r="M33" i="127" s="1"/>
  <c r="M35" i="127" s="1"/>
  <c r="N42" i="127"/>
  <c r="B49" i="127"/>
  <c r="B51" i="127" s="1"/>
  <c r="C40" i="127" s="1"/>
  <c r="C49" i="127" s="1"/>
  <c r="C51" i="127" s="1"/>
  <c r="D40" i="127" s="1"/>
  <c r="D49" i="127" s="1"/>
  <c r="D51" i="127" s="1"/>
  <c r="E40" i="127" s="1"/>
  <c r="E49" i="127" s="1"/>
  <c r="E51" i="127" s="1"/>
  <c r="F40" i="127" s="1"/>
  <c r="F49" i="127" s="1"/>
  <c r="F51" i="127" s="1"/>
  <c r="G40" i="127" s="1"/>
  <c r="G49" i="127" s="1"/>
  <c r="G51" i="127" s="1"/>
  <c r="H40" i="127" s="1"/>
  <c r="H49" i="127" s="1"/>
  <c r="H51" i="127" s="1"/>
  <c r="I40" i="127" s="1"/>
  <c r="I49" i="127" s="1"/>
  <c r="I51" i="127" s="1"/>
  <c r="J40" i="127" s="1"/>
  <c r="J49" i="127" s="1"/>
  <c r="J51" i="127" s="1"/>
  <c r="K40" i="127" s="1"/>
  <c r="K49" i="127" s="1"/>
  <c r="K51" i="127" s="1"/>
  <c r="L40" i="127" s="1"/>
  <c r="L49" i="127" s="1"/>
  <c r="L51" i="127" s="1"/>
  <c r="M40" i="127" s="1"/>
  <c r="M49" i="127" s="1"/>
  <c r="M51" i="127" s="1"/>
  <c r="B67" i="127"/>
  <c r="B69" i="127"/>
  <c r="C58" i="127" s="1"/>
  <c r="C67" i="127" s="1"/>
  <c r="C69" i="127" s="1"/>
  <c r="D58" i="127" s="1"/>
  <c r="D67" i="127" s="1"/>
  <c r="D69" i="127" s="1"/>
  <c r="E58" i="127" s="1"/>
  <c r="E67" i="127" s="1"/>
  <c r="E69" i="127" s="1"/>
  <c r="F58" i="127" s="1"/>
  <c r="F67" i="127" s="1"/>
  <c r="F69" i="127" s="1"/>
  <c r="G58" i="127" s="1"/>
  <c r="G67" i="127" s="1"/>
  <c r="G69" i="127" s="1"/>
  <c r="H58" i="127" s="1"/>
  <c r="H67" i="127" s="1"/>
  <c r="H69" i="127" s="1"/>
  <c r="I58" i="127" s="1"/>
  <c r="I67" i="127" s="1"/>
  <c r="I69" i="127" s="1"/>
  <c r="J58" i="127" s="1"/>
  <c r="J67" i="127" s="1"/>
  <c r="J69" i="127" s="1"/>
  <c r="K58" i="127" s="1"/>
  <c r="K67" i="127" s="1"/>
  <c r="K69" i="127" s="1"/>
  <c r="L58" i="127" s="1"/>
  <c r="L67" i="127" s="1"/>
  <c r="L69" i="127" s="1"/>
  <c r="M58" i="127" s="1"/>
  <c r="M67" i="127" s="1"/>
  <c r="M69" i="127" s="1"/>
  <c r="B15" i="150"/>
  <c r="B17" i="150" s="1"/>
  <c r="C6" i="150" s="1"/>
  <c r="C15" i="150" s="1"/>
  <c r="C17" i="150" s="1"/>
  <c r="D6" i="150" s="1"/>
  <c r="D15" i="150" s="1"/>
  <c r="D17" i="150" s="1"/>
  <c r="E6" i="150" s="1"/>
  <c r="E15" i="150" s="1"/>
  <c r="E17" i="150" s="1"/>
  <c r="F6" i="150" s="1"/>
  <c r="F15" i="150" s="1"/>
  <c r="F17" i="150" s="1"/>
  <c r="G6" i="150" s="1"/>
  <c r="G15" i="150" s="1"/>
  <c r="G17" i="150" s="1"/>
  <c r="H6" i="150" s="1"/>
  <c r="H15" i="150" s="1"/>
  <c r="H17" i="150" s="1"/>
  <c r="I6" i="150" s="1"/>
  <c r="I15" i="150" s="1"/>
  <c r="I17" i="150" s="1"/>
  <c r="J6" i="150" s="1"/>
  <c r="J15" i="150" s="1"/>
  <c r="J17" i="150" s="1"/>
  <c r="K6" i="150" s="1"/>
  <c r="K15" i="150" s="1"/>
  <c r="K17" i="150" s="1"/>
  <c r="L6" i="150" s="1"/>
  <c r="L15" i="150" s="1"/>
  <c r="L17" i="150" s="1"/>
  <c r="M6" i="150" s="1"/>
  <c r="M15" i="150" s="1"/>
  <c r="M17" i="150" s="1"/>
  <c r="I23" i="150"/>
  <c r="I32" i="150" s="1"/>
  <c r="I34" i="150" s="1"/>
  <c r="J23" i="150" s="1"/>
  <c r="J32" i="150" s="1"/>
  <c r="J34" i="150" s="1"/>
  <c r="K23" i="150" s="1"/>
  <c r="K32" i="150" s="1"/>
  <c r="B32" i="150"/>
  <c r="B34" i="150" s="1"/>
  <c r="C23" i="150" s="1"/>
  <c r="C32" i="150" s="1"/>
  <c r="C34" i="150"/>
  <c r="D23" i="150" s="1"/>
  <c r="D32" i="150" s="1"/>
  <c r="D34" i="150" s="1"/>
  <c r="E23" i="150" s="1"/>
  <c r="E32" i="150" s="1"/>
  <c r="E34" i="150" s="1"/>
  <c r="F23" i="150" s="1"/>
  <c r="F32" i="150" s="1"/>
  <c r="F34" i="150" s="1"/>
  <c r="G23" i="150" s="1"/>
  <c r="G32" i="150" s="1"/>
  <c r="G34" i="150" s="1"/>
  <c r="H23" i="150" s="1"/>
  <c r="H32" i="150" s="1"/>
  <c r="H34" i="150" s="1"/>
  <c r="K34" i="150"/>
  <c r="L23" i="150" s="1"/>
  <c r="L32" i="150" s="1"/>
  <c r="L34" i="150" s="1"/>
  <c r="M23" i="150" s="1"/>
  <c r="M32" i="150" s="1"/>
  <c r="M34" i="150" s="1"/>
  <c r="B48" i="150"/>
  <c r="B50" i="150" s="1"/>
  <c r="C39" i="150" s="1"/>
  <c r="C48" i="150" s="1"/>
  <c r="C50" i="150" s="1"/>
  <c r="D39" i="150" s="1"/>
  <c r="D48" i="150" s="1"/>
  <c r="D50" i="150" s="1"/>
  <c r="E39" i="150" s="1"/>
  <c r="E48" i="150" s="1"/>
  <c r="E50" i="150" s="1"/>
  <c r="F39" i="150" s="1"/>
  <c r="F48" i="150" s="1"/>
  <c r="F50" i="150" s="1"/>
  <c r="G39" i="150" s="1"/>
  <c r="G48" i="150" s="1"/>
  <c r="G50" i="150" s="1"/>
  <c r="H39" i="150" s="1"/>
  <c r="H48" i="150" s="1"/>
  <c r="H50" i="150" s="1"/>
  <c r="I39" i="150" s="1"/>
  <c r="I48" i="150" s="1"/>
  <c r="I50" i="150" s="1"/>
  <c r="J39" i="150" s="1"/>
  <c r="J48" i="150" s="1"/>
  <c r="J50" i="150" s="1"/>
  <c r="K39" i="150" s="1"/>
  <c r="K48" i="150" s="1"/>
  <c r="K50" i="150" s="1"/>
  <c r="L39" i="150" s="1"/>
  <c r="L48" i="150" s="1"/>
  <c r="L50" i="150" s="1"/>
  <c r="M39" i="150" s="1"/>
  <c r="M48" i="150" s="1"/>
  <c r="M50" i="150" s="1"/>
  <c r="C57" i="150"/>
  <c r="C66" i="150" s="1"/>
  <c r="C68" i="150" s="1"/>
  <c r="D57" i="150" s="1"/>
  <c r="D66" i="150" s="1"/>
  <c r="D68" i="150" s="1"/>
  <c r="E57" i="150" s="1"/>
  <c r="E66" i="150" s="1"/>
  <c r="E68" i="150" s="1"/>
  <c r="F57" i="150" s="1"/>
  <c r="F66" i="150" s="1"/>
  <c r="F68" i="150" s="1"/>
  <c r="G57" i="150" s="1"/>
  <c r="G66" i="150" s="1"/>
  <c r="G68" i="150" s="1"/>
  <c r="H57" i="150" s="1"/>
  <c r="H66" i="150" s="1"/>
  <c r="H68" i="150" s="1"/>
  <c r="I57" i="150" s="1"/>
  <c r="I66" i="150" s="1"/>
  <c r="I68" i="150" s="1"/>
  <c r="J57" i="150" s="1"/>
  <c r="J66" i="150" s="1"/>
  <c r="J68" i="150" s="1"/>
  <c r="K57" i="150" s="1"/>
  <c r="K66" i="150" s="1"/>
  <c r="K68" i="150" s="1"/>
  <c r="L57" i="150" s="1"/>
  <c r="L66" i="150" s="1"/>
  <c r="L68" i="150" s="1"/>
  <c r="M57" i="150" s="1"/>
  <c r="M66" i="150" s="1"/>
  <c r="M68" i="150" s="1"/>
  <c r="B66" i="150"/>
  <c r="B68" i="150" s="1"/>
  <c r="B82" i="150"/>
  <c r="B84" i="150"/>
  <c r="C73" i="150" s="1"/>
  <c r="C82" i="150" s="1"/>
  <c r="C84" i="150" s="1"/>
  <c r="D73" i="150" s="1"/>
  <c r="D82" i="150" s="1"/>
  <c r="D84" i="150" s="1"/>
  <c r="E73" i="150" s="1"/>
  <c r="E82" i="150" s="1"/>
  <c r="E84" i="150" s="1"/>
  <c r="F73" i="150" s="1"/>
  <c r="F82" i="150" s="1"/>
  <c r="F84" i="150" s="1"/>
  <c r="G73" i="150" s="1"/>
  <c r="G82" i="150" s="1"/>
  <c r="G84" i="150" s="1"/>
  <c r="H73" i="150" s="1"/>
  <c r="H82" i="150" s="1"/>
  <c r="H84" i="150" s="1"/>
  <c r="I73" i="150" s="1"/>
  <c r="I82" i="150" s="1"/>
  <c r="I84" i="150" s="1"/>
  <c r="J73" i="150" s="1"/>
  <c r="J82" i="150" s="1"/>
  <c r="J84" i="150" s="1"/>
  <c r="K73" i="150" s="1"/>
  <c r="K82" i="150" s="1"/>
  <c r="K84" i="150" s="1"/>
  <c r="L73" i="150" s="1"/>
  <c r="L82" i="150" s="1"/>
  <c r="L84" i="150" s="1"/>
  <c r="M73" i="150" s="1"/>
  <c r="M82" i="150" s="1"/>
  <c r="M84" i="150" s="1"/>
  <c r="B14" i="228"/>
  <c r="B16" i="228" s="1"/>
  <c r="C5" i="228" s="1"/>
  <c r="C14" i="228" s="1"/>
  <c r="C16" i="228" s="1"/>
  <c r="D5" i="228" s="1"/>
  <c r="D14" i="228" s="1"/>
  <c r="D16" i="228" s="1"/>
  <c r="E5" i="228" s="1"/>
  <c r="E14" i="228" s="1"/>
  <c r="E16" i="228" s="1"/>
  <c r="F5" i="228" s="1"/>
  <c r="F14" i="228" s="1"/>
  <c r="F16" i="228" s="1"/>
  <c r="G5" i="228" s="1"/>
  <c r="G14" i="228" s="1"/>
  <c r="G16" i="228" s="1"/>
  <c r="H5" i="228" s="1"/>
  <c r="H14" i="228" s="1"/>
  <c r="H16" i="228" s="1"/>
  <c r="I5" i="228" s="1"/>
  <c r="I14" i="228" s="1"/>
  <c r="I16" i="228" s="1"/>
  <c r="J5" i="228" s="1"/>
  <c r="J14" i="228" s="1"/>
  <c r="J16" i="228" s="1"/>
  <c r="K5" i="228" s="1"/>
  <c r="K14" i="228" s="1"/>
  <c r="K16" i="228" s="1"/>
  <c r="L5" i="228" s="1"/>
  <c r="L14" i="228" s="1"/>
  <c r="L16" i="228" s="1"/>
  <c r="M5" i="228" s="1"/>
  <c r="M14" i="228" s="1"/>
  <c r="M16" i="228" s="1"/>
  <c r="B14" i="227"/>
  <c r="B16" i="227" s="1"/>
  <c r="C5" i="227" s="1"/>
  <c r="C14" i="227"/>
  <c r="C16" i="227" s="1"/>
  <c r="D5" i="227" s="1"/>
  <c r="D14" i="227" s="1"/>
  <c r="D16" i="227" s="1"/>
  <c r="E5" i="227" s="1"/>
  <c r="E14" i="227" s="1"/>
  <c r="E16" i="227" s="1"/>
  <c r="F5" i="227" s="1"/>
  <c r="F14" i="227" s="1"/>
  <c r="F16" i="227" s="1"/>
  <c r="G5" i="227" s="1"/>
  <c r="G14" i="227" s="1"/>
  <c r="G16" i="227" s="1"/>
  <c r="H5" i="227" s="1"/>
  <c r="H14" i="227" s="1"/>
  <c r="H16" i="227" s="1"/>
  <c r="I5" i="227" s="1"/>
  <c r="I14" i="227" s="1"/>
  <c r="I16" i="227" s="1"/>
  <c r="J5" i="227" s="1"/>
  <c r="J14" i="227" s="1"/>
  <c r="J16" i="227" s="1"/>
  <c r="K5" i="227" s="1"/>
  <c r="K14" i="227" s="1"/>
  <c r="K16" i="227" s="1"/>
  <c r="L5" i="227" s="1"/>
  <c r="L14" i="227" s="1"/>
  <c r="L16" i="227" s="1"/>
  <c r="M5" i="227" s="1"/>
  <c r="M14" i="227" s="1"/>
  <c r="M16" i="227" s="1"/>
  <c r="B14" i="207"/>
  <c r="B16" i="207" s="1"/>
  <c r="C5" i="207" s="1"/>
  <c r="C14" i="207" s="1"/>
  <c r="C16" i="207" s="1"/>
  <c r="D5" i="207" s="1"/>
  <c r="D14" i="207" s="1"/>
  <c r="D16" i="207" s="1"/>
  <c r="E5" i="207" s="1"/>
  <c r="E14" i="207" s="1"/>
  <c r="E16" i="207" s="1"/>
  <c r="F5" i="207" s="1"/>
  <c r="F14" i="207" s="1"/>
  <c r="F16" i="207" s="1"/>
  <c r="G5" i="207" s="1"/>
  <c r="G14" i="207" s="1"/>
  <c r="G16" i="207" s="1"/>
  <c r="H5" i="207" s="1"/>
  <c r="H14" i="207" s="1"/>
  <c r="H16" i="207" s="1"/>
  <c r="I5" i="207" s="1"/>
  <c r="I14" i="207" s="1"/>
  <c r="I16" i="207" s="1"/>
  <c r="J5" i="207" s="1"/>
  <c r="J14" i="207" s="1"/>
  <c r="J16" i="207" s="1"/>
  <c r="K5" i="207" s="1"/>
  <c r="K14" i="207" s="1"/>
  <c r="K16" i="207" s="1"/>
  <c r="L5" i="207" s="1"/>
  <c r="L14" i="207" s="1"/>
  <c r="L16" i="207" s="1"/>
  <c r="M5" i="207" s="1"/>
  <c r="M14" i="207" s="1"/>
  <c r="M16" i="207" s="1"/>
  <c r="B30" i="207"/>
  <c r="C31" i="207"/>
  <c r="B32" i="207"/>
  <c r="C21" i="207" s="1"/>
  <c r="C30" i="207" s="1"/>
  <c r="B13" i="209"/>
  <c r="B15" i="209" s="1"/>
  <c r="C4" i="209" s="1"/>
  <c r="C13" i="209" s="1"/>
  <c r="C15" i="209" s="1"/>
  <c r="D4" i="209" s="1"/>
  <c r="D13" i="209" s="1"/>
  <c r="D15" i="209" s="1"/>
  <c r="E4" i="209" s="1"/>
  <c r="E13" i="209" s="1"/>
  <c r="E15" i="209" s="1"/>
  <c r="F4" i="209" s="1"/>
  <c r="F13" i="209" s="1"/>
  <c r="F15" i="209" s="1"/>
  <c r="G4" i="209" s="1"/>
  <c r="G13" i="209" s="1"/>
  <c r="G15" i="209" s="1"/>
  <c r="H4" i="209" s="1"/>
  <c r="H13" i="209" s="1"/>
  <c r="H15" i="209" s="1"/>
  <c r="I4" i="209" s="1"/>
  <c r="I13" i="209" s="1"/>
  <c r="I15" i="209" s="1"/>
  <c r="J4" i="209" s="1"/>
  <c r="J13" i="209" s="1"/>
  <c r="J15" i="209" s="1"/>
  <c r="K4" i="209" s="1"/>
  <c r="K13" i="209" s="1"/>
  <c r="K15" i="209" s="1"/>
  <c r="L4" i="209" s="1"/>
  <c r="L13" i="209" s="1"/>
  <c r="L15" i="209" s="1"/>
  <c r="M4" i="209" s="1"/>
  <c r="M13" i="209" s="1"/>
  <c r="M15" i="209" s="1"/>
  <c r="B29" i="209"/>
  <c r="B31" i="209" s="1"/>
  <c r="C20" i="209" s="1"/>
  <c r="C29" i="209"/>
  <c r="C31" i="209" s="1"/>
  <c r="D20" i="209" s="1"/>
  <c r="D29" i="209" s="1"/>
  <c r="D31" i="209" s="1"/>
  <c r="E20" i="209" s="1"/>
  <c r="E29" i="209" s="1"/>
  <c r="E31" i="209" s="1"/>
  <c r="F20" i="209" s="1"/>
  <c r="F29" i="209" s="1"/>
  <c r="F31" i="209" s="1"/>
  <c r="G20" i="209" s="1"/>
  <c r="G29" i="209" s="1"/>
  <c r="G31" i="209" s="1"/>
  <c r="H20" i="209" s="1"/>
  <c r="H29" i="209" s="1"/>
  <c r="H31" i="209" s="1"/>
  <c r="I20" i="209" s="1"/>
  <c r="I29" i="209" s="1"/>
  <c r="I31" i="209" s="1"/>
  <c r="J20" i="209" s="1"/>
  <c r="J29" i="209" s="1"/>
  <c r="J31" i="209" s="1"/>
  <c r="K20" i="209" s="1"/>
  <c r="K29" i="209" s="1"/>
  <c r="K31" i="209" s="1"/>
  <c r="L20" i="209" s="1"/>
  <c r="L29" i="209" s="1"/>
  <c r="L31" i="209" s="1"/>
  <c r="M20" i="209" s="1"/>
  <c r="M29" i="209" s="1"/>
  <c r="M31" i="209" s="1"/>
  <c r="B15" i="164"/>
  <c r="B17" i="164"/>
  <c r="C6" i="164" s="1"/>
  <c r="C15" i="164" s="1"/>
  <c r="C17" i="164" s="1"/>
  <c r="D6" i="164" s="1"/>
  <c r="D15" i="164" s="1"/>
  <c r="D17" i="164" s="1"/>
  <c r="E6" i="164" s="1"/>
  <c r="E15" i="164" s="1"/>
  <c r="E17" i="164" s="1"/>
  <c r="F6" i="164" s="1"/>
  <c r="F15" i="164" s="1"/>
  <c r="F17" i="164" s="1"/>
  <c r="G6" i="164" s="1"/>
  <c r="G15" i="164" s="1"/>
  <c r="G17" i="164" s="1"/>
  <c r="H6" i="164" s="1"/>
  <c r="H15" i="164" s="1"/>
  <c r="H17" i="164" s="1"/>
  <c r="I6" i="164" s="1"/>
  <c r="I15" i="164" s="1"/>
  <c r="I17" i="164" s="1"/>
  <c r="J6" i="164" s="1"/>
  <c r="J15" i="164" s="1"/>
  <c r="J17" i="164" s="1"/>
  <c r="K6" i="164" s="1"/>
  <c r="K15" i="164" s="1"/>
  <c r="K17" i="164" s="1"/>
  <c r="L6" i="164" s="1"/>
  <c r="L15" i="164" s="1"/>
  <c r="L17" i="164" s="1"/>
  <c r="M6" i="164" s="1"/>
  <c r="M15" i="164" s="1"/>
  <c r="M17" i="164" s="1"/>
  <c r="B32" i="164"/>
  <c r="B34" i="164" s="1"/>
  <c r="C23" i="164" s="1"/>
  <c r="C32" i="164" s="1"/>
  <c r="C34" i="164" s="1"/>
  <c r="D23" i="164" s="1"/>
  <c r="D32" i="164" s="1"/>
  <c r="D34" i="164" s="1"/>
  <c r="E23" i="164" s="1"/>
  <c r="E32" i="164" s="1"/>
  <c r="E34" i="164" s="1"/>
  <c r="F23" i="164" s="1"/>
  <c r="F32" i="164" s="1"/>
  <c r="F34" i="164" s="1"/>
  <c r="G23" i="164" s="1"/>
  <c r="G32" i="164" s="1"/>
  <c r="G34" i="164" s="1"/>
  <c r="H23" i="164" s="1"/>
  <c r="H32" i="164" s="1"/>
  <c r="H34" i="164" s="1"/>
  <c r="I23" i="164" s="1"/>
  <c r="I32" i="164" s="1"/>
  <c r="I34" i="164" s="1"/>
  <c r="J23" i="164" s="1"/>
  <c r="J32" i="164" s="1"/>
  <c r="J34" i="164" s="1"/>
  <c r="K23" i="164" s="1"/>
  <c r="K32" i="164" s="1"/>
  <c r="K34" i="164" s="1"/>
  <c r="L23" i="164" s="1"/>
  <c r="L32" i="164" s="1"/>
  <c r="L34" i="164" s="1"/>
  <c r="M23" i="164" s="1"/>
  <c r="M32" i="164" s="1"/>
  <c r="M34" i="164" s="1"/>
  <c r="B49" i="164"/>
  <c r="B51" i="164" s="1"/>
  <c r="C40" i="164" s="1"/>
  <c r="C49" i="164" s="1"/>
  <c r="C51" i="164" s="1"/>
  <c r="D40" i="164" s="1"/>
  <c r="D49" i="164" s="1"/>
  <c r="D51" i="164" s="1"/>
  <c r="E40" i="164" s="1"/>
  <c r="E49" i="164" s="1"/>
  <c r="E51" i="164" s="1"/>
  <c r="F40" i="164" s="1"/>
  <c r="F49" i="164" s="1"/>
  <c r="F51" i="164" s="1"/>
  <c r="G40" i="164" s="1"/>
  <c r="G49" i="164" s="1"/>
  <c r="G51" i="164" s="1"/>
  <c r="H40" i="164" s="1"/>
  <c r="H49" i="164" s="1"/>
  <c r="H51" i="164" s="1"/>
  <c r="I40" i="164" s="1"/>
  <c r="I49" i="164" s="1"/>
  <c r="I51" i="164" s="1"/>
  <c r="J40" i="164" s="1"/>
  <c r="J49" i="164" s="1"/>
  <c r="J51" i="164" s="1"/>
  <c r="K40" i="164" s="1"/>
  <c r="K49" i="164" s="1"/>
  <c r="K51" i="164" s="1"/>
  <c r="L40" i="164" s="1"/>
  <c r="L49" i="164" s="1"/>
  <c r="L51" i="164" s="1"/>
  <c r="M40" i="164" s="1"/>
  <c r="M49" i="164" s="1"/>
  <c r="M51" i="164" s="1"/>
  <c r="L50" i="164"/>
  <c r="B14" i="146"/>
  <c r="B16" i="146" s="1"/>
  <c r="C5" i="146" s="1"/>
  <c r="C14" i="146" s="1"/>
  <c r="C16" i="146" s="1"/>
  <c r="D5" i="146" s="1"/>
  <c r="D14" i="146" s="1"/>
  <c r="D16" i="146" s="1"/>
  <c r="E5" i="146" s="1"/>
  <c r="E14" i="146" s="1"/>
  <c r="E16" i="146" s="1"/>
  <c r="F5" i="146" s="1"/>
  <c r="F14" i="146" s="1"/>
  <c r="F16" i="146" s="1"/>
  <c r="G5" i="146" s="1"/>
  <c r="G14" i="146" s="1"/>
  <c r="G16" i="146" s="1"/>
  <c r="H5" i="146" s="1"/>
  <c r="H14" i="146" s="1"/>
  <c r="H16" i="146" s="1"/>
  <c r="I5" i="146" s="1"/>
  <c r="I14" i="146" s="1"/>
  <c r="I16" i="146" s="1"/>
  <c r="J5" i="146" s="1"/>
  <c r="J14" i="146" s="1"/>
  <c r="J16" i="146" s="1"/>
  <c r="K5" i="146" s="1"/>
  <c r="K14" i="146" s="1"/>
  <c r="K16" i="146" s="1"/>
  <c r="L5" i="146" s="1"/>
  <c r="L14" i="146" s="1"/>
  <c r="L16" i="146" s="1"/>
  <c r="M5" i="146" s="1"/>
  <c r="M14" i="146" s="1"/>
  <c r="M16" i="146" s="1"/>
  <c r="B31" i="146"/>
  <c r="B33" i="146" s="1"/>
  <c r="C22" i="146" s="1"/>
  <c r="C31" i="146" s="1"/>
  <c r="C33" i="146" s="1"/>
  <c r="D22" i="146" s="1"/>
  <c r="D31" i="146" s="1"/>
  <c r="D33" i="146" s="1"/>
  <c r="E22" i="146" s="1"/>
  <c r="E31" i="146" s="1"/>
  <c r="E33" i="146" s="1"/>
  <c r="F22" i="146" s="1"/>
  <c r="F31" i="146" s="1"/>
  <c r="F33" i="146" s="1"/>
  <c r="G22" i="146" s="1"/>
  <c r="G31" i="146" s="1"/>
  <c r="G33" i="146" s="1"/>
  <c r="H22" i="146" s="1"/>
  <c r="H31" i="146" s="1"/>
  <c r="H33" i="146" s="1"/>
  <c r="I22" i="146" s="1"/>
  <c r="I31" i="146" s="1"/>
  <c r="I33" i="146" s="1"/>
  <c r="J22" i="146" s="1"/>
  <c r="J31" i="146" s="1"/>
  <c r="J33" i="146" s="1"/>
  <c r="K22" i="146" s="1"/>
  <c r="K31" i="146" s="1"/>
  <c r="K33" i="146" s="1"/>
  <c r="L22" i="146" s="1"/>
  <c r="L31" i="146" s="1"/>
  <c r="L33" i="146" s="1"/>
  <c r="M22" i="146" s="1"/>
  <c r="M31" i="146" s="1"/>
  <c r="M33" i="146" s="1"/>
  <c r="C4" i="182"/>
  <c r="C13" i="182" s="1"/>
  <c r="C15" i="182" s="1"/>
  <c r="D4" i="182" s="1"/>
  <c r="D13" i="182" s="1"/>
  <c r="D15" i="182" s="1"/>
  <c r="E4" i="182" s="1"/>
  <c r="E13" i="182" s="1"/>
  <c r="E15" i="182" s="1"/>
  <c r="F4" i="182" s="1"/>
  <c r="F13" i="182" s="1"/>
  <c r="F15" i="182" s="1"/>
  <c r="G4" i="182" s="1"/>
  <c r="G13" i="182" s="1"/>
  <c r="G15" i="182" s="1"/>
  <c r="H4" i="182" s="1"/>
  <c r="H13" i="182" s="1"/>
  <c r="H15" i="182" s="1"/>
  <c r="I4" i="182" s="1"/>
  <c r="I13" i="182" s="1"/>
  <c r="I15" i="182" s="1"/>
  <c r="J4" i="182" s="1"/>
  <c r="J13" i="182" s="1"/>
  <c r="J15" i="182" s="1"/>
  <c r="K4" i="182" s="1"/>
  <c r="K13" i="182" s="1"/>
  <c r="K15" i="182" s="1"/>
  <c r="L4" i="182" s="1"/>
  <c r="L13" i="182" s="1"/>
  <c r="L15" i="182" s="1"/>
  <c r="M4" i="182" s="1"/>
  <c r="M13" i="182" s="1"/>
  <c r="M15" i="182" s="1"/>
  <c r="B13" i="182"/>
  <c r="B15" i="182" s="1"/>
  <c r="B28" i="182"/>
  <c r="J29" i="182"/>
  <c r="B30" i="182"/>
  <c r="C19" i="182" s="1"/>
  <c r="C28" i="182" s="1"/>
  <c r="C30" i="182" s="1"/>
  <c r="D19" i="182" s="1"/>
  <c r="D28" i="182" s="1"/>
  <c r="D30" i="182" s="1"/>
  <c r="E19" i="182" s="1"/>
  <c r="E28" i="182" s="1"/>
  <c r="E30" i="182" s="1"/>
  <c r="F19" i="182" s="1"/>
  <c r="F28" i="182" s="1"/>
  <c r="F30" i="182" s="1"/>
  <c r="G19" i="182" s="1"/>
  <c r="G28" i="182" s="1"/>
  <c r="G30" i="182" s="1"/>
  <c r="H19" i="182" s="1"/>
  <c r="H28" i="182" s="1"/>
  <c r="H30" i="182" s="1"/>
  <c r="I19" i="182" s="1"/>
  <c r="I28" i="182" s="1"/>
  <c r="I30" i="182" s="1"/>
  <c r="J19" i="182" s="1"/>
  <c r="J28" i="182" s="1"/>
  <c r="C13" i="205"/>
  <c r="C15" i="205" s="1"/>
  <c r="D4" i="205" s="1"/>
  <c r="D13" i="205" s="1"/>
  <c r="D15" i="205" s="1"/>
  <c r="E4" i="205" s="1"/>
  <c r="E13" i="205" s="1"/>
  <c r="E15" i="205" s="1"/>
  <c r="F4" i="205" s="1"/>
  <c r="F13" i="205" s="1"/>
  <c r="F15" i="205" s="1"/>
  <c r="G4" i="205" s="1"/>
  <c r="G13" i="205" s="1"/>
  <c r="G15" i="205" s="1"/>
  <c r="H4" i="205" s="1"/>
  <c r="H13" i="205" s="1"/>
  <c r="H15" i="205" s="1"/>
  <c r="I4" i="205" s="1"/>
  <c r="I13" i="205" s="1"/>
  <c r="I15" i="205" s="1"/>
  <c r="J4" i="205" s="1"/>
  <c r="J13" i="205" s="1"/>
  <c r="J15" i="205" s="1"/>
  <c r="K4" i="205" s="1"/>
  <c r="K13" i="205" s="1"/>
  <c r="K15" i="205" s="1"/>
  <c r="L4" i="205" s="1"/>
  <c r="L13" i="205" s="1"/>
  <c r="L15" i="205" s="1"/>
  <c r="M4" i="205" s="1"/>
  <c r="M13" i="205" s="1"/>
  <c r="M15" i="205" s="1"/>
  <c r="N4" i="205" s="1"/>
  <c r="N13" i="205" s="1"/>
  <c r="N15" i="205" s="1"/>
  <c r="B13" i="183"/>
  <c r="B15" i="183" s="1"/>
  <c r="C4" i="183" s="1"/>
  <c r="C13" i="183" s="1"/>
  <c r="C15" i="183" s="1"/>
  <c r="D4" i="183" s="1"/>
  <c r="D13" i="183" s="1"/>
  <c r="D15" i="183" s="1"/>
  <c r="E4" i="183" s="1"/>
  <c r="E13" i="183" s="1"/>
  <c r="E15" i="183" s="1"/>
  <c r="F4" i="183" s="1"/>
  <c r="F13" i="183" s="1"/>
  <c r="F15" i="183" s="1"/>
  <c r="G4" i="183" s="1"/>
  <c r="G13" i="183" s="1"/>
  <c r="G15" i="183" s="1"/>
  <c r="H4" i="183" s="1"/>
  <c r="H13" i="183" s="1"/>
  <c r="H15" i="183" s="1"/>
  <c r="I4" i="183" s="1"/>
  <c r="I13" i="183" s="1"/>
  <c r="I15" i="183" s="1"/>
  <c r="J4" i="183" s="1"/>
  <c r="J13" i="183" s="1"/>
  <c r="J15" i="183" s="1"/>
  <c r="K4" i="183" s="1"/>
  <c r="K13" i="183" s="1"/>
  <c r="K15" i="183" s="1"/>
  <c r="L4" i="183" s="1"/>
  <c r="L13" i="183" s="1"/>
  <c r="L15" i="183" s="1"/>
  <c r="M4" i="183" s="1"/>
  <c r="M13" i="183" s="1"/>
  <c r="M15" i="183" s="1"/>
  <c r="B14" i="107"/>
  <c r="B16" i="107" s="1"/>
  <c r="C5" i="107" s="1"/>
  <c r="C14" i="107" s="1"/>
  <c r="C16" i="107" s="1"/>
  <c r="D5" i="107" s="1"/>
  <c r="D14" i="107" s="1"/>
  <c r="D16" i="107" s="1"/>
  <c r="E5" i="107" s="1"/>
  <c r="E14" i="107" s="1"/>
  <c r="E16" i="107" s="1"/>
  <c r="F5" i="107"/>
  <c r="F14" i="107" s="1"/>
  <c r="F16" i="107" s="1"/>
  <c r="G5" i="107" s="1"/>
  <c r="G14" i="107" s="1"/>
  <c r="G16" i="107" s="1"/>
  <c r="H5" i="107" s="1"/>
  <c r="H14" i="107" s="1"/>
  <c r="H16" i="107" s="1"/>
  <c r="I5" i="107" s="1"/>
  <c r="I14" i="107" s="1"/>
  <c r="I16" i="107" s="1"/>
  <c r="J5" i="107" s="1"/>
  <c r="J14" i="107" s="1"/>
  <c r="J16" i="107" s="1"/>
  <c r="K5" i="107" s="1"/>
  <c r="K14" i="107" s="1"/>
  <c r="K16" i="107" s="1"/>
  <c r="L5" i="107" s="1"/>
  <c r="L14" i="107" s="1"/>
  <c r="L16" i="107" s="1"/>
  <c r="M5" i="107" s="1"/>
  <c r="M14" i="107" s="1"/>
  <c r="M16" i="107"/>
  <c r="B30" i="107"/>
  <c r="B32" i="107" s="1"/>
  <c r="C21" i="107" s="1"/>
  <c r="C30" i="107" s="1"/>
  <c r="C32" i="107" s="1"/>
  <c r="D21" i="107" s="1"/>
  <c r="D30" i="107" s="1"/>
  <c r="D32" i="107" s="1"/>
  <c r="E21" i="107" s="1"/>
  <c r="E30" i="107" s="1"/>
  <c r="E32" i="107" s="1"/>
  <c r="F21" i="107" s="1"/>
  <c r="F30" i="107" s="1"/>
  <c r="F32" i="107" s="1"/>
  <c r="G21" i="107" s="1"/>
  <c r="G30" i="107" s="1"/>
  <c r="G32" i="107" s="1"/>
  <c r="H21" i="107" s="1"/>
  <c r="H30" i="107" s="1"/>
  <c r="H32" i="107" s="1"/>
  <c r="I21" i="107" s="1"/>
  <c r="I30" i="107" s="1"/>
  <c r="I32" i="107" s="1"/>
  <c r="J21" i="107" s="1"/>
  <c r="J30" i="107" s="1"/>
  <c r="J32" i="107" s="1"/>
  <c r="K21" i="107" s="1"/>
  <c r="K30" i="107" s="1"/>
  <c r="K32" i="107" s="1"/>
  <c r="L21" i="107" s="1"/>
  <c r="L30" i="107" s="1"/>
  <c r="L32" i="107" s="1"/>
  <c r="M21" i="107" s="1"/>
  <c r="M30" i="107" s="1"/>
  <c r="M32" i="107" s="1"/>
  <c r="B13" i="51"/>
  <c r="B15" i="51" s="1"/>
  <c r="C4" i="51" s="1"/>
  <c r="C13" i="51" s="1"/>
  <c r="C15" i="51" s="1"/>
  <c r="D4" i="51" s="1"/>
  <c r="D13" i="51" s="1"/>
  <c r="D15" i="51" s="1"/>
  <c r="E4" i="51" s="1"/>
  <c r="E13" i="51" s="1"/>
  <c r="E15" i="51" s="1"/>
  <c r="F4" i="51" s="1"/>
  <c r="F13" i="51" s="1"/>
  <c r="F15" i="51" s="1"/>
  <c r="G4" i="51" s="1"/>
  <c r="G13" i="51" s="1"/>
  <c r="G15" i="51" s="1"/>
  <c r="H4" i="51" s="1"/>
  <c r="H13" i="51" s="1"/>
  <c r="H15" i="51" s="1"/>
  <c r="I4" i="51" s="1"/>
  <c r="I13" i="51" s="1"/>
  <c r="I15" i="51" s="1"/>
  <c r="J4" i="51" s="1"/>
  <c r="J13" i="51" s="1"/>
  <c r="J15" i="51" s="1"/>
  <c r="K4" i="51" s="1"/>
  <c r="K13" i="51" s="1"/>
  <c r="K15" i="51" s="1"/>
  <c r="L4" i="51" s="1"/>
  <c r="L13" i="51" s="1"/>
  <c r="L15" i="51" s="1"/>
  <c r="M4" i="51" s="1"/>
  <c r="M13" i="51" s="1"/>
  <c r="M15" i="51" s="1"/>
  <c r="D22" i="51"/>
  <c r="D31" i="51" s="1"/>
  <c r="D33" i="51" s="1"/>
  <c r="E22" i="51" s="1"/>
  <c r="E31" i="51" s="1"/>
  <c r="E33" i="51" s="1"/>
  <c r="F22" i="51" s="1"/>
  <c r="F31" i="51" s="1"/>
  <c r="F33" i="51" s="1"/>
  <c r="G22" i="51" s="1"/>
  <c r="G31" i="51" s="1"/>
  <c r="G33" i="51" s="1"/>
  <c r="H22" i="51" s="1"/>
  <c r="H31" i="51" s="1"/>
  <c r="H33" i="51" s="1"/>
  <c r="I22" i="51" s="1"/>
  <c r="I31" i="51" s="1"/>
  <c r="I33" i="51" s="1"/>
  <c r="J22" i="51" s="1"/>
  <c r="J31" i="51" s="1"/>
  <c r="J33" i="51" s="1"/>
  <c r="K22" i="51" s="1"/>
  <c r="B31" i="51"/>
  <c r="B33" i="51" s="1"/>
  <c r="C22" i="51" s="1"/>
  <c r="C31" i="51"/>
  <c r="C33" i="51" s="1"/>
  <c r="K31" i="51"/>
  <c r="K33" i="51" s="1"/>
  <c r="L22" i="51" s="1"/>
  <c r="L31" i="51" s="1"/>
  <c r="L33" i="51" s="1"/>
  <c r="M22" i="51" s="1"/>
  <c r="M31" i="51" s="1"/>
  <c r="M33" i="51" s="1"/>
  <c r="B15" i="187"/>
  <c r="B17" i="187" s="1"/>
  <c r="C6" i="187" s="1"/>
  <c r="C15" i="187" s="1"/>
  <c r="C17" i="187" s="1"/>
  <c r="D6" i="187" s="1"/>
  <c r="D15" i="187" s="1"/>
  <c r="D17" i="187" s="1"/>
  <c r="E6" i="187" s="1"/>
  <c r="E15" i="187" s="1"/>
  <c r="E17" i="187" s="1"/>
  <c r="F6" i="187" s="1"/>
  <c r="F15" i="187" s="1"/>
  <c r="F17" i="187" s="1"/>
  <c r="G6" i="187" s="1"/>
  <c r="G15" i="187" s="1"/>
  <c r="G17" i="187" s="1"/>
  <c r="H6" i="187" s="1"/>
  <c r="H15" i="187" s="1"/>
  <c r="H17" i="187" s="1"/>
  <c r="I6" i="187" s="1"/>
  <c r="I15" i="187" s="1"/>
  <c r="I17" i="187" s="1"/>
  <c r="J6" i="187" s="1"/>
  <c r="J15" i="187" s="1"/>
  <c r="J17" i="187" s="1"/>
  <c r="K6" i="187" s="1"/>
  <c r="K15" i="187" s="1"/>
  <c r="K17" i="187" s="1"/>
  <c r="L6" i="187" s="1"/>
  <c r="L15" i="187" s="1"/>
  <c r="L17" i="187" s="1"/>
  <c r="M6" i="187" s="1"/>
  <c r="M15" i="187" s="1"/>
  <c r="M17" i="187" s="1"/>
  <c r="B31" i="187"/>
  <c r="B33" i="187" s="1"/>
  <c r="C22" i="187" s="1"/>
  <c r="C31" i="187" s="1"/>
  <c r="C33" i="187" s="1"/>
  <c r="D22" i="187" s="1"/>
  <c r="D31" i="187" s="1"/>
  <c r="D33" i="187" s="1"/>
  <c r="E22" i="187" s="1"/>
  <c r="E31" i="187" s="1"/>
  <c r="E33" i="187" s="1"/>
  <c r="F22" i="187" s="1"/>
  <c r="F31" i="187" s="1"/>
  <c r="F33" i="187" s="1"/>
  <c r="G22" i="187" s="1"/>
  <c r="G31" i="187" s="1"/>
  <c r="G33" i="187" s="1"/>
  <c r="H22" i="187" s="1"/>
  <c r="H31" i="187" s="1"/>
  <c r="H33" i="187" s="1"/>
  <c r="I22" i="187" s="1"/>
  <c r="I31" i="187" s="1"/>
  <c r="I33" i="187" s="1"/>
  <c r="J22" i="187" s="1"/>
  <c r="J31" i="187" s="1"/>
  <c r="J33" i="187" s="1"/>
  <c r="K22" i="187" s="1"/>
  <c r="K31" i="187" s="1"/>
  <c r="K33" i="187" s="1"/>
  <c r="L22" i="187" s="1"/>
  <c r="L31" i="187" s="1"/>
  <c r="L33" i="187" s="1"/>
  <c r="M22" i="187" s="1"/>
  <c r="M31" i="187" s="1"/>
  <c r="M33" i="187" s="1"/>
  <c r="B15" i="50"/>
  <c r="B18" i="50" s="1"/>
  <c r="B20" i="50" s="1"/>
  <c r="C9" i="50" s="1"/>
  <c r="C18" i="50" s="1"/>
  <c r="C20" i="50" s="1"/>
  <c r="D9" i="50" s="1"/>
  <c r="D18" i="50" s="1"/>
  <c r="D20" i="50" s="1"/>
  <c r="E9" i="50" s="1"/>
  <c r="E18" i="50" s="1"/>
  <c r="E20" i="50" s="1"/>
  <c r="F9" i="50" s="1"/>
  <c r="F18" i="50" s="1"/>
  <c r="F20" i="50" s="1"/>
  <c r="G9" i="50" s="1"/>
  <c r="G18" i="50" s="1"/>
  <c r="G20" i="50" s="1"/>
  <c r="H9" i="50" s="1"/>
  <c r="H18" i="50" s="1"/>
  <c r="H20" i="50" s="1"/>
  <c r="I9" i="50" s="1"/>
  <c r="I18" i="50" s="1"/>
  <c r="I20" i="50" s="1"/>
  <c r="J9" i="50" s="1"/>
  <c r="J18" i="50" s="1"/>
  <c r="J20" i="50" s="1"/>
  <c r="K9" i="50" s="1"/>
  <c r="K18" i="50" s="1"/>
  <c r="K20" i="50" s="1"/>
  <c r="L9" i="50" s="1"/>
  <c r="L18" i="50" s="1"/>
  <c r="L20" i="50" s="1"/>
  <c r="M9" i="50" s="1"/>
  <c r="M18" i="50" s="1"/>
  <c r="M20" i="50" s="1"/>
  <c r="C15" i="50"/>
  <c r="B35" i="50"/>
  <c r="B37" i="50" s="1"/>
  <c r="C26" i="50" s="1"/>
  <c r="C35" i="50"/>
  <c r="C37" i="50" s="1"/>
  <c r="D26" i="50" s="1"/>
  <c r="D35" i="50" s="1"/>
  <c r="D37" i="50" s="1"/>
  <c r="E26" i="50" s="1"/>
  <c r="E35" i="50" s="1"/>
  <c r="E37" i="50" s="1"/>
  <c r="F26" i="50" s="1"/>
  <c r="F35" i="50" s="1"/>
  <c r="F37" i="50" s="1"/>
  <c r="G26" i="50" s="1"/>
  <c r="G35" i="50" s="1"/>
  <c r="G37" i="50" s="1"/>
  <c r="H26" i="50" s="1"/>
  <c r="H35" i="50" s="1"/>
  <c r="H37" i="50" s="1"/>
  <c r="I26" i="50" s="1"/>
  <c r="I35" i="50" s="1"/>
  <c r="I37" i="50" s="1"/>
  <c r="J26" i="50" s="1"/>
  <c r="J35" i="50" s="1"/>
  <c r="J37" i="50" s="1"/>
  <c r="K26" i="50" s="1"/>
  <c r="K35" i="50" s="1"/>
  <c r="K37" i="50" s="1"/>
  <c r="L26" i="50" s="1"/>
  <c r="L35" i="50" s="1"/>
  <c r="L37" i="50" s="1"/>
  <c r="M26" i="50" s="1"/>
  <c r="M35" i="50" s="1"/>
  <c r="M37" i="50" s="1"/>
  <c r="G4" i="221"/>
  <c r="G13" i="221" s="1"/>
  <c r="G15" i="221" s="1"/>
  <c r="H4" i="221" s="1"/>
  <c r="H13" i="221" s="1"/>
  <c r="H15" i="221" s="1"/>
  <c r="I4" i="221" s="1"/>
  <c r="I13" i="221" s="1"/>
  <c r="I15" i="221" s="1"/>
  <c r="J4" i="221" s="1"/>
  <c r="J13" i="221" s="1"/>
  <c r="J15" i="221" s="1"/>
  <c r="K4" i="221" s="1"/>
  <c r="K13" i="221" s="1"/>
  <c r="K15" i="221" s="1"/>
  <c r="L4" i="221" s="1"/>
  <c r="L13" i="221" s="1"/>
  <c r="L15" i="221" s="1"/>
  <c r="M4" i="221" s="1"/>
  <c r="M13" i="221" s="1"/>
  <c r="M15" i="221" s="1"/>
  <c r="B13" i="221"/>
  <c r="B15" i="221" s="1"/>
  <c r="C4" i="221" s="1"/>
  <c r="C13" i="221" s="1"/>
  <c r="C15" i="221" s="1"/>
  <c r="D4" i="221" s="1"/>
  <c r="D13" i="221" s="1"/>
  <c r="D15" i="221" s="1"/>
  <c r="E4" i="221" s="1"/>
  <c r="E13" i="221" s="1"/>
  <c r="E15" i="221" s="1"/>
  <c r="F4" i="221" s="1"/>
  <c r="F13" i="221" s="1"/>
  <c r="F15" i="221" s="1"/>
  <c r="C20" i="221"/>
  <c r="C29" i="221" s="1"/>
  <c r="C31" i="221" s="1"/>
  <c r="D20" i="221" s="1"/>
  <c r="D29" i="221" s="1"/>
  <c r="D31" i="221" s="1"/>
  <c r="E20" i="221" s="1"/>
  <c r="E29" i="221" s="1"/>
  <c r="E31" i="221" s="1"/>
  <c r="F20" i="221" s="1"/>
  <c r="F29" i="221" s="1"/>
  <c r="F31" i="221" s="1"/>
  <c r="G20" i="221" s="1"/>
  <c r="G29" i="221" s="1"/>
  <c r="G31" i="221" s="1"/>
  <c r="H20" i="221" s="1"/>
  <c r="H29" i="221" s="1"/>
  <c r="H31" i="221" s="1"/>
  <c r="I20" i="221" s="1"/>
  <c r="I29" i="221" s="1"/>
  <c r="I31" i="221" s="1"/>
  <c r="J20" i="221" s="1"/>
  <c r="J29" i="221" s="1"/>
  <c r="J31" i="221" s="1"/>
  <c r="K20" i="221" s="1"/>
  <c r="K29" i="221" s="1"/>
  <c r="K31" i="221" s="1"/>
  <c r="L20" i="221" s="1"/>
  <c r="L29" i="221" s="1"/>
  <c r="L31" i="221" s="1"/>
  <c r="M20" i="221" s="1"/>
  <c r="M29" i="221" s="1"/>
  <c r="M31" i="221" s="1"/>
  <c r="B29" i="221"/>
  <c r="B31" i="221" s="1"/>
  <c r="B14" i="123"/>
  <c r="C14" i="123"/>
  <c r="C16" i="123" s="1"/>
  <c r="D5" i="123" s="1"/>
  <c r="D14" i="123" s="1"/>
  <c r="D16" i="123" s="1"/>
  <c r="E5" i="123" s="1"/>
  <c r="E14" i="123"/>
  <c r="E16" i="123" s="1"/>
  <c r="F5" i="123" s="1"/>
  <c r="F14" i="123" s="1"/>
  <c r="F16" i="123" s="1"/>
  <c r="G5" i="123" s="1"/>
  <c r="G14" i="123" s="1"/>
  <c r="G16" i="123" s="1"/>
  <c r="H5" i="123" s="1"/>
  <c r="H14" i="123" s="1"/>
  <c r="H16" i="123" s="1"/>
  <c r="I5" i="123" s="1"/>
  <c r="I14" i="123" s="1"/>
  <c r="I16" i="123" s="1"/>
  <c r="J5" i="123" s="1"/>
  <c r="J14" i="123" s="1"/>
  <c r="J16" i="123" s="1"/>
  <c r="K5" i="123" s="1"/>
  <c r="K14" i="123" s="1"/>
  <c r="K16" i="123" s="1"/>
  <c r="L5" i="123" s="1"/>
  <c r="L14" i="123" s="1"/>
  <c r="L16" i="123" s="1"/>
  <c r="M5" i="123" s="1"/>
  <c r="M14" i="123" s="1"/>
  <c r="M16" i="123" s="1"/>
  <c r="B16" i="123"/>
  <c r="B31" i="123"/>
  <c r="B33" i="123" s="1"/>
  <c r="C22" i="123" s="1"/>
  <c r="C31" i="123" s="1"/>
  <c r="C33" i="123" s="1"/>
  <c r="D22" i="123" s="1"/>
  <c r="D31" i="123" s="1"/>
  <c r="D33" i="123" s="1"/>
  <c r="E22" i="123" s="1"/>
  <c r="E31" i="123" s="1"/>
  <c r="E33" i="123" s="1"/>
  <c r="F22" i="123" s="1"/>
  <c r="F31" i="123" s="1"/>
  <c r="F33" i="123" s="1"/>
  <c r="G22" i="123" s="1"/>
  <c r="G31" i="123" s="1"/>
  <c r="G33" i="123" s="1"/>
  <c r="H22" i="123" s="1"/>
  <c r="H31" i="123" s="1"/>
  <c r="H33" i="123" s="1"/>
  <c r="I22" i="123" s="1"/>
  <c r="I31" i="123" s="1"/>
  <c r="I33" i="123" s="1"/>
  <c r="J22" i="123" s="1"/>
  <c r="J31" i="123" s="1"/>
  <c r="J33" i="123" s="1"/>
  <c r="K22" i="123" s="1"/>
  <c r="K31" i="123" s="1"/>
  <c r="K33" i="123" s="1"/>
  <c r="L22" i="123" s="1"/>
  <c r="L31" i="123" s="1"/>
  <c r="L33" i="123" s="1"/>
  <c r="M22" i="123" s="1"/>
  <c r="M31" i="123" s="1"/>
  <c r="M33" i="123" s="1"/>
  <c r="B15" i="153"/>
  <c r="B17" i="153" s="1"/>
  <c r="C6" i="153" s="1"/>
  <c r="C15" i="153" s="1"/>
  <c r="C17" i="153" s="1"/>
  <c r="D6" i="153" s="1"/>
  <c r="D15" i="153" s="1"/>
  <c r="D17" i="153" s="1"/>
  <c r="E6" i="153" s="1"/>
  <c r="E15" i="153" s="1"/>
  <c r="E17" i="153" s="1"/>
  <c r="F6" i="153" s="1"/>
  <c r="F15" i="153" s="1"/>
  <c r="F17" i="153" s="1"/>
  <c r="G6" i="153" s="1"/>
  <c r="G15" i="153" s="1"/>
  <c r="G17" i="153" s="1"/>
  <c r="H6" i="153" s="1"/>
  <c r="H15" i="153" s="1"/>
  <c r="H17" i="153" s="1"/>
  <c r="I6" i="153" s="1"/>
  <c r="I15" i="153" s="1"/>
  <c r="I17" i="153" s="1"/>
  <c r="J6" i="153" s="1"/>
  <c r="J15" i="153" s="1"/>
  <c r="J17" i="153" s="1"/>
  <c r="K6" i="153" s="1"/>
  <c r="K15" i="153" s="1"/>
  <c r="K17" i="153" s="1"/>
  <c r="L6" i="153" s="1"/>
  <c r="L15" i="153" s="1"/>
  <c r="L17" i="153" s="1"/>
  <c r="M6" i="153" s="1"/>
  <c r="M15" i="153" s="1"/>
  <c r="M17" i="153" s="1"/>
  <c r="B33" i="153"/>
  <c r="B35" i="153" s="1"/>
  <c r="C24" i="153" s="1"/>
  <c r="C33" i="153" s="1"/>
  <c r="C35" i="153" s="1"/>
  <c r="D24" i="153" s="1"/>
  <c r="D33" i="153" s="1"/>
  <c r="D35" i="153" s="1"/>
  <c r="E24" i="153" s="1"/>
  <c r="E33" i="153" s="1"/>
  <c r="E35" i="153" s="1"/>
  <c r="F24" i="153" s="1"/>
  <c r="F33" i="153" s="1"/>
  <c r="F35" i="153" s="1"/>
  <c r="G24" i="153" s="1"/>
  <c r="G33" i="153" s="1"/>
  <c r="G35" i="153" s="1"/>
  <c r="H24" i="153" s="1"/>
  <c r="H33" i="153" s="1"/>
  <c r="H35" i="153" s="1"/>
  <c r="I24" i="153" s="1"/>
  <c r="I33" i="153" s="1"/>
  <c r="I35" i="153" s="1"/>
  <c r="J24" i="153" s="1"/>
  <c r="J33" i="153" s="1"/>
  <c r="J35" i="153" s="1"/>
  <c r="K24" i="153" s="1"/>
  <c r="K33" i="153" s="1"/>
  <c r="K35" i="153" s="1"/>
  <c r="L24" i="153" s="1"/>
  <c r="L33" i="153" s="1"/>
  <c r="L35" i="153" s="1"/>
  <c r="M24" i="153" s="1"/>
  <c r="M33" i="153" s="1"/>
  <c r="M35" i="153" s="1"/>
  <c r="B15" i="57"/>
  <c r="B17" i="57"/>
  <c r="C6" i="57" s="1"/>
  <c r="C15" i="57" s="1"/>
  <c r="C17" i="57" s="1"/>
  <c r="D6" i="57" s="1"/>
  <c r="D15" i="57" s="1"/>
  <c r="D17" i="57" s="1"/>
  <c r="E6" i="57" s="1"/>
  <c r="E15" i="57" s="1"/>
  <c r="E17" i="57" s="1"/>
  <c r="F6" i="57" s="1"/>
  <c r="F15" i="57" s="1"/>
  <c r="F17" i="57" s="1"/>
  <c r="G6" i="57" s="1"/>
  <c r="G15" i="57" s="1"/>
  <c r="G17" i="57" s="1"/>
  <c r="H6" i="57" s="1"/>
  <c r="H15" i="57" s="1"/>
  <c r="H17" i="57" s="1"/>
  <c r="I6" i="57" s="1"/>
  <c r="I15" i="57" s="1"/>
  <c r="I17" i="57" s="1"/>
  <c r="J6" i="57" s="1"/>
  <c r="J15" i="57" s="1"/>
  <c r="J17" i="57" s="1"/>
  <c r="K6" i="57" s="1"/>
  <c r="K15" i="57" s="1"/>
  <c r="K17" i="57" s="1"/>
  <c r="L6" i="57" s="1"/>
  <c r="L15" i="57" s="1"/>
  <c r="L17" i="57" s="1"/>
  <c r="M6" i="57" s="1"/>
  <c r="M15" i="57" s="1"/>
  <c r="M17" i="57" s="1"/>
  <c r="B31" i="57"/>
  <c r="B33" i="57" s="1"/>
  <c r="C22" i="57" s="1"/>
  <c r="C31" i="57" s="1"/>
  <c r="C33" i="57" s="1"/>
  <c r="D22" i="57" s="1"/>
  <c r="D31" i="57" s="1"/>
  <c r="D33" i="57" s="1"/>
  <c r="E22" i="57" s="1"/>
  <c r="E31" i="57" s="1"/>
  <c r="E33" i="57" s="1"/>
  <c r="F22" i="57" s="1"/>
  <c r="F31" i="57" s="1"/>
  <c r="F33" i="57" s="1"/>
  <c r="G22" i="57" s="1"/>
  <c r="G31" i="57" s="1"/>
  <c r="G33" i="57" s="1"/>
  <c r="H22" i="57" s="1"/>
  <c r="H31" i="57" s="1"/>
  <c r="H33" i="57" s="1"/>
  <c r="I22" i="57" s="1"/>
  <c r="I31" i="57" s="1"/>
  <c r="I33" i="57" s="1"/>
  <c r="J22" i="57" s="1"/>
  <c r="J31" i="57" s="1"/>
  <c r="J33" i="57" s="1"/>
  <c r="K22" i="57" s="1"/>
  <c r="K31" i="57" s="1"/>
  <c r="K33" i="57" s="1"/>
  <c r="L22" i="57" s="1"/>
  <c r="L31" i="57" s="1"/>
  <c r="L33" i="57" s="1"/>
  <c r="M22" i="57" s="1"/>
  <c r="M31" i="57" s="1"/>
  <c r="M33" i="57" s="1"/>
  <c r="C38" i="57"/>
  <c r="C40" i="57"/>
  <c r="B13" i="224"/>
  <c r="B15" i="224" s="1"/>
  <c r="C4" i="224" s="1"/>
  <c r="C13" i="224" s="1"/>
  <c r="C15" i="224" s="1"/>
  <c r="D4" i="224" s="1"/>
  <c r="D13" i="224" s="1"/>
  <c r="D15" i="224" s="1"/>
  <c r="E4" i="224" s="1"/>
  <c r="E13" i="224" s="1"/>
  <c r="E15" i="224" s="1"/>
  <c r="F4" i="224" s="1"/>
  <c r="F13" i="224" s="1"/>
  <c r="F15" i="224" s="1"/>
  <c r="G4" i="224" s="1"/>
  <c r="G13" i="224" s="1"/>
  <c r="G15" i="224" s="1"/>
  <c r="H4" i="224" s="1"/>
  <c r="H13" i="224" s="1"/>
  <c r="H15" i="224" s="1"/>
  <c r="I4" i="224" s="1"/>
  <c r="I13" i="224" s="1"/>
  <c r="I15" i="224" s="1"/>
  <c r="J4" i="224" s="1"/>
  <c r="J13" i="224" s="1"/>
  <c r="J15" i="224" s="1"/>
  <c r="K4" i="224" s="1"/>
  <c r="K13" i="224" s="1"/>
  <c r="K15" i="224" s="1"/>
  <c r="L4" i="224" s="1"/>
  <c r="L13" i="224" s="1"/>
  <c r="L15" i="224" s="1"/>
  <c r="M4" i="224" s="1"/>
  <c r="M13" i="224" s="1"/>
  <c r="M15" i="224" s="1"/>
  <c r="F9" i="60"/>
  <c r="E14" i="60"/>
  <c r="P14" i="60"/>
  <c r="P16" i="60" s="1"/>
  <c r="E16" i="60"/>
  <c r="F5" i="60" s="1"/>
  <c r="F14" i="60" s="1"/>
  <c r="F16" i="60" s="1"/>
  <c r="G5" i="60" s="1"/>
  <c r="G14" i="60" s="1"/>
  <c r="G16" i="60" s="1"/>
  <c r="H5" i="60" s="1"/>
  <c r="H14" i="60" s="1"/>
  <c r="H16" i="60" s="1"/>
  <c r="I5" i="60" s="1"/>
  <c r="I14" i="60" s="1"/>
  <c r="I16" i="60" s="1"/>
  <c r="J5" i="60" s="1"/>
  <c r="J14" i="60" s="1"/>
  <c r="J16" i="60" s="1"/>
  <c r="K5" i="60" s="1"/>
  <c r="K14" i="60" s="1"/>
  <c r="K16" i="60" s="1"/>
  <c r="L5" i="60" s="1"/>
  <c r="L14" i="60" s="1"/>
  <c r="L16" i="60" s="1"/>
  <c r="M5" i="60" s="1"/>
  <c r="M14" i="60" s="1"/>
  <c r="M16" i="60" s="1"/>
  <c r="N5" i="60" s="1"/>
  <c r="N14" i="60" s="1"/>
  <c r="N16" i="60" s="1"/>
  <c r="O5" i="60" s="1"/>
  <c r="O14" i="60" s="1"/>
  <c r="O16" i="60" s="1"/>
  <c r="E30" i="60"/>
  <c r="E32" i="60" s="1"/>
  <c r="F21" i="60" s="1"/>
  <c r="F30" i="60" s="1"/>
  <c r="F32" i="60" s="1"/>
  <c r="G21" i="60" s="1"/>
  <c r="G30" i="60" s="1"/>
  <c r="G32" i="60" s="1"/>
  <c r="H21" i="60" s="1"/>
  <c r="H30" i="60" s="1"/>
  <c r="H32" i="60" s="1"/>
  <c r="I21" i="60" s="1"/>
  <c r="I30" i="60" s="1"/>
  <c r="I32" i="60" s="1"/>
  <c r="J21" i="60" s="1"/>
  <c r="J30" i="60" s="1"/>
  <c r="J32" i="60" s="1"/>
  <c r="K21" i="60" s="1"/>
  <c r="K30" i="60" s="1"/>
  <c r="K32" i="60" s="1"/>
  <c r="L21" i="60" s="1"/>
  <c r="L30" i="60" s="1"/>
  <c r="L32" i="60" s="1"/>
  <c r="M21" i="60" s="1"/>
  <c r="M30" i="60" s="1"/>
  <c r="M32" i="60" s="1"/>
  <c r="N21" i="60" s="1"/>
  <c r="N30" i="60" s="1"/>
  <c r="N32" i="60" s="1"/>
  <c r="O21" i="60" s="1"/>
  <c r="O30" i="60" s="1"/>
  <c r="O32" i="60" s="1"/>
  <c r="P21" i="60" s="1"/>
  <c r="P30" i="60" s="1"/>
  <c r="P32" i="60" s="1"/>
  <c r="B16" i="78"/>
  <c r="B18" i="78"/>
  <c r="C7" i="78" s="1"/>
  <c r="C16" i="78" s="1"/>
  <c r="C18" i="78" s="1"/>
  <c r="D7" i="78" s="1"/>
  <c r="D16" i="78" s="1"/>
  <c r="D18" i="78" s="1"/>
  <c r="E7" i="78" s="1"/>
  <c r="E16" i="78" s="1"/>
  <c r="E18" i="78" s="1"/>
  <c r="F7" i="78" s="1"/>
  <c r="F16" i="78" s="1"/>
  <c r="F18" i="78" s="1"/>
  <c r="G7" i="78" s="1"/>
  <c r="G16" i="78" s="1"/>
  <c r="G18" i="78" s="1"/>
  <c r="H7" i="78" s="1"/>
  <c r="H16" i="78" s="1"/>
  <c r="H18" i="78" s="1"/>
  <c r="I7" i="78" s="1"/>
  <c r="I16" i="78" s="1"/>
  <c r="I18" i="78" s="1"/>
  <c r="J7" i="78" s="1"/>
  <c r="J16" i="78" s="1"/>
  <c r="J18" i="78" s="1"/>
  <c r="K7" i="78" s="1"/>
  <c r="K16" i="78" s="1"/>
  <c r="K18" i="78" s="1"/>
  <c r="L7" i="78" s="1"/>
  <c r="L16" i="78" s="1"/>
  <c r="L18" i="78" s="1"/>
  <c r="M7" i="78" s="1"/>
  <c r="M16" i="78" s="1"/>
  <c r="M18" i="78" s="1"/>
  <c r="F24" i="78"/>
  <c r="F33" i="78" s="1"/>
  <c r="F35" i="78" s="1"/>
  <c r="G24" i="78" s="1"/>
  <c r="G33" i="78" s="1"/>
  <c r="G35" i="78" s="1"/>
  <c r="H24" i="78" s="1"/>
  <c r="H33" i="78" s="1"/>
  <c r="H35" i="78" s="1"/>
  <c r="I24" i="78" s="1"/>
  <c r="I33" i="78" s="1"/>
  <c r="I35" i="78" s="1"/>
  <c r="J24" i="78" s="1"/>
  <c r="J33" i="78" s="1"/>
  <c r="J35" i="78" s="1"/>
  <c r="K24" i="78" s="1"/>
  <c r="K33" i="78" s="1"/>
  <c r="K35" i="78" s="1"/>
  <c r="L24" i="78" s="1"/>
  <c r="L33" i="78" s="1"/>
  <c r="L35" i="78" s="1"/>
  <c r="M24" i="78" s="1"/>
  <c r="M33" i="78" s="1"/>
  <c r="M35" i="78" s="1"/>
  <c r="O29" i="78"/>
  <c r="B33" i="78"/>
  <c r="B35" i="78" s="1"/>
  <c r="C24" i="78" s="1"/>
  <c r="C33" i="78" s="1"/>
  <c r="C35" i="78" s="1"/>
  <c r="D24" i="78" s="1"/>
  <c r="D33" i="78" s="1"/>
  <c r="D35" i="78" s="1"/>
  <c r="E24" i="78" s="1"/>
  <c r="E33" i="78" s="1"/>
  <c r="E35" i="78" s="1"/>
  <c r="B49" i="78"/>
  <c r="B51" i="78"/>
  <c r="C40" i="78" s="1"/>
  <c r="C49" i="78" s="1"/>
  <c r="C51" i="78" s="1"/>
  <c r="D40" i="78" s="1"/>
  <c r="D49" i="78" s="1"/>
  <c r="D51" i="78" s="1"/>
  <c r="E40" i="78" s="1"/>
  <c r="E49" i="78" s="1"/>
  <c r="E51" i="78" s="1"/>
  <c r="F40" i="78" s="1"/>
  <c r="F49" i="78" s="1"/>
  <c r="F51" i="78" s="1"/>
  <c r="G40" i="78" s="1"/>
  <c r="G49" i="78" s="1"/>
  <c r="G51" i="78" s="1"/>
  <c r="H40" i="78" s="1"/>
  <c r="H49" i="78" s="1"/>
  <c r="H51" i="78" s="1"/>
  <c r="I40" i="78" s="1"/>
  <c r="I49" i="78" s="1"/>
  <c r="I51" i="78" s="1"/>
  <c r="J40" i="78" s="1"/>
  <c r="J49" i="78" s="1"/>
  <c r="J51" i="78" s="1"/>
  <c r="K40" i="78" s="1"/>
  <c r="K49" i="78" s="1"/>
  <c r="K51" i="78" s="1"/>
  <c r="L40" i="78" s="1"/>
  <c r="L49" i="78" s="1"/>
  <c r="L51" i="78" s="1"/>
  <c r="M40" i="78" s="1"/>
  <c r="M49" i="78" s="1"/>
  <c r="M51" i="78" s="1"/>
  <c r="B65" i="78"/>
  <c r="B67" i="78" s="1"/>
  <c r="C56" i="78" s="1"/>
  <c r="C65" i="78" s="1"/>
  <c r="C67" i="78" s="1"/>
  <c r="D56" i="78" s="1"/>
  <c r="D65" i="78" s="1"/>
  <c r="D67" i="78" s="1"/>
  <c r="E56" i="78" s="1"/>
  <c r="E65" i="78" s="1"/>
  <c r="E67" i="78" s="1"/>
  <c r="F56" i="78" s="1"/>
  <c r="F65" i="78" s="1"/>
  <c r="F67" i="78" s="1"/>
  <c r="G56" i="78" s="1"/>
  <c r="G65" i="78" s="1"/>
  <c r="G67" i="78" s="1"/>
  <c r="H56" i="78" s="1"/>
  <c r="H65" i="78" s="1"/>
  <c r="H67" i="78" s="1"/>
  <c r="I56" i="78" s="1"/>
  <c r="I65" i="78" s="1"/>
  <c r="I67" i="78" s="1"/>
  <c r="J56" i="78" s="1"/>
  <c r="J65" i="78" s="1"/>
  <c r="J67" i="78" s="1"/>
  <c r="K56" i="78" s="1"/>
  <c r="K65" i="78" s="1"/>
  <c r="K67" i="78" s="1"/>
  <c r="L56" i="78" s="1"/>
  <c r="L65" i="78" s="1"/>
  <c r="L67" i="78" s="1"/>
  <c r="M56" i="78" s="1"/>
  <c r="M65" i="78" s="1"/>
  <c r="M67" i="78" s="1"/>
  <c r="B16" i="79"/>
  <c r="B18" i="79" s="1"/>
  <c r="C7" i="79" s="1"/>
  <c r="C16" i="79"/>
  <c r="C18" i="79" s="1"/>
  <c r="D7" i="79" s="1"/>
  <c r="D16" i="79" s="1"/>
  <c r="D18" i="79" s="1"/>
  <c r="E7" i="79" s="1"/>
  <c r="E16" i="79" s="1"/>
  <c r="E18" i="79" s="1"/>
  <c r="F7" i="79" s="1"/>
  <c r="F16" i="79" s="1"/>
  <c r="F18" i="79" s="1"/>
  <c r="G7" i="79" s="1"/>
  <c r="G16" i="79" s="1"/>
  <c r="G18" i="79" s="1"/>
  <c r="H7" i="79" s="1"/>
  <c r="H16" i="79" s="1"/>
  <c r="H18" i="79" s="1"/>
  <c r="I7" i="79" s="1"/>
  <c r="I16" i="79" s="1"/>
  <c r="I18" i="79" s="1"/>
  <c r="J7" i="79" s="1"/>
  <c r="J16" i="79" s="1"/>
  <c r="J18" i="79" s="1"/>
  <c r="K7" i="79" s="1"/>
  <c r="K16" i="79" s="1"/>
  <c r="K18" i="79" s="1"/>
  <c r="L7" i="79" s="1"/>
  <c r="L16" i="79" s="1"/>
  <c r="L18" i="79" s="1"/>
  <c r="M7" i="79" s="1"/>
  <c r="M16" i="79" s="1"/>
  <c r="M18" i="79" s="1"/>
  <c r="F25" i="79"/>
  <c r="B34" i="79"/>
  <c r="F34" i="79"/>
  <c r="F36" i="79" s="1"/>
  <c r="G25" i="79" s="1"/>
  <c r="G34" i="79" s="1"/>
  <c r="G36" i="79" s="1"/>
  <c r="H25" i="79" s="1"/>
  <c r="H34" i="79"/>
  <c r="H36" i="79" s="1"/>
  <c r="I25" i="79" s="1"/>
  <c r="I34" i="79" s="1"/>
  <c r="I36" i="79" s="1"/>
  <c r="J25" i="79" s="1"/>
  <c r="J34" i="79" s="1"/>
  <c r="J36" i="79" s="1"/>
  <c r="K25" i="79" s="1"/>
  <c r="K34" i="79" s="1"/>
  <c r="K36" i="79" s="1"/>
  <c r="L25" i="79" s="1"/>
  <c r="L34" i="79" s="1"/>
  <c r="L36" i="79" s="1"/>
  <c r="M25" i="79" s="1"/>
  <c r="M34" i="79" s="1"/>
  <c r="M36" i="79" s="1"/>
  <c r="B36" i="79"/>
  <c r="C25" i="79" s="1"/>
  <c r="C34" i="79" s="1"/>
  <c r="C36" i="79" s="1"/>
  <c r="D25" i="79" s="1"/>
  <c r="D34" i="79" s="1"/>
  <c r="D36" i="79" s="1"/>
  <c r="E25" i="79" s="1"/>
  <c r="E34" i="79" s="1"/>
  <c r="C14" i="203"/>
  <c r="C16" i="203" s="1"/>
  <c r="D5" i="203" s="1"/>
  <c r="D14" i="203" s="1"/>
  <c r="D16" i="203" s="1"/>
  <c r="E5" i="203" s="1"/>
  <c r="E14" i="203" s="1"/>
  <c r="E16" i="203" s="1"/>
  <c r="F5" i="203" s="1"/>
  <c r="F14" i="203" s="1"/>
  <c r="F16" i="203" s="1"/>
  <c r="G5" i="203" s="1"/>
  <c r="G14" i="203" s="1"/>
  <c r="G16" i="203" s="1"/>
  <c r="H5" i="203" s="1"/>
  <c r="H14" i="203"/>
  <c r="H16" i="203" s="1"/>
  <c r="I5" i="203" s="1"/>
  <c r="I14" i="203" s="1"/>
  <c r="I16" i="203" s="1"/>
  <c r="J5" i="203" s="1"/>
  <c r="J14" i="203" s="1"/>
  <c r="J16" i="203" s="1"/>
  <c r="K5" i="203" s="1"/>
  <c r="K14" i="203" s="1"/>
  <c r="K16" i="203" s="1"/>
  <c r="L5" i="203" s="1"/>
  <c r="L14" i="203" s="1"/>
  <c r="L16" i="203" s="1"/>
  <c r="M5" i="203" s="1"/>
  <c r="M14" i="203" s="1"/>
  <c r="M16" i="203" s="1"/>
  <c r="N5" i="203" s="1"/>
  <c r="N14" i="203" s="1"/>
  <c r="N16" i="203" s="1"/>
  <c r="C32" i="203"/>
  <c r="D21" i="203"/>
  <c r="D30" i="203" s="1"/>
  <c r="D32" i="203" s="1"/>
  <c r="E21" i="203" s="1"/>
  <c r="E30" i="203" s="1"/>
  <c r="E32" i="203" s="1"/>
  <c r="F21" i="203" s="1"/>
  <c r="F30" i="203" s="1"/>
  <c r="F32" i="203" s="1"/>
  <c r="G21" i="203" s="1"/>
  <c r="G30" i="203" s="1"/>
  <c r="G32" i="203" s="1"/>
  <c r="H21" i="203" s="1"/>
  <c r="H30" i="203" s="1"/>
  <c r="H32" i="203" s="1"/>
  <c r="I21" i="203" s="1"/>
  <c r="I30" i="203" s="1"/>
  <c r="I32" i="203" s="1"/>
  <c r="J21" i="203" s="1"/>
  <c r="J30" i="203" s="1"/>
  <c r="J32" i="203" s="1"/>
  <c r="K21" i="203" s="1"/>
  <c r="K30" i="203" s="1"/>
  <c r="K32" i="203" s="1"/>
  <c r="L21" i="203" s="1"/>
  <c r="L30" i="203" s="1"/>
  <c r="L32" i="203" s="1"/>
  <c r="M21" i="203" s="1"/>
  <c r="M30" i="203" s="1"/>
  <c r="M32" i="203" s="1"/>
  <c r="N21" i="203" s="1"/>
  <c r="N30" i="203" s="1"/>
  <c r="N32" i="203" s="1"/>
  <c r="B16" i="52"/>
  <c r="B18" i="52" s="1"/>
  <c r="C7" i="52" s="1"/>
  <c r="C16" i="52" s="1"/>
  <c r="C18" i="52" s="1"/>
  <c r="D7" i="52" s="1"/>
  <c r="D16" i="52" s="1"/>
  <c r="D18" i="52" s="1"/>
  <c r="E7" i="52" s="1"/>
  <c r="E16" i="52" s="1"/>
  <c r="E18" i="52" s="1"/>
  <c r="F7" i="52" s="1"/>
  <c r="F16" i="52" s="1"/>
  <c r="F18" i="52" s="1"/>
  <c r="G7" i="52" s="1"/>
  <c r="G16" i="52" s="1"/>
  <c r="G18" i="52" s="1"/>
  <c r="H7" i="52" s="1"/>
  <c r="H16" i="52" s="1"/>
  <c r="H18" i="52" s="1"/>
  <c r="I7" i="52" s="1"/>
  <c r="I16" i="52" s="1"/>
  <c r="I18" i="52" s="1"/>
  <c r="J7" i="52" s="1"/>
  <c r="J16" i="52" s="1"/>
  <c r="J18" i="52" s="1"/>
  <c r="K7" i="52" s="1"/>
  <c r="K16" i="52" s="1"/>
  <c r="K18" i="52" s="1"/>
  <c r="L7" i="52" s="1"/>
  <c r="L16" i="52" s="1"/>
  <c r="L18" i="52" s="1"/>
  <c r="M7" i="52" s="1"/>
  <c r="M16" i="52" s="1"/>
  <c r="M18" i="52" s="1"/>
  <c r="B34" i="52"/>
  <c r="B36" i="52"/>
  <c r="C25" i="52" s="1"/>
  <c r="C34" i="52" s="1"/>
  <c r="C36" i="52" s="1"/>
  <c r="D25" i="52" s="1"/>
  <c r="D34" i="52" s="1"/>
  <c r="D36" i="52" s="1"/>
  <c r="E25" i="52" s="1"/>
  <c r="E34" i="52" s="1"/>
  <c r="E36" i="52" s="1"/>
  <c r="F25" i="52" s="1"/>
  <c r="F34" i="52" s="1"/>
  <c r="F36" i="52" s="1"/>
  <c r="G25" i="52" s="1"/>
  <c r="G34" i="52" s="1"/>
  <c r="G36" i="52" s="1"/>
  <c r="H25" i="52" s="1"/>
  <c r="H34" i="52" s="1"/>
  <c r="H36" i="52" s="1"/>
  <c r="I25" i="52" s="1"/>
  <c r="I34" i="52" s="1"/>
  <c r="I36" i="52" s="1"/>
  <c r="J25" i="52" s="1"/>
  <c r="J34" i="52" s="1"/>
  <c r="J36" i="52" s="1"/>
  <c r="K25" i="52" s="1"/>
  <c r="K34" i="52" s="1"/>
  <c r="K36" i="52" s="1"/>
  <c r="L25" i="52" s="1"/>
  <c r="L34" i="52" s="1"/>
  <c r="L36" i="52" s="1"/>
  <c r="M25" i="52" s="1"/>
  <c r="M34" i="52" s="1"/>
  <c r="M36" i="52" s="1"/>
  <c r="B53" i="52"/>
  <c r="B55" i="52" s="1"/>
  <c r="C44" i="52" s="1"/>
  <c r="C53" i="52"/>
  <c r="C55" i="52" s="1"/>
  <c r="D44" i="52" s="1"/>
  <c r="D53" i="52" s="1"/>
  <c r="D55" i="52" s="1"/>
  <c r="E44" i="52" s="1"/>
  <c r="E53" i="52" s="1"/>
  <c r="E55" i="52" s="1"/>
  <c r="F44" i="52" s="1"/>
  <c r="F53" i="52" s="1"/>
  <c r="F55" i="52" s="1"/>
  <c r="G44" i="52" s="1"/>
  <c r="G53" i="52" s="1"/>
  <c r="G55" i="52" s="1"/>
  <c r="H44" i="52" s="1"/>
  <c r="H53" i="52" s="1"/>
  <c r="H55" i="52" s="1"/>
  <c r="I44" i="52" s="1"/>
  <c r="I53" i="52" s="1"/>
  <c r="I55" i="52" s="1"/>
  <c r="J44" i="52" s="1"/>
  <c r="J53" i="52" s="1"/>
  <c r="J55" i="52" s="1"/>
  <c r="K44" i="52" s="1"/>
  <c r="K53" i="52" s="1"/>
  <c r="K55" i="52" s="1"/>
  <c r="L44" i="52" s="1"/>
  <c r="L53" i="52" s="1"/>
  <c r="L55" i="52" s="1"/>
  <c r="M44" i="52" s="1"/>
  <c r="M53" i="52" s="1"/>
  <c r="M55" i="52" s="1"/>
  <c r="B70" i="52"/>
  <c r="B72" i="52" s="1"/>
  <c r="C61" i="52" s="1"/>
  <c r="C70" i="52" s="1"/>
  <c r="C72" i="52" s="1"/>
  <c r="D61" i="52" s="1"/>
  <c r="D70" i="52" s="1"/>
  <c r="D72" i="52" s="1"/>
  <c r="E61" i="52" s="1"/>
  <c r="E70" i="52" s="1"/>
  <c r="E72" i="52" s="1"/>
  <c r="F61" i="52" s="1"/>
  <c r="F70" i="52" s="1"/>
  <c r="F72" i="52" s="1"/>
  <c r="G61" i="52" s="1"/>
  <c r="G70" i="52" s="1"/>
  <c r="G72" i="52" s="1"/>
  <c r="H61" i="52" s="1"/>
  <c r="H70" i="52" s="1"/>
  <c r="H72" i="52" s="1"/>
  <c r="I61" i="52" s="1"/>
  <c r="I70" i="52" s="1"/>
  <c r="I72" i="52" s="1"/>
  <c r="J61" i="52" s="1"/>
  <c r="J70" i="52" s="1"/>
  <c r="J72" i="52" s="1"/>
  <c r="K61" i="52" s="1"/>
  <c r="K70" i="52" s="1"/>
  <c r="K72" i="52" s="1"/>
  <c r="L61" i="52" s="1"/>
  <c r="L70" i="52" s="1"/>
  <c r="L72" i="52" s="1"/>
  <c r="M61" i="52" s="1"/>
  <c r="M70" i="52" s="1"/>
  <c r="M72" i="52" s="1"/>
  <c r="B17" i="53"/>
  <c r="B19" i="53" s="1"/>
  <c r="C8" i="53" s="1"/>
  <c r="C17" i="53" s="1"/>
  <c r="C19" i="53" s="1"/>
  <c r="D8" i="53" s="1"/>
  <c r="D17" i="53" s="1"/>
  <c r="D19" i="53" s="1"/>
  <c r="E8" i="53" s="1"/>
  <c r="E17" i="53" s="1"/>
  <c r="E19" i="53" s="1"/>
  <c r="F8" i="53" s="1"/>
  <c r="F17" i="53" s="1"/>
  <c r="F19" i="53" s="1"/>
  <c r="G8" i="53" s="1"/>
  <c r="G17" i="53" s="1"/>
  <c r="G19" i="53" s="1"/>
  <c r="H8" i="53" s="1"/>
  <c r="H17" i="53" s="1"/>
  <c r="H19" i="53" s="1"/>
  <c r="I8" i="53" s="1"/>
  <c r="I17" i="53" s="1"/>
  <c r="I19" i="53" s="1"/>
  <c r="J8" i="53" s="1"/>
  <c r="J17" i="53" s="1"/>
  <c r="J19" i="53" s="1"/>
  <c r="K8" i="53" s="1"/>
  <c r="K17" i="53" s="1"/>
  <c r="K19" i="53" s="1"/>
  <c r="L8" i="53" s="1"/>
  <c r="L17" i="53" s="1"/>
  <c r="L19" i="53" s="1"/>
  <c r="M8" i="53" s="1"/>
  <c r="M17" i="53" s="1"/>
  <c r="M19" i="53" s="1"/>
  <c r="B34" i="53"/>
  <c r="B36" i="53" s="1"/>
  <c r="C25" i="53" s="1"/>
  <c r="C34" i="53" s="1"/>
  <c r="C36" i="53" s="1"/>
  <c r="D25" i="53" s="1"/>
  <c r="D34" i="53" s="1"/>
  <c r="D36" i="53" s="1"/>
  <c r="E25" i="53" s="1"/>
  <c r="E34" i="53" s="1"/>
  <c r="E36" i="53" s="1"/>
  <c r="F25" i="53" s="1"/>
  <c r="F34" i="53" s="1"/>
  <c r="F36" i="53" s="1"/>
  <c r="G25" i="53" s="1"/>
  <c r="G34" i="53" s="1"/>
  <c r="G36" i="53" s="1"/>
  <c r="H25" i="53" s="1"/>
  <c r="H34" i="53" s="1"/>
  <c r="H36" i="53" s="1"/>
  <c r="I25" i="53" s="1"/>
  <c r="I34" i="53" s="1"/>
  <c r="I36" i="53" s="1"/>
  <c r="J25" i="53" s="1"/>
  <c r="J34" i="53" s="1"/>
  <c r="J36" i="53" s="1"/>
  <c r="K25" i="53" s="1"/>
  <c r="K34" i="53" s="1"/>
  <c r="K36" i="53" s="1"/>
  <c r="L25" i="53" s="1"/>
  <c r="L34" i="53" s="1"/>
  <c r="L36" i="53" s="1"/>
  <c r="M25" i="53" s="1"/>
  <c r="M34" i="53" s="1"/>
  <c r="M36" i="53" s="1"/>
  <c r="B52" i="53"/>
  <c r="B54" i="53" s="1"/>
  <c r="C43" i="53" s="1"/>
  <c r="C52" i="53" s="1"/>
  <c r="C54" i="53" s="1"/>
  <c r="D43" i="53" s="1"/>
  <c r="D52" i="53" s="1"/>
  <c r="D54" i="53" s="1"/>
  <c r="E43" i="53" s="1"/>
  <c r="E52" i="53" s="1"/>
  <c r="E54" i="53" s="1"/>
  <c r="F43" i="53" s="1"/>
  <c r="F52" i="53" s="1"/>
  <c r="F54" i="53" s="1"/>
  <c r="G43" i="53" s="1"/>
  <c r="G52" i="53" s="1"/>
  <c r="G54" i="53" s="1"/>
  <c r="H43" i="53" s="1"/>
  <c r="H52" i="53" s="1"/>
  <c r="H54" i="53" s="1"/>
  <c r="I43" i="53" s="1"/>
  <c r="I52" i="53" s="1"/>
  <c r="I54" i="53" s="1"/>
  <c r="J43" i="53" s="1"/>
  <c r="J52" i="53" s="1"/>
  <c r="J54" i="53" s="1"/>
  <c r="K43" i="53" s="1"/>
  <c r="K52" i="53" s="1"/>
  <c r="K54" i="53" s="1"/>
  <c r="L43" i="53" s="1"/>
  <c r="L52" i="53" s="1"/>
  <c r="L54" i="53" s="1"/>
  <c r="M43" i="53" s="1"/>
  <c r="M52" i="53" s="1"/>
  <c r="M54" i="53" s="1"/>
  <c r="C17" i="118"/>
  <c r="C19" i="118" s="1"/>
  <c r="D8" i="118" s="1"/>
  <c r="D17" i="118" s="1"/>
  <c r="D19" i="118" s="1"/>
  <c r="E8" i="118" s="1"/>
  <c r="E17" i="118" s="1"/>
  <c r="E19" i="118" s="1"/>
  <c r="F8" i="118" s="1"/>
  <c r="F17" i="118" s="1"/>
  <c r="F19" i="118" s="1"/>
  <c r="G8" i="118" s="1"/>
  <c r="G17" i="118" s="1"/>
  <c r="G19" i="118" s="1"/>
  <c r="H8" i="118" s="1"/>
  <c r="H17" i="118" s="1"/>
  <c r="H19" i="118" s="1"/>
  <c r="I8" i="118" s="1"/>
  <c r="I17" i="118" s="1"/>
  <c r="I19" i="118" s="1"/>
  <c r="J8" i="118" s="1"/>
  <c r="J17" i="118" s="1"/>
  <c r="J19" i="118" s="1"/>
  <c r="K8" i="118" s="1"/>
  <c r="K17" i="118" s="1"/>
  <c r="K19" i="118" s="1"/>
  <c r="L8" i="118" s="1"/>
  <c r="L17" i="118" s="1"/>
  <c r="L19" i="118" s="1"/>
  <c r="M8" i="118" s="1"/>
  <c r="M17" i="118" s="1"/>
  <c r="M19" i="118" s="1"/>
  <c r="N8" i="118" s="1"/>
  <c r="N17" i="118" s="1"/>
  <c r="N19" i="118" s="1"/>
  <c r="F27" i="118"/>
  <c r="G27" i="118"/>
  <c r="G30" i="118"/>
  <c r="C34" i="118"/>
  <c r="C36" i="118" s="1"/>
  <c r="D25" i="118" s="1"/>
  <c r="D34" i="118" s="1"/>
  <c r="D36" i="118" s="1"/>
  <c r="E25" i="118" s="1"/>
  <c r="E34" i="118" s="1"/>
  <c r="E36" i="118" s="1"/>
  <c r="F25" i="118" s="1"/>
  <c r="F34" i="118" s="1"/>
  <c r="F36" i="118" s="1"/>
  <c r="G25" i="118" s="1"/>
  <c r="G34" i="118" s="1"/>
  <c r="G36" i="118" s="1"/>
  <c r="H25" i="118" s="1"/>
  <c r="H34" i="118" s="1"/>
  <c r="H36" i="118" s="1"/>
  <c r="I25" i="118" s="1"/>
  <c r="I34" i="118" s="1"/>
  <c r="I36" i="118" s="1"/>
  <c r="J25" i="118" s="1"/>
  <c r="J34" i="118" s="1"/>
  <c r="J36" i="118" s="1"/>
  <c r="K25" i="118" s="1"/>
  <c r="K34" i="118" s="1"/>
  <c r="K36" i="118" s="1"/>
  <c r="L25" i="118" s="1"/>
  <c r="L34" i="118" s="1"/>
  <c r="L36" i="118" s="1"/>
  <c r="M25" i="118" s="1"/>
  <c r="M34" i="118" s="1"/>
  <c r="M36" i="118" s="1"/>
  <c r="N25" i="118" s="1"/>
  <c r="N34" i="118" s="1"/>
  <c r="N36" i="118" s="1"/>
  <c r="B16" i="108"/>
  <c r="B18" i="108" s="1"/>
  <c r="C7" i="108" s="1"/>
  <c r="C16" i="108" s="1"/>
  <c r="C18" i="108" s="1"/>
  <c r="D7" i="108" s="1"/>
  <c r="D16" i="108" s="1"/>
  <c r="D18" i="108" s="1"/>
  <c r="E7" i="108" s="1"/>
  <c r="E16" i="108" s="1"/>
  <c r="E18" i="108" s="1"/>
  <c r="F7" i="108" s="1"/>
  <c r="F16" i="108" s="1"/>
  <c r="F18" i="108" s="1"/>
  <c r="G7" i="108" s="1"/>
  <c r="G16" i="108" s="1"/>
  <c r="G18" i="108" s="1"/>
  <c r="H7" i="108" s="1"/>
  <c r="H16" i="108" s="1"/>
  <c r="H18" i="108" s="1"/>
  <c r="I7" i="108" s="1"/>
  <c r="I16" i="108" s="1"/>
  <c r="I18" i="108" s="1"/>
  <c r="J7" i="108" s="1"/>
  <c r="J16" i="108" s="1"/>
  <c r="J18" i="108" s="1"/>
  <c r="K7" i="108" s="1"/>
  <c r="K16" i="108" s="1"/>
  <c r="K18" i="108" s="1"/>
  <c r="L7" i="108" s="1"/>
  <c r="L16" i="108" s="1"/>
  <c r="L18" i="108" s="1"/>
  <c r="M7" i="108" s="1"/>
  <c r="M16" i="108" s="1"/>
  <c r="M18" i="108" s="1"/>
  <c r="B33" i="108"/>
  <c r="B35" i="108" s="1"/>
  <c r="C24" i="108" s="1"/>
  <c r="C33" i="108" s="1"/>
  <c r="C35" i="108" s="1"/>
  <c r="D24" i="108" s="1"/>
  <c r="D33" i="108" s="1"/>
  <c r="D35" i="108" s="1"/>
  <c r="E24" i="108" s="1"/>
  <c r="E33" i="108" s="1"/>
  <c r="E35" i="108" s="1"/>
  <c r="F24" i="108" s="1"/>
  <c r="F33" i="108" s="1"/>
  <c r="F35" i="108" s="1"/>
  <c r="G24" i="108" s="1"/>
  <c r="G33" i="108" s="1"/>
  <c r="G35" i="108" s="1"/>
  <c r="H24" i="108" s="1"/>
  <c r="H33" i="108" s="1"/>
  <c r="H35" i="108" s="1"/>
  <c r="I24" i="108" s="1"/>
  <c r="I33" i="108" s="1"/>
  <c r="I35" i="108" s="1"/>
  <c r="J24" i="108" s="1"/>
  <c r="J33" i="108" s="1"/>
  <c r="J35" i="108" s="1"/>
  <c r="K24" i="108" s="1"/>
  <c r="K33" i="108" s="1"/>
  <c r="K35" i="108" s="1"/>
  <c r="L24" i="108" s="1"/>
  <c r="L33" i="108" s="1"/>
  <c r="L35" i="108" s="1"/>
  <c r="M24" i="108" s="1"/>
  <c r="M33" i="108" s="1"/>
  <c r="M35" i="108" s="1"/>
  <c r="I44" i="108"/>
  <c r="B47" i="108"/>
  <c r="B50" i="108" s="1"/>
  <c r="B52" i="108" s="1"/>
  <c r="C41" i="108" s="1"/>
  <c r="C50" i="108" s="1"/>
  <c r="C52" i="108" s="1"/>
  <c r="D41" i="108" s="1"/>
  <c r="D50" i="108" s="1"/>
  <c r="D52" i="108" s="1"/>
  <c r="E41" i="108" s="1"/>
  <c r="E50" i="108" s="1"/>
  <c r="E52" i="108" s="1"/>
  <c r="F41" i="108" s="1"/>
  <c r="F50" i="108" s="1"/>
  <c r="F52" i="108" s="1"/>
  <c r="G41" i="108" s="1"/>
  <c r="G50" i="108" s="1"/>
  <c r="G52" i="108" s="1"/>
  <c r="H41" i="108" s="1"/>
  <c r="H50" i="108" s="1"/>
  <c r="H52" i="108" s="1"/>
  <c r="I41" i="108" s="1"/>
  <c r="I50" i="108" s="1"/>
  <c r="I52" i="108" s="1"/>
  <c r="J41" i="108" s="1"/>
  <c r="J50" i="108" s="1"/>
  <c r="J52" i="108" s="1"/>
  <c r="K41" i="108" s="1"/>
  <c r="K50" i="108" s="1"/>
  <c r="K52" i="108" s="1"/>
  <c r="L41" i="108" s="1"/>
  <c r="L50" i="108" s="1"/>
  <c r="L52" i="108" s="1"/>
  <c r="M41" i="108" s="1"/>
  <c r="M50" i="108" s="1"/>
  <c r="M52" i="108" s="1"/>
  <c r="I47" i="108"/>
  <c r="F57" i="108"/>
  <c r="F58" i="108" s="1"/>
  <c r="F8" i="139"/>
  <c r="B15" i="139"/>
  <c r="B17" i="139" s="1"/>
  <c r="C6" i="139" s="1"/>
  <c r="C15" i="139" s="1"/>
  <c r="C17" i="139" s="1"/>
  <c r="D6" i="139" s="1"/>
  <c r="D15" i="139" s="1"/>
  <c r="D17" i="139" s="1"/>
  <c r="E6" i="139" s="1"/>
  <c r="E15" i="139" s="1"/>
  <c r="E17" i="139" s="1"/>
  <c r="F6" i="139" s="1"/>
  <c r="F15" i="139" s="1"/>
  <c r="F17" i="139" s="1"/>
  <c r="G6" i="139" s="1"/>
  <c r="G15" i="139" s="1"/>
  <c r="G17" i="139" s="1"/>
  <c r="H6" i="139" s="1"/>
  <c r="H15" i="139" s="1"/>
  <c r="H17" i="139" s="1"/>
  <c r="I6" i="139" s="1"/>
  <c r="I15" i="139" s="1"/>
  <c r="I17" i="139" s="1"/>
  <c r="J6" i="139" s="1"/>
  <c r="J15" i="139" s="1"/>
  <c r="J17" i="139" s="1"/>
  <c r="K6" i="139" s="1"/>
  <c r="K15" i="139" s="1"/>
  <c r="K17" i="139" s="1"/>
  <c r="L6" i="139" s="1"/>
  <c r="L15" i="139" s="1"/>
  <c r="L17" i="139" s="1"/>
  <c r="M6" i="139" s="1"/>
  <c r="M15" i="139" s="1"/>
  <c r="M17" i="139" s="1"/>
  <c r="B32" i="139"/>
  <c r="B34" i="139" s="1"/>
  <c r="C23" i="139" s="1"/>
  <c r="C32" i="139"/>
  <c r="C34" i="139" s="1"/>
  <c r="D23" i="139" s="1"/>
  <c r="D32" i="139" s="1"/>
  <c r="D34" i="139"/>
  <c r="E23" i="139" s="1"/>
  <c r="E32" i="139" s="1"/>
  <c r="E34" i="139" s="1"/>
  <c r="F23" i="139" s="1"/>
  <c r="F32" i="139" s="1"/>
  <c r="F34" i="139" s="1"/>
  <c r="G23" i="139" s="1"/>
  <c r="G32" i="139" s="1"/>
  <c r="G34" i="139" s="1"/>
  <c r="H23" i="139" s="1"/>
  <c r="H32" i="139" s="1"/>
  <c r="H34" i="139" s="1"/>
  <c r="I23" i="139" s="1"/>
  <c r="I32" i="139" s="1"/>
  <c r="I34" i="139" s="1"/>
  <c r="J23" i="139" s="1"/>
  <c r="J32" i="139" s="1"/>
  <c r="J34" i="139" s="1"/>
  <c r="K23" i="139" s="1"/>
  <c r="K32" i="139" s="1"/>
  <c r="K34" i="139" s="1"/>
  <c r="L23" i="139" s="1"/>
  <c r="L32" i="139" s="1"/>
  <c r="L34" i="139" s="1"/>
  <c r="M23" i="139" s="1"/>
  <c r="M32" i="139" s="1"/>
  <c r="M34" i="139" s="1"/>
  <c r="B49" i="139"/>
  <c r="B51" i="139" s="1"/>
  <c r="C40" i="139" s="1"/>
  <c r="C49" i="139" s="1"/>
  <c r="C51" i="139"/>
  <c r="D40" i="139" s="1"/>
  <c r="D49" i="139" s="1"/>
  <c r="D51" i="139" s="1"/>
  <c r="E40" i="139" s="1"/>
  <c r="E49" i="139" s="1"/>
  <c r="E51" i="139" s="1"/>
  <c r="F40" i="139" s="1"/>
  <c r="F49" i="139" s="1"/>
  <c r="F51" i="139" s="1"/>
  <c r="G40" i="139" s="1"/>
  <c r="G49" i="139" s="1"/>
  <c r="G51" i="139" s="1"/>
  <c r="H40" i="139" s="1"/>
  <c r="H49" i="139" s="1"/>
  <c r="H51" i="139" s="1"/>
  <c r="I40" i="139" s="1"/>
  <c r="I49" i="139" s="1"/>
  <c r="I51" i="139" s="1"/>
  <c r="J40" i="139" s="1"/>
  <c r="J49" i="139" s="1"/>
  <c r="J51" i="139" s="1"/>
  <c r="K40" i="139" s="1"/>
  <c r="K49" i="139" s="1"/>
  <c r="K51" i="139" s="1"/>
  <c r="L40" i="139" s="1"/>
  <c r="L49" i="139" s="1"/>
  <c r="L51" i="139" s="1"/>
  <c r="M40" i="139" s="1"/>
  <c r="M49" i="139" s="1"/>
  <c r="M51" i="139" s="1"/>
  <c r="C19" i="54"/>
  <c r="C21" i="54" s="1"/>
  <c r="D10" i="54" s="1"/>
  <c r="D19" i="54" s="1"/>
  <c r="D21" i="54" s="1"/>
  <c r="E10" i="54" s="1"/>
  <c r="E19" i="54" s="1"/>
  <c r="E21" i="54" s="1"/>
  <c r="F10" i="54" s="1"/>
  <c r="F19" i="54" s="1"/>
  <c r="F21" i="54" s="1"/>
  <c r="G10" i="54" s="1"/>
  <c r="G19" i="54" s="1"/>
  <c r="G21" i="54" s="1"/>
  <c r="H10" i="54" s="1"/>
  <c r="H19" i="54" s="1"/>
  <c r="H21" i="54" s="1"/>
  <c r="I10" i="54" s="1"/>
  <c r="I19" i="54" s="1"/>
  <c r="I21" i="54" s="1"/>
  <c r="J10" i="54" s="1"/>
  <c r="J19" i="54" s="1"/>
  <c r="J21" i="54" s="1"/>
  <c r="K10" i="54" s="1"/>
  <c r="K19" i="54" s="1"/>
  <c r="K21" i="54" s="1"/>
  <c r="L10" i="54" s="1"/>
  <c r="L19" i="54" s="1"/>
  <c r="L21" i="54" s="1"/>
  <c r="M10" i="54" s="1"/>
  <c r="M19" i="54" s="1"/>
  <c r="M21" i="54" s="1"/>
  <c r="N10" i="54" s="1"/>
  <c r="N19" i="54" s="1"/>
  <c r="N21" i="54" s="1"/>
  <c r="C35" i="54"/>
  <c r="C37" i="54"/>
  <c r="D26" i="54" s="1"/>
  <c r="D35" i="54" s="1"/>
  <c r="D37" i="54" s="1"/>
  <c r="E26" i="54" s="1"/>
  <c r="E35" i="54"/>
  <c r="E37" i="54" s="1"/>
  <c r="F26" i="54" s="1"/>
  <c r="F35" i="54" s="1"/>
  <c r="F37" i="54" s="1"/>
  <c r="G26" i="54" s="1"/>
  <c r="G35" i="54" s="1"/>
  <c r="G37" i="54" s="1"/>
  <c r="H26" i="54" s="1"/>
  <c r="H35" i="54" s="1"/>
  <c r="H37" i="54" s="1"/>
  <c r="I26" i="54" s="1"/>
  <c r="I35" i="54" s="1"/>
  <c r="I37" i="54" s="1"/>
  <c r="J26" i="54" s="1"/>
  <c r="J35" i="54" s="1"/>
  <c r="J37" i="54" s="1"/>
  <c r="K26" i="54" s="1"/>
  <c r="K35" i="54" s="1"/>
  <c r="K37" i="54" s="1"/>
  <c r="L26" i="54" s="1"/>
  <c r="L35" i="54" s="1"/>
  <c r="L37" i="54" s="1"/>
  <c r="M26" i="54" s="1"/>
  <c r="M35" i="54" s="1"/>
  <c r="M37" i="54" s="1"/>
  <c r="N26" i="54" s="1"/>
  <c r="N35" i="54" s="1"/>
  <c r="N37" i="54" s="1"/>
  <c r="G44" i="54"/>
  <c r="G53" i="54" s="1"/>
  <c r="G55" i="54" s="1"/>
  <c r="H44" i="54" s="1"/>
  <c r="H53" i="54" s="1"/>
  <c r="H55" i="54" s="1"/>
  <c r="I44" i="54" s="1"/>
  <c r="I53" i="54" s="1"/>
  <c r="I55" i="54" s="1"/>
  <c r="J44" i="54" s="1"/>
  <c r="J53" i="54" s="1"/>
  <c r="J55" i="54" s="1"/>
  <c r="K44" i="54" s="1"/>
  <c r="K53" i="54" s="1"/>
  <c r="K55" i="54" s="1"/>
  <c r="L44" i="54" s="1"/>
  <c r="L53" i="54" s="1"/>
  <c r="L55" i="54" s="1"/>
  <c r="M44" i="54" s="1"/>
  <c r="M53" i="54" s="1"/>
  <c r="M55" i="54" s="1"/>
  <c r="N44" i="54" s="1"/>
  <c r="N53" i="54" s="1"/>
  <c r="N55" i="54" s="1"/>
  <c r="C53" i="54"/>
  <c r="C55" i="54" s="1"/>
  <c r="D44" i="54" s="1"/>
  <c r="D53" i="54" s="1"/>
  <c r="D55" i="54" s="1"/>
  <c r="E44" i="54" s="1"/>
  <c r="E53" i="54" s="1"/>
  <c r="E55" i="54" s="1"/>
  <c r="F44" i="54" s="1"/>
  <c r="F53" i="54"/>
  <c r="F55" i="54" s="1"/>
  <c r="B15" i="73"/>
  <c r="B17" i="73" s="1"/>
  <c r="C6" i="73" s="1"/>
  <c r="C15" i="73"/>
  <c r="C17" i="73" s="1"/>
  <c r="D6" i="73" s="1"/>
  <c r="D15" i="73" s="1"/>
  <c r="D17" i="73" s="1"/>
  <c r="E6" i="73" s="1"/>
  <c r="E15" i="73" s="1"/>
  <c r="E17" i="73" s="1"/>
  <c r="F6" i="73" s="1"/>
  <c r="F15" i="73" s="1"/>
  <c r="F17" i="73" s="1"/>
  <c r="G6" i="73" s="1"/>
  <c r="G15" i="73" s="1"/>
  <c r="G17" i="73"/>
  <c r="H6" i="73" s="1"/>
  <c r="H15" i="73" s="1"/>
  <c r="H17" i="73" s="1"/>
  <c r="I6" i="73" s="1"/>
  <c r="I15" i="73" s="1"/>
  <c r="I17" i="73" s="1"/>
  <c r="J6" i="73" s="1"/>
  <c r="J15" i="73" s="1"/>
  <c r="J17" i="73" s="1"/>
  <c r="K6" i="73" s="1"/>
  <c r="K15" i="73" s="1"/>
  <c r="K17" i="73" s="1"/>
  <c r="L6" i="73" s="1"/>
  <c r="L15" i="73" s="1"/>
  <c r="L17" i="73" s="1"/>
  <c r="M6" i="73" s="1"/>
  <c r="M15" i="73" s="1"/>
  <c r="M17" i="73" s="1"/>
  <c r="B32" i="73"/>
  <c r="B34" i="73" s="1"/>
  <c r="C23" i="73" s="1"/>
  <c r="C32" i="73" s="1"/>
  <c r="C34" i="73" s="1"/>
  <c r="D23" i="73" s="1"/>
  <c r="D32" i="73" s="1"/>
  <c r="D34" i="73" s="1"/>
  <c r="E23" i="73" s="1"/>
  <c r="E32" i="73" s="1"/>
  <c r="E34" i="73" s="1"/>
  <c r="F23" i="73" s="1"/>
  <c r="F32" i="73" s="1"/>
  <c r="F34" i="73" s="1"/>
  <c r="G23" i="73" s="1"/>
  <c r="G32" i="73" s="1"/>
  <c r="G34" i="73" s="1"/>
  <c r="H23" i="73" s="1"/>
  <c r="H32" i="73" s="1"/>
  <c r="H34" i="73" s="1"/>
  <c r="I23" i="73" s="1"/>
  <c r="I32" i="73" s="1"/>
  <c r="I34" i="73" s="1"/>
  <c r="J23" i="73" s="1"/>
  <c r="J32" i="73" s="1"/>
  <c r="J34" i="73" s="1"/>
  <c r="K23" i="73" s="1"/>
  <c r="K32" i="73" s="1"/>
  <c r="K34" i="73" s="1"/>
  <c r="L23" i="73" s="1"/>
  <c r="L32" i="73" s="1"/>
  <c r="L34" i="73" s="1"/>
  <c r="M23" i="73" s="1"/>
  <c r="M32" i="73" s="1"/>
  <c r="M34" i="73" s="1"/>
  <c r="B51" i="73"/>
  <c r="B53" i="73" s="1"/>
  <c r="C42" i="73" s="1"/>
  <c r="C51" i="73" s="1"/>
  <c r="C53" i="73" s="1"/>
  <c r="D42" i="73" s="1"/>
  <c r="D51" i="73" s="1"/>
  <c r="D53" i="73" s="1"/>
  <c r="E42" i="73" s="1"/>
  <c r="E51" i="73" s="1"/>
  <c r="E53" i="73" s="1"/>
  <c r="F42" i="73" s="1"/>
  <c r="F51" i="73" s="1"/>
  <c r="F53" i="73" s="1"/>
  <c r="G42" i="73" s="1"/>
  <c r="G51" i="73" s="1"/>
  <c r="G53" i="73" s="1"/>
  <c r="H42" i="73" s="1"/>
  <c r="H51" i="73" s="1"/>
  <c r="H53" i="73" s="1"/>
  <c r="I42" i="73" s="1"/>
  <c r="I51" i="73" s="1"/>
  <c r="I53" i="73" s="1"/>
  <c r="J42" i="73" s="1"/>
  <c r="J51" i="73" s="1"/>
  <c r="J53" i="73" s="1"/>
  <c r="K42" i="73" s="1"/>
  <c r="K51" i="73" s="1"/>
  <c r="K53" i="73" s="1"/>
  <c r="L42" i="73" s="1"/>
  <c r="L51" i="73" s="1"/>
  <c r="L53" i="73" s="1"/>
  <c r="M42" i="73" s="1"/>
  <c r="M51" i="73" s="1"/>
  <c r="M53" i="73" s="1"/>
  <c r="B66" i="73"/>
  <c r="B68" i="73"/>
  <c r="H72" i="73"/>
  <c r="B85" i="73"/>
  <c r="B87" i="73" s="1"/>
  <c r="C76" i="73" s="1"/>
  <c r="C85" i="73" s="1"/>
  <c r="C87" i="73" s="1"/>
  <c r="D76" i="73" s="1"/>
  <c r="D85" i="73" s="1"/>
  <c r="D87" i="73" s="1"/>
  <c r="E76" i="73" s="1"/>
  <c r="E85" i="73" s="1"/>
  <c r="E87" i="73" s="1"/>
  <c r="F76" i="73" s="1"/>
  <c r="F85" i="73" s="1"/>
  <c r="F87" i="73" s="1"/>
  <c r="G76" i="73" s="1"/>
  <c r="G85" i="73" s="1"/>
  <c r="G87" i="73" s="1"/>
  <c r="H76" i="73" s="1"/>
  <c r="H85" i="73" s="1"/>
  <c r="H87" i="73" s="1"/>
  <c r="I76" i="73" s="1"/>
  <c r="I85" i="73" s="1"/>
  <c r="I87" i="73" s="1"/>
  <c r="J76" i="73" s="1"/>
  <c r="J85" i="73" s="1"/>
  <c r="J87" i="73" s="1"/>
  <c r="K76" i="73" s="1"/>
  <c r="K85" i="73" s="1"/>
  <c r="K87" i="73" s="1"/>
  <c r="L76" i="73" s="1"/>
  <c r="L85" i="73" s="1"/>
  <c r="L87" i="73" s="1"/>
  <c r="M76" i="73" s="1"/>
  <c r="M85" i="73" s="1"/>
  <c r="M87" i="73" s="1"/>
  <c r="B101" i="73"/>
  <c r="B103" i="73" s="1"/>
  <c r="C92" i="73" s="1"/>
  <c r="C101" i="73" s="1"/>
  <c r="C103" i="73" s="1"/>
  <c r="D92" i="73" s="1"/>
  <c r="D101" i="73" s="1"/>
  <c r="D103" i="73" s="1"/>
  <c r="E92" i="73" s="1"/>
  <c r="E101" i="73" s="1"/>
  <c r="E103" i="73" s="1"/>
  <c r="F92" i="73" s="1"/>
  <c r="F101" i="73" s="1"/>
  <c r="F103" i="73" s="1"/>
  <c r="G92" i="73" s="1"/>
  <c r="G101" i="73" s="1"/>
  <c r="G103" i="73" s="1"/>
  <c r="H92" i="73" s="1"/>
  <c r="H101" i="73" s="1"/>
  <c r="H103" i="73" s="1"/>
  <c r="I92" i="73" s="1"/>
  <c r="I101" i="73" s="1"/>
  <c r="I103" i="73" s="1"/>
  <c r="J92" i="73" s="1"/>
  <c r="J101" i="73" s="1"/>
  <c r="J103" i="73" s="1"/>
  <c r="K92" i="73" s="1"/>
  <c r="K101" i="73" s="1"/>
  <c r="K103" i="73" s="1"/>
  <c r="L92" i="73" s="1"/>
  <c r="L101" i="73" s="1"/>
  <c r="L103" i="73" s="1"/>
  <c r="M92" i="73" s="1"/>
  <c r="M101" i="73" s="1"/>
  <c r="M103" i="73" s="1"/>
  <c r="B15" i="194"/>
  <c r="B17" i="194" s="1"/>
  <c r="C6" i="194" s="1"/>
  <c r="C15" i="194" s="1"/>
  <c r="D6" i="194"/>
  <c r="D15" i="194" s="1"/>
  <c r="D17" i="194" s="1"/>
  <c r="E6" i="194" s="1"/>
  <c r="E15" i="194" s="1"/>
  <c r="E17" i="194" s="1"/>
  <c r="F6" i="194" s="1"/>
  <c r="F15" i="194" s="1"/>
  <c r="F17" i="194" s="1"/>
  <c r="G6" i="194" s="1"/>
  <c r="G15" i="194" s="1"/>
  <c r="G17" i="194" s="1"/>
  <c r="H6" i="194" s="1"/>
  <c r="H15" i="194"/>
  <c r="H17" i="194" s="1"/>
  <c r="I6" i="194" s="1"/>
  <c r="I15" i="194" s="1"/>
  <c r="I17" i="194" s="1"/>
  <c r="J6" i="194" s="1"/>
  <c r="J15" i="194" s="1"/>
  <c r="J17" i="194" s="1"/>
  <c r="K6" i="194" s="1"/>
  <c r="K15" i="194" s="1"/>
  <c r="K17" i="194" s="1"/>
  <c r="L6" i="194" s="1"/>
  <c r="L15" i="194" s="1"/>
  <c r="L17" i="194" s="1"/>
  <c r="M6" i="194" s="1"/>
  <c r="M15" i="194" s="1"/>
  <c r="M17" i="194" s="1"/>
  <c r="B30" i="194"/>
  <c r="B32" i="194" s="1"/>
  <c r="C21" i="194" s="1"/>
  <c r="C30" i="194"/>
  <c r="C32" i="194" s="1"/>
  <c r="D21" i="194" s="1"/>
  <c r="D30" i="194" s="1"/>
  <c r="D32" i="194" s="1"/>
  <c r="E21" i="194" s="1"/>
  <c r="E30" i="194" s="1"/>
  <c r="E32" i="194" s="1"/>
  <c r="F21" i="194" s="1"/>
  <c r="F30" i="194" s="1"/>
  <c r="F32" i="194" s="1"/>
  <c r="G21" i="194" s="1"/>
  <c r="G30" i="194" s="1"/>
  <c r="G32" i="194" s="1"/>
  <c r="H21" i="194" s="1"/>
  <c r="H30" i="194" s="1"/>
  <c r="H32" i="194" s="1"/>
  <c r="I21" i="194" s="1"/>
  <c r="I30" i="194" s="1"/>
  <c r="I32" i="194" s="1"/>
  <c r="J21" i="194" s="1"/>
  <c r="J30" i="194" s="1"/>
  <c r="J32" i="194" s="1"/>
  <c r="K21" i="194" s="1"/>
  <c r="K30" i="194" s="1"/>
  <c r="K32" i="194" s="1"/>
  <c r="L21" i="194" s="1"/>
  <c r="L30" i="194" s="1"/>
  <c r="L32" i="194" s="1"/>
  <c r="M21" i="194" s="1"/>
  <c r="M30" i="194" s="1"/>
  <c r="B16" i="77"/>
  <c r="B18" i="77" s="1"/>
  <c r="C7" i="77" s="1"/>
  <c r="C16" i="77" s="1"/>
  <c r="C18" i="77" s="1"/>
  <c r="D7" i="77" s="1"/>
  <c r="D16" i="77" s="1"/>
  <c r="D18" i="77" s="1"/>
  <c r="E7" i="77" s="1"/>
  <c r="E16" i="77" s="1"/>
  <c r="E18" i="77" s="1"/>
  <c r="F7" i="77" s="1"/>
  <c r="F16" i="77" s="1"/>
  <c r="F18" i="77" s="1"/>
  <c r="G7" i="77" s="1"/>
  <c r="G16" i="77" s="1"/>
  <c r="G18" i="77" s="1"/>
  <c r="H7" i="77" s="1"/>
  <c r="H16" i="77" s="1"/>
  <c r="H18" i="77" s="1"/>
  <c r="I7" i="77" s="1"/>
  <c r="I16" i="77" s="1"/>
  <c r="I18" i="77" s="1"/>
  <c r="J7" i="77" s="1"/>
  <c r="J16" i="77" s="1"/>
  <c r="J18" i="77" s="1"/>
  <c r="K7" i="77" s="1"/>
  <c r="K16" i="77" s="1"/>
  <c r="K18" i="77" s="1"/>
  <c r="L7" i="77" s="1"/>
  <c r="L16" i="77" s="1"/>
  <c r="L18" i="77" s="1"/>
  <c r="M7" i="77" s="1"/>
  <c r="M16" i="77" s="1"/>
  <c r="M18" i="77" s="1"/>
  <c r="B33" i="77"/>
  <c r="G34" i="77"/>
  <c r="B35" i="77"/>
  <c r="C24" i="77" s="1"/>
  <c r="C33" i="77" s="1"/>
  <c r="C35" i="77" s="1"/>
  <c r="D24" i="77" s="1"/>
  <c r="D33" i="77" s="1"/>
  <c r="D35" i="77" s="1"/>
  <c r="E24" i="77" s="1"/>
  <c r="E33" i="77" s="1"/>
  <c r="E35" i="77" s="1"/>
  <c r="F24" i="77" s="1"/>
  <c r="F33" i="77" s="1"/>
  <c r="F35" i="77" s="1"/>
  <c r="G24" i="77" s="1"/>
  <c r="G33" i="77" s="1"/>
  <c r="G35" i="77" s="1"/>
  <c r="H24" i="77" s="1"/>
  <c r="H33" i="77" s="1"/>
  <c r="H35" i="77" s="1"/>
  <c r="I24" i="77" s="1"/>
  <c r="I33" i="77" s="1"/>
  <c r="I35" i="77" s="1"/>
  <c r="J24" i="77" s="1"/>
  <c r="J33" i="77" s="1"/>
  <c r="J35" i="77" s="1"/>
  <c r="K24" i="77" s="1"/>
  <c r="K33" i="77" s="1"/>
  <c r="K35" i="77" s="1"/>
  <c r="L24" i="77" s="1"/>
  <c r="L33" i="77" s="1"/>
  <c r="L35" i="77" s="1"/>
  <c r="M24" i="77" s="1"/>
  <c r="M33" i="77" s="1"/>
  <c r="M35" i="77" s="1"/>
  <c r="B17" i="55"/>
  <c r="B19" i="55"/>
  <c r="C8" i="55" s="1"/>
  <c r="C17" i="55" s="1"/>
  <c r="C19" i="55" s="1"/>
  <c r="D8" i="55" s="1"/>
  <c r="D17" i="55" s="1"/>
  <c r="D19" i="55" s="1"/>
  <c r="E8" i="55" s="1"/>
  <c r="E17" i="55" s="1"/>
  <c r="E19" i="55" s="1"/>
  <c r="F8" i="55" s="1"/>
  <c r="F17" i="55" s="1"/>
  <c r="F19" i="55" s="1"/>
  <c r="G8" i="55" s="1"/>
  <c r="G17" i="55" s="1"/>
  <c r="G19" i="55" s="1"/>
  <c r="H8" i="55" s="1"/>
  <c r="H17" i="55" s="1"/>
  <c r="H19" i="55" s="1"/>
  <c r="I8" i="55" s="1"/>
  <c r="I17" i="55" s="1"/>
  <c r="I19" i="55" s="1"/>
  <c r="J8" i="55" s="1"/>
  <c r="J17" i="55" s="1"/>
  <c r="J19" i="55" s="1"/>
  <c r="K8" i="55" s="1"/>
  <c r="K17" i="55" s="1"/>
  <c r="K19" i="55" s="1"/>
  <c r="L8" i="55" s="1"/>
  <c r="L17" i="55" s="1"/>
  <c r="L19" i="55" s="1"/>
  <c r="M8" i="55" s="1"/>
  <c r="M17" i="55" s="1"/>
  <c r="M19" i="55" s="1"/>
  <c r="B33" i="55"/>
  <c r="B35" i="55" s="1"/>
  <c r="C24" i="55" s="1"/>
  <c r="C33" i="55" s="1"/>
  <c r="C35" i="55" s="1"/>
  <c r="D24" i="55" s="1"/>
  <c r="D33" i="55" s="1"/>
  <c r="D35" i="55" s="1"/>
  <c r="E24" i="55" s="1"/>
  <c r="E33" i="55" s="1"/>
  <c r="E35" i="55" s="1"/>
  <c r="F24" i="55" s="1"/>
  <c r="F33" i="55" s="1"/>
  <c r="F35" i="55" s="1"/>
  <c r="G24" i="55" s="1"/>
  <c r="G33" i="55" s="1"/>
  <c r="G35" i="55" s="1"/>
  <c r="H24" i="55" s="1"/>
  <c r="H33" i="55" s="1"/>
  <c r="H35" i="55" s="1"/>
  <c r="I24" i="55" s="1"/>
  <c r="I33" i="55" s="1"/>
  <c r="I35" i="55" s="1"/>
  <c r="J24" i="55" s="1"/>
  <c r="J33" i="55" s="1"/>
  <c r="J35" i="55" s="1"/>
  <c r="K24" i="55" s="1"/>
  <c r="K33" i="55" s="1"/>
  <c r="K35" i="55" s="1"/>
  <c r="L24" i="55" s="1"/>
  <c r="L33" i="55" s="1"/>
  <c r="L35" i="55" s="1"/>
  <c r="M24" i="55" s="1"/>
  <c r="M33" i="55" s="1"/>
  <c r="M35" i="55" s="1"/>
  <c r="B17" i="56"/>
  <c r="B19" i="56" s="1"/>
  <c r="C8" i="56" s="1"/>
  <c r="C17" i="56" s="1"/>
  <c r="C19" i="56" s="1"/>
  <c r="D8" i="56" s="1"/>
  <c r="D17" i="56" s="1"/>
  <c r="D19" i="56" s="1"/>
  <c r="E8" i="56" s="1"/>
  <c r="E17" i="56" s="1"/>
  <c r="E19" i="56" s="1"/>
  <c r="F8" i="56" s="1"/>
  <c r="F17" i="56" s="1"/>
  <c r="F19" i="56" s="1"/>
  <c r="G8" i="56" s="1"/>
  <c r="G17" i="56" s="1"/>
  <c r="G19" i="56" s="1"/>
  <c r="H8" i="56" s="1"/>
  <c r="H17" i="56" s="1"/>
  <c r="H19" i="56" s="1"/>
  <c r="I8" i="56" s="1"/>
  <c r="I17" i="56" s="1"/>
  <c r="I19" i="56" s="1"/>
  <c r="J8" i="56" s="1"/>
  <c r="J17" i="56" s="1"/>
  <c r="J19" i="56" s="1"/>
  <c r="K8" i="56" s="1"/>
  <c r="K17" i="56" s="1"/>
  <c r="K19" i="56" s="1"/>
  <c r="L8" i="56" s="1"/>
  <c r="L17" i="56" s="1"/>
  <c r="L19" i="56" s="1"/>
  <c r="M8" i="56" s="1"/>
  <c r="M17" i="56" s="1"/>
  <c r="M19" i="56" s="1"/>
  <c r="D21" i="56"/>
  <c r="B29" i="56"/>
  <c r="B35" i="56" s="1"/>
  <c r="B37" i="56" s="1"/>
  <c r="C26" i="56" s="1"/>
  <c r="C29" i="56"/>
  <c r="G40" i="56"/>
  <c r="A42" i="56"/>
  <c r="B42" i="56"/>
  <c r="B44" i="56" s="1"/>
  <c r="B43" i="56"/>
  <c r="D46" i="56"/>
  <c r="D48" i="56" s="1"/>
  <c r="B13" i="198"/>
  <c r="B15" i="198" s="1"/>
  <c r="C4" i="198" s="1"/>
  <c r="C13" i="198" s="1"/>
  <c r="C15" i="198" s="1"/>
  <c r="D4" i="198" s="1"/>
  <c r="D13" i="198" s="1"/>
  <c r="D15" i="198" s="1"/>
  <c r="E4" i="198" s="1"/>
  <c r="E13" i="198" s="1"/>
  <c r="E15" i="198" s="1"/>
  <c r="F4" i="198" s="1"/>
  <c r="F13" i="198" s="1"/>
  <c r="F15" i="198" s="1"/>
  <c r="G4" i="198" s="1"/>
  <c r="G13" i="198" s="1"/>
  <c r="G15" i="198" s="1"/>
  <c r="H4" i="198" s="1"/>
  <c r="H13" i="198" s="1"/>
  <c r="H15" i="198" s="1"/>
  <c r="I4" i="198" s="1"/>
  <c r="I13" i="198" s="1"/>
  <c r="I15" i="198" s="1"/>
  <c r="J4" i="198" s="1"/>
  <c r="J13" i="198" s="1"/>
  <c r="J15" i="198" s="1"/>
  <c r="K4" i="198" s="1"/>
  <c r="K13" i="198" s="1"/>
  <c r="K15" i="198" s="1"/>
  <c r="L4" i="198" s="1"/>
  <c r="L13" i="198" s="1"/>
  <c r="L15" i="198" s="1"/>
  <c r="M4" i="198" s="1"/>
  <c r="M13" i="198" s="1"/>
  <c r="M15" i="198" s="1"/>
  <c r="B27" i="198"/>
  <c r="B29" i="198" s="1"/>
  <c r="C18" i="198" s="1"/>
  <c r="C27" i="198" s="1"/>
  <c r="C29" i="198" s="1"/>
  <c r="D18" i="198" s="1"/>
  <c r="D27" i="198" s="1"/>
  <c r="D29" i="198" s="1"/>
  <c r="E18" i="198" s="1"/>
  <c r="E27" i="198" s="1"/>
  <c r="E29" i="198" s="1"/>
  <c r="F18" i="198" s="1"/>
  <c r="F27" i="198" s="1"/>
  <c r="F29" i="198" s="1"/>
  <c r="G18" i="198" s="1"/>
  <c r="G27" i="198" s="1"/>
  <c r="G29" i="198" s="1"/>
  <c r="H18" i="198" s="1"/>
  <c r="H27" i="198" s="1"/>
  <c r="H29" i="198" s="1"/>
  <c r="I18" i="198" s="1"/>
  <c r="I27" i="198" s="1"/>
  <c r="I29" i="198" s="1"/>
  <c r="J18" i="198" s="1"/>
  <c r="J27" i="198" s="1"/>
  <c r="J29" i="198" s="1"/>
  <c r="K18" i="198" s="1"/>
  <c r="K27" i="198" s="1"/>
  <c r="K29" i="198" s="1"/>
  <c r="L18" i="198" s="1"/>
  <c r="L27" i="198" s="1"/>
  <c r="L29" i="198" s="1"/>
  <c r="M18" i="198" s="1"/>
  <c r="M27" i="198" s="1"/>
  <c r="M29" i="198" s="1"/>
  <c r="B17" i="13"/>
  <c r="C6" i="13" s="1"/>
  <c r="C15" i="13" s="1"/>
  <c r="C17" i="13" s="1"/>
  <c r="D6" i="13" s="1"/>
  <c r="D15" i="13" s="1"/>
  <c r="D17" i="13" s="1"/>
  <c r="E6" i="13" s="1"/>
  <c r="E15" i="13" s="1"/>
  <c r="E17" i="13"/>
  <c r="F6" i="13" s="1"/>
  <c r="F15" i="13" s="1"/>
  <c r="F17" i="13" s="1"/>
  <c r="G6" i="13" s="1"/>
  <c r="G15" i="13" s="1"/>
  <c r="G17" i="13" s="1"/>
  <c r="H6" i="13" s="1"/>
  <c r="H15" i="13" s="1"/>
  <c r="H17" i="13" s="1"/>
  <c r="I6" i="13" s="1"/>
  <c r="I15" i="13" s="1"/>
  <c r="I17" i="13" s="1"/>
  <c r="J6" i="13" s="1"/>
  <c r="J15" i="13" s="1"/>
  <c r="J17" i="13" s="1"/>
  <c r="K6" i="13" s="1"/>
  <c r="K15" i="13" s="1"/>
  <c r="K17" i="13" s="1"/>
  <c r="L6" i="13" s="1"/>
  <c r="L15" i="13" s="1"/>
  <c r="L17" i="13" s="1"/>
  <c r="M6" i="13" s="1"/>
  <c r="M15" i="13" s="1"/>
  <c r="M17" i="13" s="1"/>
  <c r="B30" i="13"/>
  <c r="B32" i="13"/>
  <c r="C21" i="13" s="1"/>
  <c r="C30" i="13" s="1"/>
  <c r="C32" i="13" s="1"/>
  <c r="D21" i="13" s="1"/>
  <c r="D30" i="13" s="1"/>
  <c r="D32" i="13" s="1"/>
  <c r="E21" i="13" s="1"/>
  <c r="E30" i="13" s="1"/>
  <c r="E32" i="13" s="1"/>
  <c r="F21" i="13" s="1"/>
  <c r="F30" i="13" s="1"/>
  <c r="F32" i="13" s="1"/>
  <c r="G21" i="13" s="1"/>
  <c r="G30" i="13" s="1"/>
  <c r="G32" i="13" s="1"/>
  <c r="H21" i="13" s="1"/>
  <c r="H30" i="13" s="1"/>
  <c r="H32" i="13" s="1"/>
  <c r="I21" i="13" s="1"/>
  <c r="I30" i="13" s="1"/>
  <c r="I32" i="13" s="1"/>
  <c r="J21" i="13" s="1"/>
  <c r="J30" i="13" s="1"/>
  <c r="J32" i="13" s="1"/>
  <c r="K21" i="13" s="1"/>
  <c r="K30" i="13" s="1"/>
  <c r="K32" i="13" s="1"/>
  <c r="L21" i="13" s="1"/>
  <c r="L30" i="13" s="1"/>
  <c r="L32" i="13" s="1"/>
  <c r="M21" i="13" s="1"/>
  <c r="M30" i="13" s="1"/>
  <c r="M32" i="13" s="1"/>
  <c r="B46" i="13"/>
  <c r="B48" i="13"/>
  <c r="C37" i="13" s="1"/>
  <c r="C46" i="13" s="1"/>
  <c r="C48" i="13" s="1"/>
  <c r="D37" i="13" s="1"/>
  <c r="D46" i="13" s="1"/>
  <c r="D48" i="13" s="1"/>
  <c r="E37" i="13" s="1"/>
  <c r="E46" i="13" s="1"/>
  <c r="E48" i="13" s="1"/>
  <c r="F37" i="13" s="1"/>
  <c r="F46" i="13" s="1"/>
  <c r="F48" i="13" s="1"/>
  <c r="G37" i="13" s="1"/>
  <c r="G46" i="13" s="1"/>
  <c r="G48" i="13" s="1"/>
  <c r="H37" i="13" s="1"/>
  <c r="H46" i="13" s="1"/>
  <c r="H48" i="13" s="1"/>
  <c r="I37" i="13" s="1"/>
  <c r="I46" i="13" s="1"/>
  <c r="I48" i="13" s="1"/>
  <c r="J37" i="13" s="1"/>
  <c r="J46" i="13" s="1"/>
  <c r="J48" i="13" s="1"/>
  <c r="K37" i="13" s="1"/>
  <c r="K46" i="13" s="1"/>
  <c r="K48" i="13" s="1"/>
  <c r="L37" i="13" s="1"/>
  <c r="L46" i="13" s="1"/>
  <c r="L48" i="13" s="1"/>
  <c r="M37" i="13" s="1"/>
  <c r="M46" i="13" s="1"/>
  <c r="M48" i="13" s="1"/>
  <c r="B13" i="226"/>
  <c r="B15" i="226"/>
  <c r="C4" i="226" s="1"/>
  <c r="C13" i="226" s="1"/>
  <c r="C15" i="226" s="1"/>
  <c r="D4" i="226" s="1"/>
  <c r="D13" i="226" s="1"/>
  <c r="D15" i="226" s="1"/>
  <c r="E4" i="226" s="1"/>
  <c r="E13" i="226" s="1"/>
  <c r="E15" i="226" s="1"/>
  <c r="F4" i="226" s="1"/>
  <c r="F13" i="226" s="1"/>
  <c r="F15" i="226" s="1"/>
  <c r="G4" i="226" s="1"/>
  <c r="G13" i="226" s="1"/>
  <c r="G15" i="226" s="1"/>
  <c r="H4" i="226"/>
  <c r="H13" i="226" s="1"/>
  <c r="H15" i="226" s="1"/>
  <c r="I4" i="226" s="1"/>
  <c r="I13" i="226" s="1"/>
  <c r="I15" i="226" s="1"/>
  <c r="J4" i="226" s="1"/>
  <c r="J13" i="226" s="1"/>
  <c r="J15" i="226" s="1"/>
  <c r="K4" i="226" s="1"/>
  <c r="K13" i="226" s="1"/>
  <c r="K15" i="226" s="1"/>
  <c r="L4" i="226" s="1"/>
  <c r="L13" i="226" s="1"/>
  <c r="L15" i="226" s="1"/>
  <c r="M4" i="226" s="1"/>
  <c r="M13" i="226" s="1"/>
  <c r="M15" i="226" s="1"/>
  <c r="B16" i="12"/>
  <c r="B18" i="12"/>
  <c r="C7" i="12" s="1"/>
  <c r="C16" i="12" s="1"/>
  <c r="C18" i="12" s="1"/>
  <c r="D7" i="12" s="1"/>
  <c r="D16" i="12" s="1"/>
  <c r="D18" i="12" s="1"/>
  <c r="E7" i="12" s="1"/>
  <c r="E16" i="12" s="1"/>
  <c r="E18" i="12" s="1"/>
  <c r="F7" i="12" s="1"/>
  <c r="F16" i="12" s="1"/>
  <c r="F18" i="12" s="1"/>
  <c r="G7" i="12" s="1"/>
  <c r="G16" i="12" s="1"/>
  <c r="G18" i="12" s="1"/>
  <c r="H7" i="12" s="1"/>
  <c r="H16" i="12" s="1"/>
  <c r="H18" i="12" s="1"/>
  <c r="I7" i="12" s="1"/>
  <c r="I16" i="12" s="1"/>
  <c r="I18" i="12" s="1"/>
  <c r="J7" i="12" s="1"/>
  <c r="J16" i="12" s="1"/>
  <c r="J18" i="12" s="1"/>
  <c r="K7" i="12" s="1"/>
  <c r="K16" i="12" s="1"/>
  <c r="K18" i="12" s="1"/>
  <c r="L7" i="12" s="1"/>
  <c r="L16" i="12" s="1"/>
  <c r="L18" i="12" s="1"/>
  <c r="M7" i="12" s="1"/>
  <c r="M16" i="12" s="1"/>
  <c r="M18" i="12" s="1"/>
  <c r="B32" i="12"/>
  <c r="B34" i="12" s="1"/>
  <c r="C23" i="12" s="1"/>
  <c r="C32" i="12" s="1"/>
  <c r="C34" i="12" s="1"/>
  <c r="D23" i="12" s="1"/>
  <c r="D32" i="12" s="1"/>
  <c r="D34" i="12" s="1"/>
  <c r="E23" i="12" s="1"/>
  <c r="E32" i="12" s="1"/>
  <c r="E34" i="12" s="1"/>
  <c r="F23" i="12" s="1"/>
  <c r="F32" i="12" s="1"/>
  <c r="F34" i="12" s="1"/>
  <c r="G23" i="12" s="1"/>
  <c r="G32" i="12" s="1"/>
  <c r="G34" i="12" s="1"/>
  <c r="H23" i="12" s="1"/>
  <c r="H32" i="12" s="1"/>
  <c r="H34" i="12" s="1"/>
  <c r="I23" i="12" s="1"/>
  <c r="I32" i="12" s="1"/>
  <c r="I34" i="12" s="1"/>
  <c r="J23" i="12" s="1"/>
  <c r="J32" i="12" s="1"/>
  <c r="J34" i="12" s="1"/>
  <c r="K23" i="12" s="1"/>
  <c r="K32" i="12" s="1"/>
  <c r="K34" i="12" s="1"/>
  <c r="L23" i="12" s="1"/>
  <c r="L32" i="12" s="1"/>
  <c r="L34" i="12" s="1"/>
  <c r="M23" i="12" s="1"/>
  <c r="M32" i="12" s="1"/>
  <c r="M34" i="12" s="1"/>
  <c r="B14" i="133"/>
  <c r="B16" i="133" s="1"/>
  <c r="C5" i="133" s="1"/>
  <c r="C14" i="133"/>
  <c r="C16" i="133" s="1"/>
  <c r="D5" i="133" s="1"/>
  <c r="D14" i="133" s="1"/>
  <c r="D16" i="133" s="1"/>
  <c r="E5" i="133" s="1"/>
  <c r="E14" i="133" s="1"/>
  <c r="E16" i="133" s="1"/>
  <c r="F5" i="133" s="1"/>
  <c r="F14" i="133" s="1"/>
  <c r="F16" i="133" s="1"/>
  <c r="G5" i="133" s="1"/>
  <c r="G14" i="133" s="1"/>
  <c r="G16" i="133" s="1"/>
  <c r="H5" i="133" s="1"/>
  <c r="H14" i="133" s="1"/>
  <c r="H16" i="133" s="1"/>
  <c r="I5" i="133" s="1"/>
  <c r="I14" i="133" s="1"/>
  <c r="I16" i="133" s="1"/>
  <c r="J5" i="133" s="1"/>
  <c r="J14" i="133" s="1"/>
  <c r="J16" i="133" s="1"/>
  <c r="K5" i="133" s="1"/>
  <c r="K14" i="133" s="1"/>
  <c r="K16" i="133" s="1"/>
  <c r="L5" i="133" s="1"/>
  <c r="L14" i="133" s="1"/>
  <c r="M5" i="133"/>
  <c r="M14" i="133"/>
  <c r="M16" i="133"/>
  <c r="B30" i="133"/>
  <c r="B32" i="133" s="1"/>
  <c r="C21" i="133"/>
  <c r="C30" i="133" s="1"/>
  <c r="C32" i="133" s="1"/>
  <c r="D21" i="133" s="1"/>
  <c r="D30" i="133" s="1"/>
  <c r="D32" i="133" s="1"/>
  <c r="E21" i="133" s="1"/>
  <c r="E30" i="133" s="1"/>
  <c r="E32" i="133" s="1"/>
  <c r="F21" i="133" s="1"/>
  <c r="F30" i="133" s="1"/>
  <c r="F32" i="133" s="1"/>
  <c r="G21" i="133" s="1"/>
  <c r="G30" i="133" s="1"/>
  <c r="G32" i="133" s="1"/>
  <c r="H21" i="133" s="1"/>
  <c r="H30" i="133" s="1"/>
  <c r="H32" i="133" s="1"/>
  <c r="I21" i="133" s="1"/>
  <c r="I30" i="133" s="1"/>
  <c r="I32" i="133" s="1"/>
  <c r="J21" i="133" s="1"/>
  <c r="J30" i="133" s="1"/>
  <c r="J32" i="133" s="1"/>
  <c r="K21" i="133" s="1"/>
  <c r="K30" i="133" s="1"/>
  <c r="K32" i="133" s="1"/>
  <c r="L21" i="133" s="1"/>
  <c r="L30" i="133" s="1"/>
  <c r="L32" i="133" s="1"/>
  <c r="M21" i="133" s="1"/>
  <c r="M30" i="133" s="1"/>
  <c r="M32" i="133" s="1"/>
  <c r="O11" i="206"/>
  <c r="B14" i="206"/>
  <c r="B15" i="206"/>
  <c r="C15" i="206"/>
  <c r="D15" i="206"/>
  <c r="B16" i="206"/>
  <c r="C5" i="206" s="1"/>
  <c r="C14" i="206" s="1"/>
  <c r="C16" i="206" s="1"/>
  <c r="D5" i="206" s="1"/>
  <c r="D14" i="206" s="1"/>
  <c r="B18" i="206"/>
  <c r="B30" i="206"/>
  <c r="B32" i="206" s="1"/>
  <c r="C21" i="206" s="1"/>
  <c r="C30" i="206" s="1"/>
  <c r="C32" i="206"/>
  <c r="D21" i="206" s="1"/>
  <c r="D30" i="206" s="1"/>
  <c r="D32" i="206" s="1"/>
  <c r="E21" i="206" s="1"/>
  <c r="E30" i="206" s="1"/>
  <c r="E32" i="206" s="1"/>
  <c r="F21" i="206" s="1"/>
  <c r="F30" i="206" s="1"/>
  <c r="F32" i="206" s="1"/>
  <c r="G21" i="206" s="1"/>
  <c r="G30" i="206" s="1"/>
  <c r="G32" i="206" s="1"/>
  <c r="H21" i="206" s="1"/>
  <c r="H30" i="206" s="1"/>
  <c r="H32" i="206" s="1"/>
  <c r="I21" i="206" s="1"/>
  <c r="I30" i="206" s="1"/>
  <c r="I32" i="206" s="1"/>
  <c r="J21" i="206" s="1"/>
  <c r="J30" i="206" s="1"/>
  <c r="J32" i="206" s="1"/>
  <c r="K21" i="206" s="1"/>
  <c r="K30" i="206" s="1"/>
  <c r="K32" i="206" s="1"/>
  <c r="L21" i="206" s="1"/>
  <c r="L30" i="206" s="1"/>
  <c r="L32" i="206" s="1"/>
  <c r="M21" i="206" s="1"/>
  <c r="M30" i="206" s="1"/>
  <c r="M32" i="206" s="1"/>
  <c r="E35" i="206"/>
  <c r="C10" i="58"/>
  <c r="F10" i="58"/>
  <c r="G10" i="58"/>
  <c r="B16" i="58"/>
  <c r="B18" i="58" s="1"/>
  <c r="C7" i="58" s="1"/>
  <c r="C16" i="58" s="1"/>
  <c r="C18" i="58" s="1"/>
  <c r="D7" i="58" s="1"/>
  <c r="D16" i="58" s="1"/>
  <c r="D18" i="58" s="1"/>
  <c r="E7" i="58" s="1"/>
  <c r="E16" i="58" s="1"/>
  <c r="E18" i="58" s="1"/>
  <c r="F7" i="58" s="1"/>
  <c r="F16" i="58" s="1"/>
  <c r="F18" i="58" s="1"/>
  <c r="G7" i="58" s="1"/>
  <c r="G16" i="58" s="1"/>
  <c r="G18" i="58" s="1"/>
  <c r="H7" i="58" s="1"/>
  <c r="H16" i="58" s="1"/>
  <c r="H18" i="58" s="1"/>
  <c r="I7" i="58" s="1"/>
  <c r="I16" i="58" s="1"/>
  <c r="I18" i="58" s="1"/>
  <c r="J7" i="58" s="1"/>
  <c r="J16" i="58" s="1"/>
  <c r="J18" i="58" s="1"/>
  <c r="K7" i="58" s="1"/>
  <c r="K16" i="58" s="1"/>
  <c r="K18" i="58" s="1"/>
  <c r="L7" i="58" s="1"/>
  <c r="L16" i="58" s="1"/>
  <c r="L18" i="58" s="1"/>
  <c r="M7" i="58" s="1"/>
  <c r="M16" i="58" s="1"/>
  <c r="M18" i="58" s="1"/>
  <c r="B35" i="58"/>
  <c r="B37" i="58" s="1"/>
  <c r="C26" i="58" s="1"/>
  <c r="C35" i="58" s="1"/>
  <c r="C37" i="58" s="1"/>
  <c r="D26" i="58" s="1"/>
  <c r="D35" i="58" s="1"/>
  <c r="D37" i="58" s="1"/>
  <c r="E26" i="58" s="1"/>
  <c r="E35" i="58" s="1"/>
  <c r="E37" i="58"/>
  <c r="F26" i="58" s="1"/>
  <c r="F35" i="58" s="1"/>
  <c r="F37" i="58" s="1"/>
  <c r="G26" i="58" s="1"/>
  <c r="G35" i="58" s="1"/>
  <c r="G37" i="58" s="1"/>
  <c r="H26" i="58" s="1"/>
  <c r="H35" i="58" s="1"/>
  <c r="H37" i="58" s="1"/>
  <c r="I26" i="58" s="1"/>
  <c r="I35" i="58" s="1"/>
  <c r="I37" i="58" s="1"/>
  <c r="J26" i="58" s="1"/>
  <c r="J35" i="58" s="1"/>
  <c r="J37" i="58" s="1"/>
  <c r="K26" i="58" s="1"/>
  <c r="K35" i="58" s="1"/>
  <c r="K37" i="58" s="1"/>
  <c r="L26" i="58" s="1"/>
  <c r="L35" i="58" s="1"/>
  <c r="L37" i="58" s="1"/>
  <c r="M26" i="58" s="1"/>
  <c r="M35" i="58" s="1"/>
  <c r="M37" i="58" s="1"/>
  <c r="B15" i="132"/>
  <c r="B17" i="132" s="1"/>
  <c r="C6" i="132"/>
  <c r="C15" i="132" s="1"/>
  <c r="C17" i="132" s="1"/>
  <c r="D6" i="132" s="1"/>
  <c r="D15" i="132" s="1"/>
  <c r="D17" i="132" s="1"/>
  <c r="E6" i="132" s="1"/>
  <c r="E15" i="132" s="1"/>
  <c r="E17" i="132" s="1"/>
  <c r="F6" i="132" s="1"/>
  <c r="F15" i="132" s="1"/>
  <c r="F17" i="132" s="1"/>
  <c r="G6" i="132" s="1"/>
  <c r="G15" i="132" s="1"/>
  <c r="G17" i="132" s="1"/>
  <c r="H6" i="132" s="1"/>
  <c r="H15" i="132" s="1"/>
  <c r="H17" i="132" s="1"/>
  <c r="I6" i="132" s="1"/>
  <c r="I15" i="132" s="1"/>
  <c r="I17" i="132" s="1"/>
  <c r="J6" i="132" s="1"/>
  <c r="J15" i="132" s="1"/>
  <c r="J17" i="132" s="1"/>
  <c r="K6" i="132" s="1"/>
  <c r="K15" i="132" s="1"/>
  <c r="K17" i="132" s="1"/>
  <c r="L6" i="132" s="1"/>
  <c r="L15" i="132" s="1"/>
  <c r="L17" i="132" s="1"/>
  <c r="M6" i="132" s="1"/>
  <c r="M15" i="132" s="1"/>
  <c r="M17" i="132" s="1"/>
  <c r="B31" i="132"/>
  <c r="B33" i="132" s="1"/>
  <c r="C22" i="132" s="1"/>
  <c r="C31" i="132" s="1"/>
  <c r="C33" i="132" s="1"/>
  <c r="D22" i="132" s="1"/>
  <c r="D31" i="132" s="1"/>
  <c r="D33" i="132" s="1"/>
  <c r="E22" i="132" s="1"/>
  <c r="E31" i="132" s="1"/>
  <c r="E33" i="132" s="1"/>
  <c r="F22" i="132" s="1"/>
  <c r="F31" i="132" s="1"/>
  <c r="F33" i="132" s="1"/>
  <c r="G22" i="132" s="1"/>
  <c r="G31" i="132" s="1"/>
  <c r="G33" i="132" s="1"/>
  <c r="H22" i="132" s="1"/>
  <c r="H31" i="132" s="1"/>
  <c r="H33" i="132" s="1"/>
  <c r="I22" i="132" s="1"/>
  <c r="I31" i="132" s="1"/>
  <c r="I33" i="132" s="1"/>
  <c r="J22" i="132" s="1"/>
  <c r="J31" i="132" s="1"/>
  <c r="J33" i="132" s="1"/>
  <c r="K22" i="132" s="1"/>
  <c r="K31" i="132" s="1"/>
  <c r="K33" i="132" s="1"/>
  <c r="L22" i="132" s="1"/>
  <c r="L31" i="132" s="1"/>
  <c r="L33" i="132" s="1"/>
  <c r="M22" i="132" s="1"/>
  <c r="M31" i="132" s="1"/>
  <c r="M33" i="132" s="1"/>
  <c r="B15" i="27"/>
  <c r="B17" i="27" s="1"/>
  <c r="C6" i="27" s="1"/>
  <c r="C15" i="27" s="1"/>
  <c r="C17" i="27" s="1"/>
  <c r="D6" i="27" s="1"/>
  <c r="D15" i="27" s="1"/>
  <c r="D17" i="27" s="1"/>
  <c r="E6" i="27" s="1"/>
  <c r="E15" i="27" s="1"/>
  <c r="E17" i="27" s="1"/>
  <c r="F6" i="27" s="1"/>
  <c r="F15" i="27" s="1"/>
  <c r="F17" i="27" s="1"/>
  <c r="G6" i="27" s="1"/>
  <c r="G15" i="27" s="1"/>
  <c r="G17" i="27" s="1"/>
  <c r="H6" i="27" s="1"/>
  <c r="H15" i="27" s="1"/>
  <c r="H17" i="27" s="1"/>
  <c r="I6" i="27" s="1"/>
  <c r="I15" i="27" s="1"/>
  <c r="I17" i="27" s="1"/>
  <c r="J6" i="27" s="1"/>
  <c r="J15" i="27" s="1"/>
  <c r="J17" i="27" s="1"/>
  <c r="K6" i="27" s="1"/>
  <c r="K15" i="27" s="1"/>
  <c r="K17" i="27" s="1"/>
  <c r="L6" i="27" s="1"/>
  <c r="L15" i="27" s="1"/>
  <c r="L17" i="27" s="1"/>
  <c r="M6" i="27" s="1"/>
  <c r="M15" i="27" s="1"/>
  <c r="M17" i="27" s="1"/>
  <c r="B25" i="27"/>
  <c r="B31" i="27" s="1"/>
  <c r="B33" i="27" s="1"/>
  <c r="C22" i="27" s="1"/>
  <c r="C31" i="27" s="1"/>
  <c r="C33" i="27" s="1"/>
  <c r="D22" i="27" s="1"/>
  <c r="D31" i="27" s="1"/>
  <c r="D33" i="27" s="1"/>
  <c r="E22" i="27" s="1"/>
  <c r="E31" i="27" s="1"/>
  <c r="E33" i="27" s="1"/>
  <c r="F22" i="27" s="1"/>
  <c r="F31" i="27" s="1"/>
  <c r="F33" i="27" s="1"/>
  <c r="G22" i="27" s="1"/>
  <c r="G31" i="27" s="1"/>
  <c r="G33" i="27" s="1"/>
  <c r="H22" i="27" s="1"/>
  <c r="H31" i="27" s="1"/>
  <c r="H33" i="27" s="1"/>
  <c r="I22" i="27" s="1"/>
  <c r="I31" i="27" s="1"/>
  <c r="I33" i="27" s="1"/>
  <c r="J22" i="27" s="1"/>
  <c r="J31" i="27" s="1"/>
  <c r="J33" i="27" s="1"/>
  <c r="K22" i="27" s="1"/>
  <c r="K31" i="27" s="1"/>
  <c r="K33" i="27" s="1"/>
  <c r="L22" i="27" s="1"/>
  <c r="L31" i="27" s="1"/>
  <c r="L33" i="27" s="1"/>
  <c r="M22" i="27" s="1"/>
  <c r="M31" i="27" s="1"/>
  <c r="M33" i="27" s="1"/>
  <c r="B15" i="167"/>
  <c r="B17" i="167" s="1"/>
  <c r="C6" i="167" s="1"/>
  <c r="C15" i="167" s="1"/>
  <c r="C17" i="167" s="1"/>
  <c r="D6" i="167" s="1"/>
  <c r="D15" i="167" s="1"/>
  <c r="D17" i="167" s="1"/>
  <c r="E6" i="167" s="1"/>
  <c r="E15" i="167" s="1"/>
  <c r="E17" i="167" s="1"/>
  <c r="F6" i="167" s="1"/>
  <c r="F15" i="167" s="1"/>
  <c r="F17" i="167" s="1"/>
  <c r="G6" i="167" s="1"/>
  <c r="G15" i="167" s="1"/>
  <c r="G17" i="167" s="1"/>
  <c r="H6" i="167" s="1"/>
  <c r="H15" i="167" s="1"/>
  <c r="H17" i="167" s="1"/>
  <c r="I6" i="167" s="1"/>
  <c r="I15" i="167" s="1"/>
  <c r="I17" i="167" s="1"/>
  <c r="J6" i="167" s="1"/>
  <c r="J15" i="167" s="1"/>
  <c r="J17" i="167" s="1"/>
  <c r="K6" i="167" s="1"/>
  <c r="K15" i="167" s="1"/>
  <c r="K17" i="167" s="1"/>
  <c r="L6" i="167" s="1"/>
  <c r="L15" i="167" s="1"/>
  <c r="L17" i="167" s="1"/>
  <c r="M6" i="167" s="1"/>
  <c r="M15" i="167" s="1"/>
  <c r="M17" i="167" s="1"/>
  <c r="B32" i="167"/>
  <c r="B34" i="167"/>
  <c r="C23" i="167" s="1"/>
  <c r="C32" i="167" s="1"/>
  <c r="C34" i="167" s="1"/>
  <c r="D23" i="167" s="1"/>
  <c r="D32" i="167" s="1"/>
  <c r="D34" i="167" s="1"/>
  <c r="E23" i="167" s="1"/>
  <c r="E32" i="167" s="1"/>
  <c r="E34" i="167" s="1"/>
  <c r="F23" i="167" s="1"/>
  <c r="F32" i="167" s="1"/>
  <c r="F34" i="167" s="1"/>
  <c r="G23" i="167" s="1"/>
  <c r="G32" i="167" s="1"/>
  <c r="G34" i="167" s="1"/>
  <c r="H23" i="167" s="1"/>
  <c r="H32" i="167" s="1"/>
  <c r="H34" i="167" s="1"/>
  <c r="I23" i="167" s="1"/>
  <c r="I32" i="167" s="1"/>
  <c r="I34" i="167" s="1"/>
  <c r="J23" i="167" s="1"/>
  <c r="J32" i="167" s="1"/>
  <c r="J34" i="167" s="1"/>
  <c r="K23" i="167" s="1"/>
  <c r="K32" i="167" s="1"/>
  <c r="K34" i="167" s="1"/>
  <c r="L23" i="167" s="1"/>
  <c r="L32" i="167" s="1"/>
  <c r="L34" i="167" s="1"/>
  <c r="M23" i="167" s="1"/>
  <c r="M32" i="167" s="1"/>
  <c r="M34" i="167" s="1"/>
  <c r="B16" i="145"/>
  <c r="B18" i="145"/>
  <c r="C7" i="145" s="1"/>
  <c r="C16" i="145" s="1"/>
  <c r="C18" i="145" s="1"/>
  <c r="D7" i="145" s="1"/>
  <c r="D16" i="145" s="1"/>
  <c r="D18" i="145" s="1"/>
  <c r="E7" i="145" s="1"/>
  <c r="E16" i="145" s="1"/>
  <c r="E18" i="145" s="1"/>
  <c r="F7" i="145" s="1"/>
  <c r="F16" i="145" s="1"/>
  <c r="F18" i="145" s="1"/>
  <c r="G7" i="145" s="1"/>
  <c r="G16" i="145" s="1"/>
  <c r="G18" i="145" s="1"/>
  <c r="H7" i="145" s="1"/>
  <c r="H16" i="145" s="1"/>
  <c r="H18" i="145" s="1"/>
  <c r="I7" i="145" s="1"/>
  <c r="I16" i="145" s="1"/>
  <c r="I18" i="145" s="1"/>
  <c r="J7" i="145" s="1"/>
  <c r="J16" i="145" s="1"/>
  <c r="J18" i="145" s="1"/>
  <c r="K7" i="145" s="1"/>
  <c r="K16" i="145" s="1"/>
  <c r="K18" i="145" s="1"/>
  <c r="L7" i="145" s="1"/>
  <c r="L16" i="145" s="1"/>
  <c r="L18" i="145" s="1"/>
  <c r="M7" i="145" s="1"/>
  <c r="M16" i="145" s="1"/>
  <c r="M18" i="145" s="1"/>
  <c r="C25" i="145"/>
  <c r="G25" i="145"/>
  <c r="B32" i="145"/>
  <c r="B34" i="145" s="1"/>
  <c r="C23" i="145" s="1"/>
  <c r="C32" i="145" s="1"/>
  <c r="C34" i="145" s="1"/>
  <c r="D23" i="145" s="1"/>
  <c r="D32" i="145" s="1"/>
  <c r="D34" i="145" s="1"/>
  <c r="E23" i="145" s="1"/>
  <c r="E32" i="145" s="1"/>
  <c r="E34" i="145" s="1"/>
  <c r="F23" i="145" s="1"/>
  <c r="F32" i="145" s="1"/>
  <c r="F34" i="145" s="1"/>
  <c r="G23" i="145" s="1"/>
  <c r="G32" i="145" s="1"/>
  <c r="G34" i="145" s="1"/>
  <c r="H23" i="145" s="1"/>
  <c r="H32" i="145" s="1"/>
  <c r="H34" i="145" s="1"/>
  <c r="I23" i="145" s="1"/>
  <c r="I32" i="145" s="1"/>
  <c r="I34" i="145" s="1"/>
  <c r="J23" i="145" s="1"/>
  <c r="J32" i="145" s="1"/>
  <c r="J34" i="145" s="1"/>
  <c r="K23" i="145" s="1"/>
  <c r="K32" i="145" s="1"/>
  <c r="K34" i="145" s="1"/>
  <c r="L23" i="145" s="1"/>
  <c r="L32" i="145" s="1"/>
  <c r="L34" i="145" s="1"/>
  <c r="M23" i="145" s="1"/>
  <c r="M32" i="145" s="1"/>
  <c r="M34" i="145" s="1"/>
  <c r="B14" i="142"/>
  <c r="B16" i="142" s="1"/>
  <c r="C5" i="142" s="1"/>
  <c r="C14" i="142" s="1"/>
  <c r="C16" i="142" s="1"/>
  <c r="D5" i="142" s="1"/>
  <c r="D14" i="142" s="1"/>
  <c r="H15" i="142"/>
  <c r="D16" i="142"/>
  <c r="E5" i="142" s="1"/>
  <c r="E14" i="142" s="1"/>
  <c r="E16" i="142" s="1"/>
  <c r="F5" i="142" s="1"/>
  <c r="F14" i="142" s="1"/>
  <c r="F16" i="142" s="1"/>
  <c r="G5" i="142" s="1"/>
  <c r="G14" i="142" s="1"/>
  <c r="G16" i="142" s="1"/>
  <c r="H5" i="142" s="1"/>
  <c r="H14" i="142" s="1"/>
  <c r="H16" i="142" s="1"/>
  <c r="I5" i="142" s="1"/>
  <c r="I14" i="142" s="1"/>
  <c r="I16" i="142" s="1"/>
  <c r="J5" i="142" s="1"/>
  <c r="J14" i="142" s="1"/>
  <c r="J16" i="142" s="1"/>
  <c r="K5" i="142" s="1"/>
  <c r="K14" i="142" s="1"/>
  <c r="K16" i="142" s="1"/>
  <c r="L5" i="142" s="1"/>
  <c r="L14" i="142" s="1"/>
  <c r="L16" i="142" s="1"/>
  <c r="M5" i="142" s="1"/>
  <c r="M14" i="142" s="1"/>
  <c r="M16" i="142" s="1"/>
  <c r="C22" i="142"/>
  <c r="C31" i="142" s="1"/>
  <c r="C33" i="142" s="1"/>
  <c r="D22" i="142" s="1"/>
  <c r="D31" i="142" s="1"/>
  <c r="E22" i="142"/>
  <c r="E31" i="142" s="1"/>
  <c r="E33" i="142" s="1"/>
  <c r="F22" i="142" s="1"/>
  <c r="F31" i="142" s="1"/>
  <c r="F33" i="142" s="1"/>
  <c r="G22" i="142" s="1"/>
  <c r="G31" i="142" s="1"/>
  <c r="G33" i="142" s="1"/>
  <c r="H22" i="142" s="1"/>
  <c r="H31" i="142" s="1"/>
  <c r="H33" i="142" s="1"/>
  <c r="I22" i="142" s="1"/>
  <c r="I31" i="142" s="1"/>
  <c r="I33" i="142" s="1"/>
  <c r="J22" i="142" s="1"/>
  <c r="J31" i="142" s="1"/>
  <c r="J33" i="142" s="1"/>
  <c r="K22" i="142" s="1"/>
  <c r="K31" i="142" s="1"/>
  <c r="K33" i="142" s="1"/>
  <c r="L22" i="142" s="1"/>
  <c r="L31" i="142" s="1"/>
  <c r="L33" i="142" s="1"/>
  <c r="M22" i="142" s="1"/>
  <c r="M31" i="142" s="1"/>
  <c r="M33" i="142" s="1"/>
  <c r="B31" i="142"/>
  <c r="B33" i="142" s="1"/>
  <c r="H35" i="142"/>
  <c r="C7" i="59"/>
  <c r="C16" i="59" s="1"/>
  <c r="C18" i="59" s="1"/>
  <c r="D7" i="59" s="1"/>
  <c r="D16" i="59" s="1"/>
  <c r="D18" i="59" s="1"/>
  <c r="E7" i="59" s="1"/>
  <c r="E16" i="59" s="1"/>
  <c r="E18" i="59" s="1"/>
  <c r="F7" i="59" s="1"/>
  <c r="F16" i="59" s="1"/>
  <c r="F18" i="59" s="1"/>
  <c r="G7" i="59" s="1"/>
  <c r="G16" i="59" s="1"/>
  <c r="G18" i="59" s="1"/>
  <c r="H7" i="59" s="1"/>
  <c r="H16" i="59" s="1"/>
  <c r="H18" i="59" s="1"/>
  <c r="I7" i="59" s="1"/>
  <c r="I16" i="59" s="1"/>
  <c r="I18" i="59" s="1"/>
  <c r="J7" i="59" s="1"/>
  <c r="J16" i="59" s="1"/>
  <c r="J18" i="59" s="1"/>
  <c r="K7" i="59" s="1"/>
  <c r="K16" i="59" s="1"/>
  <c r="K18" i="59" s="1"/>
  <c r="L7" i="59" s="1"/>
  <c r="L16" i="59" s="1"/>
  <c r="L18" i="59" s="1"/>
  <c r="M7" i="59" s="1"/>
  <c r="M16" i="59" s="1"/>
  <c r="M18" i="59" s="1"/>
  <c r="B16" i="59"/>
  <c r="B18" i="59" s="1"/>
  <c r="B36" i="59"/>
  <c r="B38" i="59" s="1"/>
  <c r="C27" i="59" s="1"/>
  <c r="C36" i="59" s="1"/>
  <c r="C38" i="59" s="1"/>
  <c r="D27" i="59" s="1"/>
  <c r="D36" i="59" s="1"/>
  <c r="D38" i="59" s="1"/>
  <c r="E27" i="59" s="1"/>
  <c r="E36" i="59" s="1"/>
  <c r="E38" i="59" s="1"/>
  <c r="F27" i="59" s="1"/>
  <c r="F36" i="59" s="1"/>
  <c r="F38" i="59" s="1"/>
  <c r="G27" i="59" s="1"/>
  <c r="G36" i="59" s="1"/>
  <c r="G38" i="59" s="1"/>
  <c r="H27" i="59" s="1"/>
  <c r="H36" i="59" s="1"/>
  <c r="H38" i="59" s="1"/>
  <c r="I27" i="59" s="1"/>
  <c r="I36" i="59" s="1"/>
  <c r="I38" i="59" s="1"/>
  <c r="J27" i="59" s="1"/>
  <c r="J36" i="59" s="1"/>
  <c r="J38" i="59" s="1"/>
  <c r="K27" i="59" s="1"/>
  <c r="K36" i="59" s="1"/>
  <c r="K38" i="59" s="1"/>
  <c r="L27" i="59" s="1"/>
  <c r="L36" i="59" s="1"/>
  <c r="L38" i="59" s="1"/>
  <c r="M27" i="59" s="1"/>
  <c r="M36" i="59" s="1"/>
  <c r="M38" i="59" s="1"/>
  <c r="B42" i="59" s="1"/>
  <c r="B51" i="59" s="1"/>
  <c r="B53" i="59" s="1"/>
  <c r="C42" i="59" s="1"/>
  <c r="C51" i="59" s="1"/>
  <c r="C53" i="59" s="1"/>
  <c r="D42" i="59" s="1"/>
  <c r="D51" i="59" s="1"/>
  <c r="D53" i="59" s="1"/>
  <c r="E42" i="59" s="1"/>
  <c r="E51" i="59" s="1"/>
  <c r="E53" i="59" s="1"/>
  <c r="F42" i="59" s="1"/>
  <c r="F51" i="59" s="1"/>
  <c r="F53" i="59" s="1"/>
  <c r="G42" i="59" s="1"/>
  <c r="G51" i="59" s="1"/>
  <c r="G53" i="59" s="1"/>
  <c r="H42" i="59" s="1"/>
  <c r="H51" i="59" s="1"/>
  <c r="H53" i="59" s="1"/>
  <c r="I42" i="59" s="1"/>
  <c r="I51" i="59" s="1"/>
  <c r="I53" i="59" s="1"/>
  <c r="J42" i="59" s="1"/>
  <c r="J51" i="59" s="1"/>
  <c r="J53" i="59" s="1"/>
  <c r="K42" i="59" s="1"/>
  <c r="K51" i="59" s="1"/>
  <c r="K53" i="59" s="1"/>
  <c r="L42" i="59" s="1"/>
  <c r="L51" i="59" s="1"/>
  <c r="L53" i="59" s="1"/>
  <c r="M42" i="59" s="1"/>
  <c r="M51" i="59" s="1"/>
  <c r="M53" i="59" s="1"/>
  <c r="B58" i="59" s="1"/>
  <c r="B67" i="59" s="1"/>
  <c r="B69" i="59" s="1"/>
  <c r="C58" i="59" s="1"/>
  <c r="C67" i="59" s="1"/>
  <c r="C69" i="59" s="1"/>
  <c r="D58" i="59" s="1"/>
  <c r="D67" i="59" s="1"/>
  <c r="D69" i="59" s="1"/>
  <c r="E58" i="59" s="1"/>
  <c r="E67" i="59" s="1"/>
  <c r="E69" i="59" s="1"/>
  <c r="F58" i="59" s="1"/>
  <c r="F67" i="59" s="1"/>
  <c r="F69" i="59" s="1"/>
  <c r="G58" i="59" s="1"/>
  <c r="G67" i="59" s="1"/>
  <c r="G69" i="59" s="1"/>
  <c r="H58" i="59" s="1"/>
  <c r="H67" i="59" s="1"/>
  <c r="H69" i="59" s="1"/>
  <c r="I58" i="59" s="1"/>
  <c r="I67" i="59" s="1"/>
  <c r="I69" i="59" s="1"/>
  <c r="J58" i="59" s="1"/>
  <c r="J67" i="59" s="1"/>
  <c r="J69" i="59" s="1"/>
  <c r="K58" i="59" s="1"/>
  <c r="K67" i="59" s="1"/>
  <c r="K69" i="59" s="1"/>
  <c r="L58" i="59" s="1"/>
  <c r="L67" i="59" s="1"/>
  <c r="L69" i="59" s="1"/>
  <c r="M58" i="59" s="1"/>
  <c r="M67" i="59" s="1"/>
  <c r="M69" i="59" s="1"/>
  <c r="B15" i="113"/>
  <c r="N15" i="113"/>
  <c r="B17" i="113"/>
  <c r="C6" i="113" s="1"/>
  <c r="C15" i="113" s="1"/>
  <c r="C17" i="113" s="1"/>
  <c r="D6" i="113" s="1"/>
  <c r="D15" i="113" s="1"/>
  <c r="D17" i="113" s="1"/>
  <c r="E6" i="113" s="1"/>
  <c r="E15" i="113" s="1"/>
  <c r="E17" i="113" s="1"/>
  <c r="F6" i="113" s="1"/>
  <c r="F15" i="113" s="1"/>
  <c r="F17" i="113" s="1"/>
  <c r="G6" i="113" s="1"/>
  <c r="G15" i="113" s="1"/>
  <c r="G17" i="113" s="1"/>
  <c r="H6" i="113" s="1"/>
  <c r="H15" i="113" s="1"/>
  <c r="H17" i="113" s="1"/>
  <c r="I6" i="113" s="1"/>
  <c r="I15" i="113" s="1"/>
  <c r="I17" i="113" s="1"/>
  <c r="J6" i="113" s="1"/>
  <c r="J15" i="113" s="1"/>
  <c r="J17" i="113" s="1"/>
  <c r="K6" i="113" s="1"/>
  <c r="K15" i="113" s="1"/>
  <c r="K17" i="113" s="1"/>
  <c r="L6" i="113" s="1"/>
  <c r="L15" i="113" s="1"/>
  <c r="L17" i="113" s="1"/>
  <c r="M6" i="113" s="1"/>
  <c r="M15" i="113" s="1"/>
  <c r="M17" i="113" s="1"/>
  <c r="B31" i="113"/>
  <c r="B33" i="113" s="1"/>
  <c r="C22" i="113" s="1"/>
  <c r="C31" i="113" s="1"/>
  <c r="C33" i="113" s="1"/>
  <c r="D22" i="113" s="1"/>
  <c r="D31" i="113" s="1"/>
  <c r="D33" i="113" s="1"/>
  <c r="E22" i="113" s="1"/>
  <c r="E31" i="113" s="1"/>
  <c r="E33" i="113" s="1"/>
  <c r="F22" i="113" s="1"/>
  <c r="F31" i="113" s="1"/>
  <c r="F33" i="113" s="1"/>
  <c r="G22" i="113" s="1"/>
  <c r="G31" i="113" s="1"/>
  <c r="G33" i="113" s="1"/>
  <c r="H22" i="113" s="1"/>
  <c r="H31" i="113" s="1"/>
  <c r="H33" i="113" s="1"/>
  <c r="I22" i="113" s="1"/>
  <c r="I31" i="113" s="1"/>
  <c r="I33" i="113" s="1"/>
  <c r="J22" i="113" s="1"/>
  <c r="J31" i="113" s="1"/>
  <c r="J33" i="113" s="1"/>
  <c r="K22" i="113" s="1"/>
  <c r="K31" i="113" s="1"/>
  <c r="K33" i="113" s="1"/>
  <c r="L22" i="113" s="1"/>
  <c r="L31" i="113" s="1"/>
  <c r="L33" i="113" s="1"/>
  <c r="M22" i="113" s="1"/>
  <c r="M31" i="113" s="1"/>
  <c r="M33" i="113" s="1"/>
  <c r="B47" i="113"/>
  <c r="B49" i="113" s="1"/>
  <c r="C38" i="113" s="1"/>
  <c r="C47" i="113" s="1"/>
  <c r="C49" i="113" s="1"/>
  <c r="D38" i="113" s="1"/>
  <c r="D47" i="113" s="1"/>
  <c r="D49" i="113" s="1"/>
  <c r="E38" i="113" s="1"/>
  <c r="E47" i="113" s="1"/>
  <c r="E49" i="113" s="1"/>
  <c r="F38" i="113" s="1"/>
  <c r="F47" i="113" s="1"/>
  <c r="F49" i="113" s="1"/>
  <c r="G38" i="113" s="1"/>
  <c r="G47" i="113" s="1"/>
  <c r="G49" i="113" s="1"/>
  <c r="H38" i="113" s="1"/>
  <c r="H47" i="113" s="1"/>
  <c r="H49" i="113" s="1"/>
  <c r="I38" i="113" s="1"/>
  <c r="I47" i="113" s="1"/>
  <c r="I49" i="113" s="1"/>
  <c r="J38" i="113" s="1"/>
  <c r="J47" i="113" s="1"/>
  <c r="J49" i="113" s="1"/>
  <c r="K38" i="113" s="1"/>
  <c r="K47" i="113" s="1"/>
  <c r="K49" i="113" s="1"/>
  <c r="L38" i="113" s="1"/>
  <c r="L47" i="113" s="1"/>
  <c r="L49" i="113" s="1"/>
  <c r="M38" i="113" s="1"/>
  <c r="M47" i="113" s="1"/>
  <c r="M49" i="113" s="1"/>
  <c r="B16" i="11"/>
  <c r="B18" i="11" s="1"/>
  <c r="C7" i="11" s="1"/>
  <c r="C16" i="11" s="1"/>
  <c r="C18" i="11" s="1"/>
  <c r="D7" i="11" s="1"/>
  <c r="D16" i="11" s="1"/>
  <c r="D18" i="11" s="1"/>
  <c r="E7" i="11" s="1"/>
  <c r="E16" i="11" s="1"/>
  <c r="E18" i="11" s="1"/>
  <c r="F7" i="11" s="1"/>
  <c r="F16" i="11" s="1"/>
  <c r="F18" i="11" s="1"/>
  <c r="G7" i="11" s="1"/>
  <c r="G16" i="11" s="1"/>
  <c r="G18" i="11" s="1"/>
  <c r="H7" i="11" s="1"/>
  <c r="H16" i="11" s="1"/>
  <c r="H18" i="11" s="1"/>
  <c r="I7" i="11" s="1"/>
  <c r="I16" i="11" s="1"/>
  <c r="I18" i="11" s="1"/>
  <c r="J7" i="11" s="1"/>
  <c r="J16" i="11" s="1"/>
  <c r="J18" i="11" s="1"/>
  <c r="K7" i="11" s="1"/>
  <c r="K16" i="11" s="1"/>
  <c r="K18" i="11" s="1"/>
  <c r="L7" i="11" s="1"/>
  <c r="L16" i="11" s="1"/>
  <c r="L18" i="11" s="1"/>
  <c r="M7" i="11" s="1"/>
  <c r="M16" i="11" s="1"/>
  <c r="M18" i="11" s="1"/>
  <c r="B32" i="11"/>
  <c r="B34" i="11" s="1"/>
  <c r="C23" i="11" s="1"/>
  <c r="C32" i="11" s="1"/>
  <c r="C34" i="11" s="1"/>
  <c r="D23" i="11" s="1"/>
  <c r="D32" i="11" s="1"/>
  <c r="D34" i="11" s="1"/>
  <c r="E23" i="11" s="1"/>
  <c r="E32" i="11" s="1"/>
  <c r="E34" i="11" s="1"/>
  <c r="F23" i="11" s="1"/>
  <c r="F32" i="11" s="1"/>
  <c r="F34" i="11" s="1"/>
  <c r="G23" i="11" s="1"/>
  <c r="G32" i="11" s="1"/>
  <c r="G34" i="11" s="1"/>
  <c r="H23" i="11" s="1"/>
  <c r="H32" i="11" s="1"/>
  <c r="H34" i="11" s="1"/>
  <c r="I23" i="11" s="1"/>
  <c r="I32" i="11" s="1"/>
  <c r="I34" i="11" s="1"/>
  <c r="J23" i="11" s="1"/>
  <c r="J32" i="11" s="1"/>
  <c r="J34" i="11" s="1"/>
  <c r="K23" i="11" s="1"/>
  <c r="K32" i="11" s="1"/>
  <c r="K34" i="11" s="1"/>
  <c r="L23" i="11" s="1"/>
  <c r="L32" i="11" s="1"/>
  <c r="L34" i="11" s="1"/>
  <c r="M23" i="11" s="1"/>
  <c r="M32" i="11" s="1"/>
  <c r="M34" i="11" s="1"/>
  <c r="G5" i="76"/>
  <c r="B17" i="76"/>
  <c r="B19" i="76" s="1"/>
  <c r="C8" i="76" s="1"/>
  <c r="C17" i="76" s="1"/>
  <c r="C19" i="76" s="1"/>
  <c r="D8" i="76" s="1"/>
  <c r="D17" i="76" s="1"/>
  <c r="D19" i="76" s="1"/>
  <c r="E8" i="76" s="1"/>
  <c r="E17" i="76" s="1"/>
  <c r="E19" i="76" s="1"/>
  <c r="F8" i="76" s="1"/>
  <c r="F17" i="76" s="1"/>
  <c r="F19" i="76" s="1"/>
  <c r="G8" i="76" s="1"/>
  <c r="G17" i="76" s="1"/>
  <c r="G19" i="76" s="1"/>
  <c r="H8" i="76" s="1"/>
  <c r="H17" i="76" s="1"/>
  <c r="H19" i="76" s="1"/>
  <c r="I8" i="76" s="1"/>
  <c r="I17" i="76" s="1"/>
  <c r="I19" i="76" s="1"/>
  <c r="J8" i="76" s="1"/>
  <c r="J17" i="76" s="1"/>
  <c r="J19" i="76" s="1"/>
  <c r="K8" i="76" s="1"/>
  <c r="K17" i="76" s="1"/>
  <c r="K19" i="76" s="1"/>
  <c r="L8" i="76" s="1"/>
  <c r="L17" i="76" s="1"/>
  <c r="L19" i="76" s="1"/>
  <c r="M8" i="76" s="1"/>
  <c r="M17" i="76" s="1"/>
  <c r="M19" i="76" s="1"/>
  <c r="E18" i="76"/>
  <c r="F18" i="76"/>
  <c r="G18" i="76"/>
  <c r="B21" i="76"/>
  <c r="C21" i="76"/>
  <c r="D21" i="76"/>
  <c r="E21" i="76"/>
  <c r="F21" i="76"/>
  <c r="G21" i="76"/>
  <c r="B33" i="76"/>
  <c r="B35" i="76"/>
  <c r="C24" i="76" s="1"/>
  <c r="C33" i="76" s="1"/>
  <c r="C35" i="76" s="1"/>
  <c r="D24" i="76" s="1"/>
  <c r="D33" i="76" s="1"/>
  <c r="D35" i="76" s="1"/>
  <c r="E24" i="76" s="1"/>
  <c r="E33" i="76" s="1"/>
  <c r="E35" i="76" s="1"/>
  <c r="F24" i="76" s="1"/>
  <c r="F33" i="76" s="1"/>
  <c r="F35" i="76" s="1"/>
  <c r="G24" i="76" s="1"/>
  <c r="G33" i="76" s="1"/>
  <c r="G35" i="76" s="1"/>
  <c r="H24" i="76" s="1"/>
  <c r="H33" i="76" s="1"/>
  <c r="H35" i="76" s="1"/>
  <c r="I24" i="76" s="1"/>
  <c r="I33" i="76" s="1"/>
  <c r="I35" i="76" s="1"/>
  <c r="J24" i="76" s="1"/>
  <c r="J33" i="76" s="1"/>
  <c r="J35" i="76" s="1"/>
  <c r="K24" i="76" s="1"/>
  <c r="K33" i="76" s="1"/>
  <c r="K35" i="76" s="1"/>
  <c r="L24" i="76" s="1"/>
  <c r="L33" i="76" s="1"/>
  <c r="L35" i="76" s="1"/>
  <c r="M24" i="76" s="1"/>
  <c r="M33" i="76" s="1"/>
  <c r="M35" i="76" s="1"/>
  <c r="B17" i="169"/>
  <c r="B19" i="169" s="1"/>
  <c r="C8" i="169" s="1"/>
  <c r="C17" i="169" s="1"/>
  <c r="C19" i="169" s="1"/>
  <c r="D8" i="169" s="1"/>
  <c r="D17" i="169" s="1"/>
  <c r="D19" i="169" s="1"/>
  <c r="E8" i="169" s="1"/>
  <c r="E17" i="169" s="1"/>
  <c r="E19" i="169" s="1"/>
  <c r="F8" i="169" s="1"/>
  <c r="F17" i="169" s="1"/>
  <c r="F19" i="169" s="1"/>
  <c r="G8" i="169" s="1"/>
  <c r="G17" i="169" s="1"/>
  <c r="G19" i="169" s="1"/>
  <c r="H8" i="169" s="1"/>
  <c r="H17" i="169" s="1"/>
  <c r="H19" i="169" s="1"/>
  <c r="I8" i="169" s="1"/>
  <c r="I17" i="169" s="1"/>
  <c r="I19" i="169" s="1"/>
  <c r="J8" i="169" s="1"/>
  <c r="J17" i="169" s="1"/>
  <c r="J19" i="169" s="1"/>
  <c r="K8" i="169" s="1"/>
  <c r="K17" i="169" s="1"/>
  <c r="K19" i="169" s="1"/>
  <c r="L8" i="169" s="1"/>
  <c r="L17" i="169" s="1"/>
  <c r="L19" i="169" s="1"/>
  <c r="M8" i="169" s="1"/>
  <c r="M17" i="169" s="1"/>
  <c r="M19" i="169" s="1"/>
  <c r="B36" i="169"/>
  <c r="B38" i="169" s="1"/>
  <c r="C27" i="169" s="1"/>
  <c r="C36" i="169" s="1"/>
  <c r="C38" i="169" s="1"/>
  <c r="D27" i="169" s="1"/>
  <c r="D36" i="169" s="1"/>
  <c r="D38" i="169" s="1"/>
  <c r="E27" i="169" s="1"/>
  <c r="E36" i="169" s="1"/>
  <c r="E38" i="169" s="1"/>
  <c r="F27" i="169" s="1"/>
  <c r="F36" i="169" s="1"/>
  <c r="F38" i="169" s="1"/>
  <c r="G27" i="169" s="1"/>
  <c r="G36" i="169" s="1"/>
  <c r="G38" i="169" s="1"/>
  <c r="H27" i="169" s="1"/>
  <c r="H36" i="169" s="1"/>
  <c r="H38" i="169" s="1"/>
  <c r="I27" i="169" s="1"/>
  <c r="I36" i="169" s="1"/>
  <c r="I38" i="169" s="1"/>
  <c r="J27" i="169" s="1"/>
  <c r="J36" i="169" s="1"/>
  <c r="J38" i="169" s="1"/>
  <c r="K27" i="169" s="1"/>
  <c r="K36" i="169" s="1"/>
  <c r="K38" i="169" s="1"/>
  <c r="L27" i="169" s="1"/>
  <c r="L36" i="169" s="1"/>
  <c r="L38" i="169" s="1"/>
  <c r="M27" i="169" s="1"/>
  <c r="M36" i="169" s="1"/>
  <c r="M38" i="169" s="1"/>
  <c r="N13" i="9"/>
  <c r="B17" i="9"/>
  <c r="B19" i="9"/>
  <c r="C8" i="9" s="1"/>
  <c r="C17" i="9" s="1"/>
  <c r="C19" i="9" s="1"/>
  <c r="D8" i="9" s="1"/>
  <c r="D17" i="9" s="1"/>
  <c r="D19" i="9" s="1"/>
  <c r="E8" i="9" s="1"/>
  <c r="E17" i="9" s="1"/>
  <c r="E19" i="9" s="1"/>
  <c r="F8" i="9" s="1"/>
  <c r="F17" i="9" s="1"/>
  <c r="F19" i="9" s="1"/>
  <c r="G8" i="9" s="1"/>
  <c r="G17" i="9" s="1"/>
  <c r="G19" i="9" s="1"/>
  <c r="H8" i="9" s="1"/>
  <c r="H17" i="9" s="1"/>
  <c r="H19" i="9" s="1"/>
  <c r="I8" i="9" s="1"/>
  <c r="I17" i="9" s="1"/>
  <c r="I19" i="9" s="1"/>
  <c r="J8" i="9" s="1"/>
  <c r="J17" i="9" s="1"/>
  <c r="J19" i="9" s="1"/>
  <c r="K8" i="9" s="1"/>
  <c r="K17" i="9" s="1"/>
  <c r="K19" i="9" s="1"/>
  <c r="L8" i="9" s="1"/>
  <c r="L17" i="9" s="1"/>
  <c r="L19" i="9" s="1"/>
  <c r="M8" i="9" s="1"/>
  <c r="M17" i="9" s="1"/>
  <c r="M19" i="9" s="1"/>
  <c r="B33" i="9"/>
  <c r="B35" i="9" s="1"/>
  <c r="C24" i="9"/>
  <c r="C33" i="9" s="1"/>
  <c r="C35" i="9" s="1"/>
  <c r="D24" i="9" s="1"/>
  <c r="D33" i="9" s="1"/>
  <c r="D35" i="9" s="1"/>
  <c r="E24" i="9" s="1"/>
  <c r="E33" i="9" s="1"/>
  <c r="E35" i="9" s="1"/>
  <c r="F24" i="9" s="1"/>
  <c r="F33" i="9" s="1"/>
  <c r="F35" i="9" s="1"/>
  <c r="G24" i="9" s="1"/>
  <c r="G33" i="9" s="1"/>
  <c r="G35" i="9" s="1"/>
  <c r="H24" i="9" s="1"/>
  <c r="H33" i="9" s="1"/>
  <c r="H35" i="9" s="1"/>
  <c r="I24" i="9" s="1"/>
  <c r="I33" i="9" s="1"/>
  <c r="I35" i="9" s="1"/>
  <c r="J24" i="9" s="1"/>
  <c r="J33" i="9" s="1"/>
  <c r="J35" i="9" s="1"/>
  <c r="K24" i="9" s="1"/>
  <c r="K33" i="9" s="1"/>
  <c r="K35" i="9" s="1"/>
  <c r="L24" i="9" s="1"/>
  <c r="L33" i="9" s="1"/>
  <c r="L35" i="9" s="1"/>
  <c r="M24" i="9" s="1"/>
  <c r="M33" i="9" s="1"/>
  <c r="M35" i="9" s="1"/>
  <c r="C6" i="61"/>
  <c r="B14" i="61"/>
  <c r="B16" i="61" s="1"/>
  <c r="C5" i="61" s="1"/>
  <c r="B30" i="61"/>
  <c r="B32" i="61" s="1"/>
  <c r="C21" i="61" s="1"/>
  <c r="C30" i="61" s="1"/>
  <c r="C32" i="61" s="1"/>
  <c r="D21" i="61" s="1"/>
  <c r="D30" i="61" s="1"/>
  <c r="D32" i="61" s="1"/>
  <c r="E21" i="61" s="1"/>
  <c r="E30" i="61" s="1"/>
  <c r="E32" i="61" s="1"/>
  <c r="F21" i="61" s="1"/>
  <c r="F30" i="61" s="1"/>
  <c r="F32" i="61" s="1"/>
  <c r="G21" i="61" s="1"/>
  <c r="G30" i="61" s="1"/>
  <c r="G32" i="61" s="1"/>
  <c r="H21" i="61" s="1"/>
  <c r="H30" i="61" s="1"/>
  <c r="H32" i="61" s="1"/>
  <c r="I21" i="61" s="1"/>
  <c r="I30" i="61" s="1"/>
  <c r="I32" i="61" s="1"/>
  <c r="J21" i="61" s="1"/>
  <c r="J30" i="61" s="1"/>
  <c r="J32" i="61" s="1"/>
  <c r="K21" i="61" s="1"/>
  <c r="K30" i="61" s="1"/>
  <c r="K32" i="61" s="1"/>
  <c r="L21" i="61" s="1"/>
  <c r="L30" i="61" s="1"/>
  <c r="L32" i="61" s="1"/>
  <c r="M21" i="61" s="1"/>
  <c r="M30" i="61" s="1"/>
  <c r="M32" i="61" s="1"/>
  <c r="B41" i="61"/>
  <c r="B15" i="8"/>
  <c r="B17" i="8" s="1"/>
  <c r="C6" i="8" s="1"/>
  <c r="C15" i="8" s="1"/>
  <c r="C17" i="8" s="1"/>
  <c r="D6" i="8" s="1"/>
  <c r="D15" i="8" s="1"/>
  <c r="D17" i="8" s="1"/>
  <c r="E6" i="8" s="1"/>
  <c r="E15" i="8" s="1"/>
  <c r="E17" i="8" s="1"/>
  <c r="F6" i="8" s="1"/>
  <c r="F15" i="8" s="1"/>
  <c r="F17" i="8" s="1"/>
  <c r="G6" i="8" s="1"/>
  <c r="G15" i="8" s="1"/>
  <c r="G17" i="8" s="1"/>
  <c r="H6" i="8" s="1"/>
  <c r="H15" i="8" s="1"/>
  <c r="H17" i="8" s="1"/>
  <c r="I6" i="8" s="1"/>
  <c r="I15" i="8" s="1"/>
  <c r="I17" i="8" s="1"/>
  <c r="J6" i="8" s="1"/>
  <c r="J15" i="8" s="1"/>
  <c r="J17" i="8" s="1"/>
  <c r="K6" i="8" s="1"/>
  <c r="K15" i="8" s="1"/>
  <c r="K17" i="8" s="1"/>
  <c r="L6" i="8" s="1"/>
  <c r="L15" i="8" s="1"/>
  <c r="L17" i="8" s="1"/>
  <c r="M6" i="8" s="1"/>
  <c r="M15" i="8" s="1"/>
  <c r="M17" i="8" s="1"/>
  <c r="B30" i="8"/>
  <c r="B32" i="8" s="1"/>
  <c r="C21" i="8" s="1"/>
  <c r="C30" i="8" s="1"/>
  <c r="C32" i="8" s="1"/>
  <c r="D21" i="8" s="1"/>
  <c r="D30" i="8" s="1"/>
  <c r="D32" i="8" s="1"/>
  <c r="E21" i="8" s="1"/>
  <c r="E30" i="8" s="1"/>
  <c r="E32" i="8" s="1"/>
  <c r="F21" i="8" s="1"/>
  <c r="F30" i="8" s="1"/>
  <c r="F32" i="8" s="1"/>
  <c r="G21" i="8" s="1"/>
  <c r="G30" i="8" s="1"/>
  <c r="G32" i="8" s="1"/>
  <c r="H21" i="8" s="1"/>
  <c r="H30" i="8" s="1"/>
  <c r="H32" i="8" s="1"/>
  <c r="I21" i="8" s="1"/>
  <c r="I30" i="8" s="1"/>
  <c r="I32" i="8" s="1"/>
  <c r="J21" i="8" s="1"/>
  <c r="J30" i="8" s="1"/>
  <c r="J32" i="8" s="1"/>
  <c r="K21" i="8" s="1"/>
  <c r="K30" i="8" s="1"/>
  <c r="K32" i="8" s="1"/>
  <c r="L21" i="8" s="1"/>
  <c r="L30" i="8" s="1"/>
  <c r="L32" i="8" s="1"/>
  <c r="M21" i="8" s="1"/>
  <c r="M30" i="8" s="1"/>
  <c r="M32" i="8" s="1"/>
  <c r="B47" i="8"/>
  <c r="B49" i="8" s="1"/>
  <c r="C38" i="8" s="1"/>
  <c r="C47" i="8" s="1"/>
  <c r="C49" i="8" s="1"/>
  <c r="D38" i="8" s="1"/>
  <c r="D47" i="8" s="1"/>
  <c r="D49" i="8" s="1"/>
  <c r="E38" i="8" s="1"/>
  <c r="E47" i="8" s="1"/>
  <c r="E49" i="8" s="1"/>
  <c r="F38" i="8" s="1"/>
  <c r="F47" i="8" s="1"/>
  <c r="F49" i="8" s="1"/>
  <c r="G38" i="8" s="1"/>
  <c r="G47" i="8" s="1"/>
  <c r="G49" i="8" s="1"/>
  <c r="H38" i="8" s="1"/>
  <c r="H47" i="8" s="1"/>
  <c r="H49" i="8" s="1"/>
  <c r="I38" i="8" s="1"/>
  <c r="I47" i="8" s="1"/>
  <c r="I49" i="8" s="1"/>
  <c r="J38" i="8" s="1"/>
  <c r="J47" i="8" s="1"/>
  <c r="J49" i="8" s="1"/>
  <c r="K38" i="8" s="1"/>
  <c r="K47" i="8" s="1"/>
  <c r="K49" i="8" s="1"/>
  <c r="L38" i="8" s="1"/>
  <c r="L47" i="8" s="1"/>
  <c r="L49" i="8" s="1"/>
  <c r="M38" i="8" s="1"/>
  <c r="M47" i="8" s="1"/>
  <c r="M49" i="8" s="1"/>
  <c r="B55" i="8"/>
  <c r="B56" i="8"/>
  <c r="B59" i="8"/>
  <c r="B60" i="8" s="1"/>
  <c r="B62" i="8" s="1"/>
  <c r="B15" i="94"/>
  <c r="B17" i="94" s="1"/>
  <c r="C6" i="94" s="1"/>
  <c r="C15" i="94" s="1"/>
  <c r="C17" i="94" s="1"/>
  <c r="D6" i="94" s="1"/>
  <c r="D15" i="94" s="1"/>
  <c r="D17" i="94" s="1"/>
  <c r="E6" i="94" s="1"/>
  <c r="E15" i="94" s="1"/>
  <c r="E17" i="94" s="1"/>
  <c r="F6" i="94" s="1"/>
  <c r="F15" i="94" s="1"/>
  <c r="F17" i="94" s="1"/>
  <c r="G6" i="94" s="1"/>
  <c r="G15" i="94" s="1"/>
  <c r="G17" i="94" s="1"/>
  <c r="H6" i="94" s="1"/>
  <c r="H15" i="94" s="1"/>
  <c r="H17" i="94" s="1"/>
  <c r="I6" i="94" s="1"/>
  <c r="I15" i="94" s="1"/>
  <c r="I17" i="94" s="1"/>
  <c r="J6" i="94" s="1"/>
  <c r="J15" i="94" s="1"/>
  <c r="J17" i="94" s="1"/>
  <c r="K6" i="94" s="1"/>
  <c r="K15" i="94" s="1"/>
  <c r="K17" i="94" s="1"/>
  <c r="L6" i="94" s="1"/>
  <c r="L15" i="94" s="1"/>
  <c r="L17" i="94" s="1"/>
  <c r="M6" i="94" s="1"/>
  <c r="M15" i="94" s="1"/>
  <c r="M17" i="94" s="1"/>
  <c r="B33" i="94"/>
  <c r="B35" i="94" s="1"/>
  <c r="C24" i="94" s="1"/>
  <c r="C33" i="94" s="1"/>
  <c r="C35" i="94" s="1"/>
  <c r="D24" i="94" s="1"/>
  <c r="D33" i="94" s="1"/>
  <c r="D35" i="94" s="1"/>
  <c r="E24" i="94" s="1"/>
  <c r="E33" i="94" s="1"/>
  <c r="E35" i="94" s="1"/>
  <c r="F24" i="94" s="1"/>
  <c r="F33" i="94" s="1"/>
  <c r="F35" i="94" s="1"/>
  <c r="G24" i="94" s="1"/>
  <c r="G33" i="94" s="1"/>
  <c r="G35" i="94" s="1"/>
  <c r="H24" i="94" s="1"/>
  <c r="H33" i="94" s="1"/>
  <c r="H35" i="94" s="1"/>
  <c r="I24" i="94" s="1"/>
  <c r="I33" i="94" s="1"/>
  <c r="I35" i="94" s="1"/>
  <c r="J24" i="94" s="1"/>
  <c r="J33" i="94" s="1"/>
  <c r="J35" i="94" s="1"/>
  <c r="K24" i="94" s="1"/>
  <c r="K33" i="94" s="1"/>
  <c r="K35" i="94" s="1"/>
  <c r="L24" i="94" s="1"/>
  <c r="L33" i="94" s="1"/>
  <c r="L35" i="94" s="1"/>
  <c r="M24" i="94" s="1"/>
  <c r="M33" i="94" s="1"/>
  <c r="M35" i="94" s="1"/>
  <c r="C4" i="165"/>
  <c r="C13" i="165" s="1"/>
  <c r="C15" i="165" s="1"/>
  <c r="D4" i="165" s="1"/>
  <c r="D13" i="165" s="1"/>
  <c r="D15" i="165" s="1"/>
  <c r="E4" i="165" s="1"/>
  <c r="E13" i="165" s="1"/>
  <c r="E15" i="165" s="1"/>
  <c r="F4" i="165" s="1"/>
  <c r="F13" i="165" s="1"/>
  <c r="F15" i="165" s="1"/>
  <c r="G4" i="165" s="1"/>
  <c r="G13" i="165" s="1"/>
  <c r="G15" i="165" s="1"/>
  <c r="H4" i="165" s="1"/>
  <c r="H13" i="165" s="1"/>
  <c r="H15" i="165" s="1"/>
  <c r="I4" i="165" s="1"/>
  <c r="I13" i="165" s="1"/>
  <c r="I15" i="165" s="1"/>
  <c r="J4" i="165" s="1"/>
  <c r="J13" i="165" s="1"/>
  <c r="J15" i="165" s="1"/>
  <c r="K4" i="165" s="1"/>
  <c r="K13" i="165" s="1"/>
  <c r="K15" i="165" s="1"/>
  <c r="L4" i="165" s="1"/>
  <c r="L13" i="165" s="1"/>
  <c r="L15" i="165" s="1"/>
  <c r="M4" i="165" s="1"/>
  <c r="M13" i="165" s="1"/>
  <c r="M15" i="165" s="1"/>
  <c r="B13" i="165"/>
  <c r="B15" i="165" s="1"/>
  <c r="B28" i="165"/>
  <c r="B30" i="165" s="1"/>
  <c r="C19" i="165" s="1"/>
  <c r="C28" i="165" s="1"/>
  <c r="C30" i="165" s="1"/>
  <c r="D19" i="165" s="1"/>
  <c r="D28" i="165" s="1"/>
  <c r="D30" i="165" s="1"/>
  <c r="E19" i="165" s="1"/>
  <c r="E28" i="165" s="1"/>
  <c r="E30" i="165" s="1"/>
  <c r="F19" i="165" s="1"/>
  <c r="F28" i="165" s="1"/>
  <c r="F30" i="165" s="1"/>
  <c r="G19" i="165" s="1"/>
  <c r="G28" i="165" s="1"/>
  <c r="G30" i="165" s="1"/>
  <c r="H19" i="165" s="1"/>
  <c r="H28" i="165" s="1"/>
  <c r="H30" i="165" s="1"/>
  <c r="I19" i="165" s="1"/>
  <c r="I28" i="165" s="1"/>
  <c r="I30" i="165" s="1"/>
  <c r="J19" i="165" s="1"/>
  <c r="J28" i="165" s="1"/>
  <c r="J30" i="165" s="1"/>
  <c r="K19" i="165" s="1"/>
  <c r="K28" i="165" s="1"/>
  <c r="K30" i="165" s="1"/>
  <c r="L19" i="165" s="1"/>
  <c r="L28" i="165" s="1"/>
  <c r="L30" i="165" s="1"/>
  <c r="M19" i="165" s="1"/>
  <c r="M28" i="165" s="1"/>
  <c r="M30" i="165" s="1"/>
  <c r="B15" i="141"/>
  <c r="B17" i="141" s="1"/>
  <c r="C6" i="141" s="1"/>
  <c r="C15" i="141" s="1"/>
  <c r="C17" i="141" s="1"/>
  <c r="D6" i="141" s="1"/>
  <c r="D15" i="141" s="1"/>
  <c r="D17" i="141" s="1"/>
  <c r="E6" i="141" s="1"/>
  <c r="E15" i="141" s="1"/>
  <c r="E17" i="141" s="1"/>
  <c r="F6" i="141" s="1"/>
  <c r="F15" i="141" s="1"/>
  <c r="F17" i="141" s="1"/>
  <c r="G6" i="141" s="1"/>
  <c r="G15" i="141" s="1"/>
  <c r="G17" i="141" s="1"/>
  <c r="H6" i="141" s="1"/>
  <c r="H15" i="141" s="1"/>
  <c r="H17" i="141" s="1"/>
  <c r="I6" i="141" s="1"/>
  <c r="I15" i="141" s="1"/>
  <c r="I17" i="141" s="1"/>
  <c r="J6" i="141" s="1"/>
  <c r="J15" i="141" s="1"/>
  <c r="J17" i="141" s="1"/>
  <c r="K6" i="141" s="1"/>
  <c r="K15" i="141" s="1"/>
  <c r="K17" i="141" s="1"/>
  <c r="L6" i="141" s="1"/>
  <c r="L15" i="141" s="1"/>
  <c r="L17" i="141" s="1"/>
  <c r="M6" i="141" s="1"/>
  <c r="M15" i="141" s="1"/>
  <c r="M17" i="141" s="1"/>
  <c r="B30" i="141"/>
  <c r="B32" i="141" s="1"/>
  <c r="C21" i="141" s="1"/>
  <c r="C30" i="141" s="1"/>
  <c r="C32" i="141" s="1"/>
  <c r="D21" i="141" s="1"/>
  <c r="D30" i="141" s="1"/>
  <c r="D32" i="141" s="1"/>
  <c r="E21" i="141" s="1"/>
  <c r="E30" i="141" s="1"/>
  <c r="E32" i="141" s="1"/>
  <c r="F21" i="141" s="1"/>
  <c r="F30" i="141" s="1"/>
  <c r="F32" i="141" s="1"/>
  <c r="G21" i="141" s="1"/>
  <c r="G30" i="141" s="1"/>
  <c r="G32" i="141" s="1"/>
  <c r="H21" i="141" s="1"/>
  <c r="H30" i="141" s="1"/>
  <c r="H32" i="141" s="1"/>
  <c r="I21" i="141" s="1"/>
  <c r="I30" i="141" s="1"/>
  <c r="I32" i="141" s="1"/>
  <c r="J21" i="141" s="1"/>
  <c r="J30" i="141" s="1"/>
  <c r="J32" i="141" s="1"/>
  <c r="K21" i="141" s="1"/>
  <c r="K30" i="141" s="1"/>
  <c r="K32" i="141" s="1"/>
  <c r="L21" i="141" s="1"/>
  <c r="L30" i="141" s="1"/>
  <c r="L32" i="141" s="1"/>
  <c r="M21" i="141" s="1"/>
  <c r="M30" i="141" s="1"/>
  <c r="M32" i="141" s="1"/>
  <c r="B14" i="181"/>
  <c r="B16" i="181" s="1"/>
  <c r="C5" i="181" s="1"/>
  <c r="C14" i="181" s="1"/>
  <c r="C16" i="181" s="1"/>
  <c r="D5" i="181" s="1"/>
  <c r="D14" i="181" s="1"/>
  <c r="D16" i="181" s="1"/>
  <c r="E5" i="181" s="1"/>
  <c r="E14" i="181" s="1"/>
  <c r="E16" i="181" s="1"/>
  <c r="F5" i="181" s="1"/>
  <c r="F14" i="181" s="1"/>
  <c r="F16" i="181" s="1"/>
  <c r="G5" i="181" s="1"/>
  <c r="G14" i="181" s="1"/>
  <c r="G16" i="181" s="1"/>
  <c r="H5" i="181" s="1"/>
  <c r="H14" i="181" s="1"/>
  <c r="H16" i="181" s="1"/>
  <c r="I5" i="181" s="1"/>
  <c r="I14" i="181" s="1"/>
  <c r="I16" i="181" s="1"/>
  <c r="J5" i="181" s="1"/>
  <c r="J14" i="181" s="1"/>
  <c r="J16" i="181" s="1"/>
  <c r="K5" i="181" s="1"/>
  <c r="K14" i="181" s="1"/>
  <c r="K16" i="181" s="1"/>
  <c r="L5" i="181" s="1"/>
  <c r="L14" i="181" s="1"/>
  <c r="L16" i="181" s="1"/>
  <c r="M5" i="181" s="1"/>
  <c r="M14" i="181" s="1"/>
  <c r="M16" i="181" s="1"/>
  <c r="B30" i="181"/>
  <c r="B32" i="181" s="1"/>
  <c r="C21" i="181" s="1"/>
  <c r="C30" i="181" s="1"/>
  <c r="C32" i="181" s="1"/>
  <c r="D21" i="181" s="1"/>
  <c r="D30" i="181" s="1"/>
  <c r="D32" i="181" s="1"/>
  <c r="E21" i="181" s="1"/>
  <c r="E30" i="181" s="1"/>
  <c r="E32" i="181" s="1"/>
  <c r="F21" i="181" s="1"/>
  <c r="F30" i="181" s="1"/>
  <c r="F32" i="181" s="1"/>
  <c r="G21" i="181" s="1"/>
  <c r="G30" i="181" s="1"/>
  <c r="G32" i="181" s="1"/>
  <c r="H21" i="181" s="1"/>
  <c r="H30" i="181" s="1"/>
  <c r="H32" i="181" s="1"/>
  <c r="I21" i="181" s="1"/>
  <c r="I30" i="181" s="1"/>
  <c r="I32" i="181" s="1"/>
  <c r="J21" i="181" s="1"/>
  <c r="J30" i="181" s="1"/>
  <c r="J32" i="181" s="1"/>
  <c r="K21" i="181" s="1"/>
  <c r="K30" i="181" s="1"/>
  <c r="K32" i="181" s="1"/>
  <c r="L21" i="181" s="1"/>
  <c r="L30" i="181" s="1"/>
  <c r="L32" i="181" s="1"/>
  <c r="M21" i="181" s="1"/>
  <c r="M30" i="181" s="1"/>
  <c r="M32" i="181" s="1"/>
  <c r="B14" i="215"/>
  <c r="B16" i="215" s="1"/>
  <c r="C5" i="215" s="1"/>
  <c r="C14" i="215" s="1"/>
  <c r="C16" i="215" s="1"/>
  <c r="D5" i="215" s="1"/>
  <c r="D14" i="215" s="1"/>
  <c r="D16" i="215" s="1"/>
  <c r="E5" i="215" s="1"/>
  <c r="E14" i="215" s="1"/>
  <c r="E16" i="215" s="1"/>
  <c r="F5" i="215" s="1"/>
  <c r="F14" i="215" s="1"/>
  <c r="F16" i="215" s="1"/>
  <c r="G5" i="215" s="1"/>
  <c r="G14" i="215" s="1"/>
  <c r="G16" i="215" s="1"/>
  <c r="H5" i="215" s="1"/>
  <c r="H14" i="215" s="1"/>
  <c r="H16" i="215" s="1"/>
  <c r="I5" i="215" s="1"/>
  <c r="I14" i="215" s="1"/>
  <c r="I16" i="215" s="1"/>
  <c r="J5" i="215" s="1"/>
  <c r="J14" i="215" s="1"/>
  <c r="J16" i="215" s="1"/>
  <c r="K5" i="215" s="1"/>
  <c r="K14" i="215" s="1"/>
  <c r="K16" i="215" s="1"/>
  <c r="L5" i="215" s="1"/>
  <c r="L14" i="215" s="1"/>
  <c r="L16" i="215" s="1"/>
  <c r="M5" i="215" s="1"/>
  <c r="M14" i="215" s="1"/>
  <c r="M16" i="215" s="1"/>
  <c r="B29" i="215"/>
  <c r="B31" i="215" s="1"/>
  <c r="C20" i="215" s="1"/>
  <c r="C29" i="215" s="1"/>
  <c r="C31" i="215" s="1"/>
  <c r="D20" i="215" s="1"/>
  <c r="D29" i="215" s="1"/>
  <c r="D31" i="215" s="1"/>
  <c r="E20" i="215" s="1"/>
  <c r="E29" i="215" s="1"/>
  <c r="E31" i="215" s="1"/>
  <c r="F20" i="215" s="1"/>
  <c r="F29" i="215" s="1"/>
  <c r="F31" i="215" s="1"/>
  <c r="G20" i="215" s="1"/>
  <c r="G29" i="215" s="1"/>
  <c r="G31" i="215" s="1"/>
  <c r="H20" i="215" s="1"/>
  <c r="H29" i="215" s="1"/>
  <c r="H31" i="215" s="1"/>
  <c r="I20" i="215" s="1"/>
  <c r="I29" i="215" s="1"/>
  <c r="I31" i="215" s="1"/>
  <c r="J20" i="215" s="1"/>
  <c r="J29" i="215" s="1"/>
  <c r="J31" i="215" s="1"/>
  <c r="K20" i="215" s="1"/>
  <c r="K29" i="215" s="1"/>
  <c r="K31" i="215" s="1"/>
  <c r="L20" i="215" s="1"/>
  <c r="L29" i="215" s="1"/>
  <c r="L31" i="215" s="1"/>
  <c r="M20" i="215" s="1"/>
  <c r="M29" i="215" s="1"/>
  <c r="M31" i="215" s="1"/>
  <c r="B14" i="189"/>
  <c r="B16" i="189"/>
  <c r="C5" i="189" s="1"/>
  <c r="C14" i="189" s="1"/>
  <c r="C16" i="189" s="1"/>
  <c r="D5" i="189" s="1"/>
  <c r="D14" i="189" s="1"/>
  <c r="D16" i="189" s="1"/>
  <c r="E5" i="189" s="1"/>
  <c r="E14" i="189" s="1"/>
  <c r="E16" i="189" s="1"/>
  <c r="F5" i="189" s="1"/>
  <c r="F14" i="189" s="1"/>
  <c r="F16" i="189" s="1"/>
  <c r="G5" i="189" s="1"/>
  <c r="G14" i="189" s="1"/>
  <c r="G16" i="189" s="1"/>
  <c r="H5" i="189" s="1"/>
  <c r="H14" i="189" s="1"/>
  <c r="H16" i="189" s="1"/>
  <c r="I5" i="189" s="1"/>
  <c r="I14" i="189" s="1"/>
  <c r="I16" i="189" s="1"/>
  <c r="J5" i="189" s="1"/>
  <c r="J14" i="189" s="1"/>
  <c r="J16" i="189" s="1"/>
  <c r="K5" i="189" s="1"/>
  <c r="K14" i="189" s="1"/>
  <c r="K16" i="189" s="1"/>
  <c r="L5" i="189" s="1"/>
  <c r="L14" i="189" s="1"/>
  <c r="L16" i="189" s="1"/>
  <c r="M5" i="189" s="1"/>
  <c r="M14" i="189" s="1"/>
  <c r="M16" i="189" s="1"/>
  <c r="B29" i="189"/>
  <c r="B31" i="189" s="1"/>
  <c r="C20" i="189" s="1"/>
  <c r="C29" i="189" s="1"/>
  <c r="C31" i="189" s="1"/>
  <c r="D20" i="189" s="1"/>
  <c r="D29" i="189" s="1"/>
  <c r="D31" i="189" s="1"/>
  <c r="E20" i="189" s="1"/>
  <c r="E29" i="189" s="1"/>
  <c r="E31" i="189" s="1"/>
  <c r="F20" i="189" s="1"/>
  <c r="F29" i="189" s="1"/>
  <c r="F31" i="189" s="1"/>
  <c r="G20" i="189" s="1"/>
  <c r="G29" i="189" s="1"/>
  <c r="G31" i="189" s="1"/>
  <c r="H20" i="189" s="1"/>
  <c r="H29" i="189" s="1"/>
  <c r="H31" i="189" s="1"/>
  <c r="I20" i="189" s="1"/>
  <c r="I29" i="189" s="1"/>
  <c r="I31" i="189" s="1"/>
  <c r="J20" i="189" s="1"/>
  <c r="J29" i="189" s="1"/>
  <c r="J31" i="189" s="1"/>
  <c r="K20" i="189" s="1"/>
  <c r="K29" i="189" s="1"/>
  <c r="K31" i="189" s="1"/>
  <c r="L20" i="189" s="1"/>
  <c r="L29" i="189" s="1"/>
  <c r="L31" i="189" s="1"/>
  <c r="M20" i="189" s="1"/>
  <c r="M29" i="189" s="1"/>
  <c r="M31" i="189" s="1"/>
  <c r="C30" i="189"/>
  <c r="B13" i="197"/>
  <c r="B15" i="197" s="1"/>
  <c r="C4" i="197" s="1"/>
  <c r="C13" i="197" s="1"/>
  <c r="C15" i="197" s="1"/>
  <c r="D4" i="197" s="1"/>
  <c r="D13" i="197" s="1"/>
  <c r="D15" i="197" s="1"/>
  <c r="E4" i="197" s="1"/>
  <c r="E13" i="197" s="1"/>
  <c r="E15" i="197" s="1"/>
  <c r="F4" i="197" s="1"/>
  <c r="F13" i="197" s="1"/>
  <c r="F15" i="197" s="1"/>
  <c r="G4" i="197" s="1"/>
  <c r="G13" i="197" s="1"/>
  <c r="G15" i="197" s="1"/>
  <c r="H4" i="197" s="1"/>
  <c r="H13" i="197" s="1"/>
  <c r="H15" i="197" s="1"/>
  <c r="I4" i="197" s="1"/>
  <c r="I13" i="197" s="1"/>
  <c r="I15" i="197" s="1"/>
  <c r="J4" i="197" s="1"/>
  <c r="J13" i="197" s="1"/>
  <c r="J15" i="197" s="1"/>
  <c r="K4" i="197" s="1"/>
  <c r="K13" i="197" s="1"/>
  <c r="K15" i="197" s="1"/>
  <c r="L4" i="197" s="1"/>
  <c r="L13" i="197" s="1"/>
  <c r="L15" i="197" s="1"/>
  <c r="M4" i="197" s="1"/>
  <c r="M13" i="197" s="1"/>
  <c r="M15" i="197" s="1"/>
  <c r="B28" i="197"/>
  <c r="B30" i="197"/>
  <c r="C19" i="197"/>
  <c r="C28" i="197" s="1"/>
  <c r="C30" i="197" s="1"/>
  <c r="D19" i="197" s="1"/>
  <c r="D28" i="197" s="1"/>
  <c r="D30" i="197" s="1"/>
  <c r="E19" i="197" s="1"/>
  <c r="E28" i="197" s="1"/>
  <c r="E30" i="197" s="1"/>
  <c r="F19" i="197" s="1"/>
  <c r="F28" i="197" s="1"/>
  <c r="F30" i="197" s="1"/>
  <c r="G19" i="197" s="1"/>
  <c r="G28" i="197" s="1"/>
  <c r="G30" i="197" s="1"/>
  <c r="H19" i="197" s="1"/>
  <c r="H28" i="197" s="1"/>
  <c r="H30" i="197" s="1"/>
  <c r="I19" i="197" s="1"/>
  <c r="I28" i="197" s="1"/>
  <c r="I30" i="197" s="1"/>
  <c r="J19" i="197" s="1"/>
  <c r="J28" i="197" s="1"/>
  <c r="J30" i="197" s="1"/>
  <c r="K19" i="197" s="1"/>
  <c r="K28" i="197" s="1"/>
  <c r="K30" i="197" s="1"/>
  <c r="L19" i="197" s="1"/>
  <c r="L28" i="197" s="1"/>
  <c r="L30" i="197" s="1"/>
  <c r="M19" i="197" s="1"/>
  <c r="M28" i="197" s="1"/>
  <c r="M30" i="197" s="1"/>
  <c r="B15" i="67"/>
  <c r="B17" i="67" s="1"/>
  <c r="C6" i="67" s="1"/>
  <c r="C15" i="67" s="1"/>
  <c r="C17" i="67" s="1"/>
  <c r="D6" i="67" s="1"/>
  <c r="D15" i="67" s="1"/>
  <c r="D17" i="67" s="1"/>
  <c r="E6" i="67" s="1"/>
  <c r="E15" i="67" s="1"/>
  <c r="E17" i="67" s="1"/>
  <c r="F6" i="67" s="1"/>
  <c r="F15" i="67" s="1"/>
  <c r="F17" i="67" s="1"/>
  <c r="G6" i="67" s="1"/>
  <c r="G15" i="67" s="1"/>
  <c r="G17" i="67" s="1"/>
  <c r="H6" i="67" s="1"/>
  <c r="H15" i="67" s="1"/>
  <c r="H17" i="67" s="1"/>
  <c r="I6" i="67" s="1"/>
  <c r="I15" i="67" s="1"/>
  <c r="I17" i="67" s="1"/>
  <c r="J6" i="67" s="1"/>
  <c r="J15" i="67" s="1"/>
  <c r="J17" i="67" s="1"/>
  <c r="K6" i="67" s="1"/>
  <c r="K15" i="67" s="1"/>
  <c r="K17" i="67" s="1"/>
  <c r="L6" i="67" s="1"/>
  <c r="L15" i="67" s="1"/>
  <c r="L17" i="67" s="1"/>
  <c r="M6" i="67" s="1"/>
  <c r="M15" i="67" s="1"/>
  <c r="M17" i="67" s="1"/>
  <c r="B33" i="67"/>
  <c r="B35" i="67" s="1"/>
  <c r="C24" i="67" s="1"/>
  <c r="C33" i="67" s="1"/>
  <c r="C35" i="67" s="1"/>
  <c r="D24" i="67" s="1"/>
  <c r="D33" i="67" s="1"/>
  <c r="D35" i="67" s="1"/>
  <c r="E24" i="67" s="1"/>
  <c r="E33" i="67" s="1"/>
  <c r="E35" i="67" s="1"/>
  <c r="F24" i="67" s="1"/>
  <c r="F33" i="67" s="1"/>
  <c r="F35" i="67" s="1"/>
  <c r="G24" i="67" s="1"/>
  <c r="G33" i="67" s="1"/>
  <c r="G35" i="67"/>
  <c r="H24" i="67" s="1"/>
  <c r="H33" i="67" s="1"/>
  <c r="H35" i="67" s="1"/>
  <c r="I24" i="67" s="1"/>
  <c r="I33" i="67" s="1"/>
  <c r="I35" i="67" s="1"/>
  <c r="J24" i="67" s="1"/>
  <c r="J33" i="67" s="1"/>
  <c r="J35" i="67" s="1"/>
  <c r="K24" i="67" s="1"/>
  <c r="K33" i="67" s="1"/>
  <c r="K35" i="67" s="1"/>
  <c r="L24" i="67" s="1"/>
  <c r="L33" i="67" s="1"/>
  <c r="L35" i="67" s="1"/>
  <c r="M24" i="67" s="1"/>
  <c r="M33" i="67" s="1"/>
  <c r="M35" i="67" s="1"/>
  <c r="B49" i="67"/>
  <c r="B50" i="67"/>
  <c r="B51" i="67"/>
  <c r="C40" i="67" s="1"/>
  <c r="C49" i="67" s="1"/>
  <c r="C51" i="67" s="1"/>
  <c r="D40" i="67" s="1"/>
  <c r="D49" i="67" s="1"/>
  <c r="D51" i="67" s="1"/>
  <c r="E40" i="67" s="1"/>
  <c r="E49" i="67" s="1"/>
  <c r="E51" i="67" s="1"/>
  <c r="F40" i="67" s="1"/>
  <c r="F49" i="67" s="1"/>
  <c r="F51" i="67" s="1"/>
  <c r="G40" i="67" s="1"/>
  <c r="G49" i="67" s="1"/>
  <c r="G51" i="67" s="1"/>
  <c r="H40" i="67" s="1"/>
  <c r="H49" i="67" s="1"/>
  <c r="H51" i="67" s="1"/>
  <c r="I40" i="67" s="1"/>
  <c r="I49" i="67" s="1"/>
  <c r="I51" i="67" s="1"/>
  <c r="J40" i="67" s="1"/>
  <c r="J49" i="67" s="1"/>
  <c r="J51" i="67" s="1"/>
  <c r="K40" i="67" s="1"/>
  <c r="K49" i="67" s="1"/>
  <c r="K51" i="67" s="1"/>
  <c r="L40" i="67" s="1"/>
  <c r="L49" i="67" s="1"/>
  <c r="L51" i="67" s="1"/>
  <c r="M40" i="67" s="1"/>
  <c r="M49" i="67" s="1"/>
  <c r="M51" i="67" s="1"/>
  <c r="B14" i="211"/>
  <c r="B16" i="211"/>
  <c r="C5" i="211" s="1"/>
  <c r="C14" i="211" s="1"/>
  <c r="C16" i="211" s="1"/>
  <c r="D5" i="211" s="1"/>
  <c r="D14" i="211" s="1"/>
  <c r="D16" i="211" s="1"/>
  <c r="E5" i="211" s="1"/>
  <c r="E14" i="211" s="1"/>
  <c r="E16" i="211" s="1"/>
  <c r="F5" i="211" s="1"/>
  <c r="F14" i="211" s="1"/>
  <c r="F16" i="211" s="1"/>
  <c r="G5" i="211" s="1"/>
  <c r="G14" i="211" s="1"/>
  <c r="G16" i="211" s="1"/>
  <c r="H5" i="211" s="1"/>
  <c r="H14" i="211" s="1"/>
  <c r="H16" i="211" s="1"/>
  <c r="I5" i="211" s="1"/>
  <c r="I14" i="211" s="1"/>
  <c r="I16" i="211" s="1"/>
  <c r="J5" i="211" s="1"/>
  <c r="J14" i="211" s="1"/>
  <c r="J16" i="211" s="1"/>
  <c r="K5" i="211" s="1"/>
  <c r="K14" i="211" s="1"/>
  <c r="K16" i="211" s="1"/>
  <c r="L5" i="211" s="1"/>
  <c r="L14" i="211" s="1"/>
  <c r="L16" i="211" s="1"/>
  <c r="M5" i="211" s="1"/>
  <c r="M14" i="211" s="1"/>
  <c r="M16" i="211" s="1"/>
  <c r="B29" i="211"/>
  <c r="B31" i="211" s="1"/>
  <c r="C20" i="211" s="1"/>
  <c r="C29" i="211" s="1"/>
  <c r="C31" i="211" s="1"/>
  <c r="D20" i="211" s="1"/>
  <c r="D29" i="211" s="1"/>
  <c r="D31" i="211" s="1"/>
  <c r="E20" i="211" s="1"/>
  <c r="E29" i="211" s="1"/>
  <c r="E31" i="211" s="1"/>
  <c r="F20" i="211" s="1"/>
  <c r="F29" i="211" s="1"/>
  <c r="F31" i="211" s="1"/>
  <c r="G20" i="211" s="1"/>
  <c r="G29" i="211" s="1"/>
  <c r="G31" i="211" s="1"/>
  <c r="H20" i="211" s="1"/>
  <c r="H29" i="211" s="1"/>
  <c r="H31" i="211" s="1"/>
  <c r="I20" i="211" s="1"/>
  <c r="I29" i="211" s="1"/>
  <c r="I31" i="211" s="1"/>
  <c r="J20" i="211" s="1"/>
  <c r="J29" i="211" s="1"/>
  <c r="J31" i="211" s="1"/>
  <c r="K20" i="211" s="1"/>
  <c r="K29" i="211" s="1"/>
  <c r="K31" i="211" s="1"/>
  <c r="L20" i="211" s="1"/>
  <c r="L29" i="211" s="1"/>
  <c r="L31" i="211" s="1"/>
  <c r="M20" i="211" s="1"/>
  <c r="M29" i="211" s="1"/>
  <c r="M31" i="211" s="1"/>
  <c r="C30" i="211"/>
  <c r="B17" i="7"/>
  <c r="B19" i="7" s="1"/>
  <c r="C8" i="7" s="1"/>
  <c r="C17" i="7" s="1"/>
  <c r="C19" i="7" s="1"/>
  <c r="D8" i="7" s="1"/>
  <c r="D17" i="7" s="1"/>
  <c r="D19" i="7" s="1"/>
  <c r="E8" i="7" s="1"/>
  <c r="E17" i="7" s="1"/>
  <c r="E19" i="7" s="1"/>
  <c r="F8" i="7" s="1"/>
  <c r="F17" i="7" s="1"/>
  <c r="F19" i="7" s="1"/>
  <c r="G8" i="7" s="1"/>
  <c r="G17" i="7" s="1"/>
  <c r="G19" i="7" s="1"/>
  <c r="H8" i="7" s="1"/>
  <c r="H17" i="7" s="1"/>
  <c r="H19" i="7" s="1"/>
  <c r="I8" i="7" s="1"/>
  <c r="I17" i="7" s="1"/>
  <c r="I19" i="7" s="1"/>
  <c r="J8" i="7" s="1"/>
  <c r="J17" i="7" s="1"/>
  <c r="J19" i="7" s="1"/>
  <c r="K8" i="7" s="1"/>
  <c r="K17" i="7" s="1"/>
  <c r="K19" i="7" s="1"/>
  <c r="L8" i="7" s="1"/>
  <c r="L17" i="7" s="1"/>
  <c r="L19" i="7" s="1"/>
  <c r="M8" i="7" s="1"/>
  <c r="M17" i="7" s="1"/>
  <c r="M19" i="7" s="1"/>
  <c r="B33" i="7"/>
  <c r="B35" i="7" s="1"/>
  <c r="C24" i="7" s="1"/>
  <c r="C33" i="7" s="1"/>
  <c r="C35" i="7" s="1"/>
  <c r="D24" i="7" s="1"/>
  <c r="D33" i="7" s="1"/>
  <c r="D35" i="7" s="1"/>
  <c r="E24" i="7" s="1"/>
  <c r="E33" i="7" s="1"/>
  <c r="E35" i="7" s="1"/>
  <c r="F24" i="7" s="1"/>
  <c r="F33" i="7" s="1"/>
  <c r="F35" i="7" s="1"/>
  <c r="G24" i="7" s="1"/>
  <c r="G33" i="7" s="1"/>
  <c r="G35" i="7" s="1"/>
  <c r="H24" i="7" s="1"/>
  <c r="H33" i="7" s="1"/>
  <c r="H35" i="7" s="1"/>
  <c r="I24" i="7" s="1"/>
  <c r="I33" i="7" s="1"/>
  <c r="I35" i="7" s="1"/>
  <c r="J24" i="7" s="1"/>
  <c r="J33" i="7" s="1"/>
  <c r="J35" i="7" s="1"/>
  <c r="K24" i="7" s="1"/>
  <c r="K33" i="7" s="1"/>
  <c r="K35" i="7" s="1"/>
  <c r="L24" i="7" s="1"/>
  <c r="L33" i="7" s="1"/>
  <c r="L35" i="7" s="1"/>
  <c r="M24" i="7" s="1"/>
  <c r="M33" i="7" s="1"/>
  <c r="M35" i="7" s="1"/>
  <c r="M40" i="7"/>
  <c r="M49" i="7" s="1"/>
  <c r="M51" i="7" s="1"/>
  <c r="B49" i="7"/>
  <c r="B51" i="7" s="1"/>
  <c r="C40" i="7" s="1"/>
  <c r="C49" i="7" s="1"/>
  <c r="C51" i="7" s="1"/>
  <c r="D40" i="7" s="1"/>
  <c r="D49" i="7" s="1"/>
  <c r="D51" i="7" s="1"/>
  <c r="E40" i="7" s="1"/>
  <c r="E49" i="7" s="1"/>
  <c r="E51" i="7" s="1"/>
  <c r="F40" i="7" s="1"/>
  <c r="F49" i="7" s="1"/>
  <c r="F51" i="7" s="1"/>
  <c r="G40" i="7" s="1"/>
  <c r="G49" i="7" s="1"/>
  <c r="G51" i="7" s="1"/>
  <c r="H40" i="7" s="1"/>
  <c r="H49" i="7" s="1"/>
  <c r="H51" i="7" s="1"/>
  <c r="I40" i="7" s="1"/>
  <c r="I49" i="7" s="1"/>
  <c r="I51" i="7" s="1"/>
  <c r="J40" i="7" s="1"/>
  <c r="J49" i="7" s="1"/>
  <c r="J51" i="7" s="1"/>
  <c r="K40" i="7" s="1"/>
  <c r="K49" i="7" s="1"/>
  <c r="K51" i="7" s="1"/>
  <c r="L40" i="7" s="1"/>
  <c r="L49" i="7" s="1"/>
  <c r="B13" i="190"/>
  <c r="B15" i="190" s="1"/>
  <c r="C4" i="190" s="1"/>
  <c r="C13" i="190" s="1"/>
  <c r="C15" i="190" s="1"/>
  <c r="D4" i="190" s="1"/>
  <c r="D13" i="190" s="1"/>
  <c r="D15" i="190" s="1"/>
  <c r="E4" i="190" s="1"/>
  <c r="E13" i="190" s="1"/>
  <c r="E15" i="190" s="1"/>
  <c r="F4" i="190" s="1"/>
  <c r="F13" i="190" s="1"/>
  <c r="F15" i="190" s="1"/>
  <c r="G4" i="190" s="1"/>
  <c r="G13" i="190" s="1"/>
  <c r="G15" i="190" s="1"/>
  <c r="H4" i="190" s="1"/>
  <c r="H13" i="190" s="1"/>
  <c r="H15" i="190" s="1"/>
  <c r="I4" i="190" s="1"/>
  <c r="I13" i="190" s="1"/>
  <c r="I15" i="190" s="1"/>
  <c r="J4" i="190" s="1"/>
  <c r="J13" i="190" s="1"/>
  <c r="J15" i="190" s="1"/>
  <c r="K4" i="190" s="1"/>
  <c r="K13" i="190" s="1"/>
  <c r="K15" i="190" s="1"/>
  <c r="L4" i="190" s="1"/>
  <c r="L13" i="190" s="1"/>
  <c r="L15" i="190" s="1"/>
  <c r="M4" i="190" s="1"/>
  <c r="M13" i="190" s="1"/>
  <c r="M15" i="190" s="1"/>
  <c r="B13" i="218"/>
  <c r="B15" i="218" s="1"/>
  <c r="C4" i="218" s="1"/>
  <c r="C13" i="218" s="1"/>
  <c r="C15" i="218" s="1"/>
  <c r="D4" i="218" s="1"/>
  <c r="D13" i="218" s="1"/>
  <c r="D15" i="218" s="1"/>
  <c r="E4" i="218" s="1"/>
  <c r="E13" i="218" s="1"/>
  <c r="E15" i="218" s="1"/>
  <c r="F4" i="218" s="1"/>
  <c r="F13" i="218" s="1"/>
  <c r="F15" i="218" s="1"/>
  <c r="G4" i="218" s="1"/>
  <c r="G13" i="218" s="1"/>
  <c r="G15" i="218" s="1"/>
  <c r="H4" i="218" s="1"/>
  <c r="H13" i="218" s="1"/>
  <c r="H15" i="218" s="1"/>
  <c r="I4" i="218" s="1"/>
  <c r="I13" i="218" s="1"/>
  <c r="I15" i="218" s="1"/>
  <c r="J4" i="218" s="1"/>
  <c r="J13" i="218" s="1"/>
  <c r="J15" i="218" s="1"/>
  <c r="K4" i="218" s="1"/>
  <c r="K13" i="218" s="1"/>
  <c r="K15" i="218" s="1"/>
  <c r="L4" i="218" s="1"/>
  <c r="L13" i="218" s="1"/>
  <c r="L15" i="218" s="1"/>
  <c r="M4" i="218" s="1"/>
  <c r="M13" i="218" s="1"/>
  <c r="M15" i="218" s="1"/>
  <c r="B27" i="218"/>
  <c r="B29" i="218" s="1"/>
  <c r="C18" i="218" s="1"/>
  <c r="C27" i="218" s="1"/>
  <c r="C29" i="218" s="1"/>
  <c r="D18" i="218" s="1"/>
  <c r="D27" i="218" s="1"/>
  <c r="D29" i="218" s="1"/>
  <c r="E18" i="218" s="1"/>
  <c r="E27" i="218" s="1"/>
  <c r="E29" i="218" s="1"/>
  <c r="F18" i="218" s="1"/>
  <c r="F27" i="218" s="1"/>
  <c r="F29" i="218" s="1"/>
  <c r="G18" i="218" s="1"/>
  <c r="G27" i="218" s="1"/>
  <c r="G29" i="218" s="1"/>
  <c r="H18" i="218" s="1"/>
  <c r="H27" i="218" s="1"/>
  <c r="H29" i="218" s="1"/>
  <c r="I18" i="218" s="1"/>
  <c r="I27" i="218" s="1"/>
  <c r="I29" i="218" s="1"/>
  <c r="J18" i="218" s="1"/>
  <c r="J27" i="218" s="1"/>
  <c r="J29" i="218" s="1"/>
  <c r="K18" i="218" s="1"/>
  <c r="K27" i="218" s="1"/>
  <c r="K29" i="218" s="1"/>
  <c r="L18" i="218" s="1"/>
  <c r="L27" i="218" s="1"/>
  <c r="L29" i="218" s="1"/>
  <c r="M18" i="218" s="1"/>
  <c r="M27" i="218" s="1"/>
  <c r="M29" i="218" s="1"/>
  <c r="B18" i="62"/>
  <c r="B20" i="62" s="1"/>
  <c r="C9" i="62" s="1"/>
  <c r="C18" i="62" s="1"/>
  <c r="C20" i="62" s="1"/>
  <c r="D9" i="62" s="1"/>
  <c r="D18" i="62" s="1"/>
  <c r="D20" i="62"/>
  <c r="E9" i="62" s="1"/>
  <c r="E18" i="62" s="1"/>
  <c r="E20" i="62" s="1"/>
  <c r="F9" i="62" s="1"/>
  <c r="F18" i="62" s="1"/>
  <c r="F20" i="62" s="1"/>
  <c r="G9" i="62" s="1"/>
  <c r="G18" i="62" s="1"/>
  <c r="G20" i="62" s="1"/>
  <c r="H9" i="62" s="1"/>
  <c r="H18" i="62" s="1"/>
  <c r="H20" i="62" s="1"/>
  <c r="I9" i="62" s="1"/>
  <c r="I18" i="62" s="1"/>
  <c r="I20" i="62" s="1"/>
  <c r="J9" i="62" s="1"/>
  <c r="J18" i="62" s="1"/>
  <c r="J20" i="62" s="1"/>
  <c r="K9" i="62" s="1"/>
  <c r="K18" i="62" s="1"/>
  <c r="K20" i="62" s="1"/>
  <c r="L9" i="62" s="1"/>
  <c r="L18" i="62" s="1"/>
  <c r="L20" i="62" s="1"/>
  <c r="M9" i="62" s="1"/>
  <c r="M18" i="62" s="1"/>
  <c r="M20" i="62" s="1"/>
  <c r="B36" i="62"/>
  <c r="B38" i="62" s="1"/>
  <c r="C27" i="62" s="1"/>
  <c r="C36" i="62" s="1"/>
  <c r="C38" i="62" s="1"/>
  <c r="D27" i="62" s="1"/>
  <c r="D36" i="62" s="1"/>
  <c r="D38" i="62" s="1"/>
  <c r="E27" i="62" s="1"/>
  <c r="E36" i="62" s="1"/>
  <c r="E38" i="62" s="1"/>
  <c r="F27" i="62" s="1"/>
  <c r="F36" i="62" s="1"/>
  <c r="F38" i="62" s="1"/>
  <c r="G27" i="62" s="1"/>
  <c r="G36" i="62" s="1"/>
  <c r="G38" i="62" s="1"/>
  <c r="H27" i="62" s="1"/>
  <c r="H36" i="62" s="1"/>
  <c r="H38" i="62" s="1"/>
  <c r="I27" i="62" s="1"/>
  <c r="I36" i="62" s="1"/>
  <c r="I38" i="62" s="1"/>
  <c r="J27" i="62" s="1"/>
  <c r="J36" i="62" s="1"/>
  <c r="J38" i="62" s="1"/>
  <c r="K27" i="62" s="1"/>
  <c r="K36" i="62" s="1"/>
  <c r="K38" i="62" s="1"/>
  <c r="L27" i="62" s="1"/>
  <c r="L36" i="62" s="1"/>
  <c r="L38" i="62" s="1"/>
  <c r="M27" i="62" s="1"/>
  <c r="M36" i="62" s="1"/>
  <c r="M38" i="62" s="1"/>
  <c r="B53" i="62"/>
  <c r="B55" i="62"/>
  <c r="C44" i="62" s="1"/>
  <c r="C53" i="62" s="1"/>
  <c r="C55" i="62" s="1"/>
  <c r="D44" i="62" s="1"/>
  <c r="D53" i="62" s="1"/>
  <c r="D55" i="62" s="1"/>
  <c r="E44" i="62" s="1"/>
  <c r="E53" i="62" s="1"/>
  <c r="E55" i="62" s="1"/>
  <c r="F44" i="62" s="1"/>
  <c r="F53" i="62" s="1"/>
  <c r="F55" i="62" s="1"/>
  <c r="G44" i="62" s="1"/>
  <c r="G53" i="62" s="1"/>
  <c r="G55" i="62" s="1"/>
  <c r="H44" i="62" s="1"/>
  <c r="H53" i="62" s="1"/>
  <c r="H55" i="62" s="1"/>
  <c r="I44" i="62" s="1"/>
  <c r="I53" i="62" s="1"/>
  <c r="I55" i="62" s="1"/>
  <c r="J44" i="62" s="1"/>
  <c r="J53" i="62" s="1"/>
  <c r="J55" i="62" s="1"/>
  <c r="K44" i="62" s="1"/>
  <c r="K53" i="62" s="1"/>
  <c r="K55" i="62" s="1"/>
  <c r="L44" i="62" s="1"/>
  <c r="L53" i="62" s="1"/>
  <c r="L55" i="62" s="1"/>
  <c r="M44" i="62" s="1"/>
  <c r="M53" i="62" s="1"/>
  <c r="M55" i="62" s="1"/>
  <c r="B70" i="62"/>
  <c r="B72" i="62" s="1"/>
  <c r="C61" i="62" s="1"/>
  <c r="C70" i="62" s="1"/>
  <c r="C72" i="62" s="1"/>
  <c r="D61" i="62" s="1"/>
  <c r="D70" i="62" s="1"/>
  <c r="D72" i="62" s="1"/>
  <c r="E61" i="62" s="1"/>
  <c r="E70" i="62" s="1"/>
  <c r="E72" i="62" s="1"/>
  <c r="F61" i="62" s="1"/>
  <c r="F70" i="62" s="1"/>
  <c r="F72" i="62" s="1"/>
  <c r="G61" i="62" s="1"/>
  <c r="G70" i="62" s="1"/>
  <c r="G72" i="62" s="1"/>
  <c r="H61" i="62" s="1"/>
  <c r="H70" i="62" s="1"/>
  <c r="H72" i="62" s="1"/>
  <c r="I61" i="62" s="1"/>
  <c r="I70" i="62" s="1"/>
  <c r="I72" i="62" s="1"/>
  <c r="J61" i="62" s="1"/>
  <c r="J70" i="62" s="1"/>
  <c r="J72" i="62" s="1"/>
  <c r="K61" i="62" s="1"/>
  <c r="K70" i="62" s="1"/>
  <c r="K72" i="62" s="1"/>
  <c r="L61" i="62" s="1"/>
  <c r="L70" i="62" s="1"/>
  <c r="L72" i="62" s="1"/>
  <c r="M61" i="62" s="1"/>
  <c r="M70" i="62" s="1"/>
  <c r="M72" i="62" s="1"/>
  <c r="C21" i="151"/>
  <c r="F28" i="151"/>
  <c r="B29" i="151"/>
  <c r="C29" i="151"/>
  <c r="D29" i="151"/>
  <c r="E29" i="151"/>
  <c r="F29" i="151"/>
  <c r="G29" i="151"/>
  <c r="D32" i="151"/>
  <c r="G32" i="151"/>
  <c r="B35" i="151"/>
  <c r="B37" i="151" s="1"/>
  <c r="C26" i="151" s="1"/>
  <c r="C35" i="151" s="1"/>
  <c r="C37" i="151" s="1"/>
  <c r="D26" i="151" s="1"/>
  <c r="B15" i="63"/>
  <c r="B17" i="63"/>
  <c r="C6" i="63" s="1"/>
  <c r="C15" i="63" s="1"/>
  <c r="C17" i="63" s="1"/>
  <c r="D6" i="63" s="1"/>
  <c r="D15" i="63" s="1"/>
  <c r="D17" i="63" s="1"/>
  <c r="E6" i="63" s="1"/>
  <c r="E15" i="63" s="1"/>
  <c r="E17" i="63" s="1"/>
  <c r="F6" i="63" s="1"/>
  <c r="F15" i="63" s="1"/>
  <c r="F17" i="63" s="1"/>
  <c r="G6" i="63" s="1"/>
  <c r="G15" i="63" s="1"/>
  <c r="G17" i="63" s="1"/>
  <c r="H6" i="63" s="1"/>
  <c r="H15" i="63" s="1"/>
  <c r="H17" i="63" s="1"/>
  <c r="I6" i="63" s="1"/>
  <c r="I15" i="63" s="1"/>
  <c r="I17" i="63" s="1"/>
  <c r="J6" i="63" s="1"/>
  <c r="J15" i="63" s="1"/>
  <c r="J17" i="63" s="1"/>
  <c r="K6" i="63" s="1"/>
  <c r="K15" i="63" s="1"/>
  <c r="K17" i="63" s="1"/>
  <c r="L6" i="63" s="1"/>
  <c r="L15" i="63" s="1"/>
  <c r="L17" i="63" s="1"/>
  <c r="M6" i="63" s="1"/>
  <c r="M15" i="63" s="1"/>
  <c r="M17" i="63" s="1"/>
  <c r="B32" i="63"/>
  <c r="B34" i="63" s="1"/>
  <c r="C23" i="63" s="1"/>
  <c r="C32" i="63" s="1"/>
  <c r="C34" i="63" s="1"/>
  <c r="D23" i="63" s="1"/>
  <c r="D32" i="63" s="1"/>
  <c r="D34" i="63" s="1"/>
  <c r="E23" i="63" s="1"/>
  <c r="E32" i="63" s="1"/>
  <c r="E34" i="63" s="1"/>
  <c r="F23" i="63" s="1"/>
  <c r="F32" i="63" s="1"/>
  <c r="F34" i="63" s="1"/>
  <c r="G23" i="63" s="1"/>
  <c r="G32" i="63" s="1"/>
  <c r="G34" i="63" s="1"/>
  <c r="H23" i="63" s="1"/>
  <c r="H32" i="63" s="1"/>
  <c r="H34" i="63" s="1"/>
  <c r="I23" i="63" s="1"/>
  <c r="I32" i="63" s="1"/>
  <c r="I34" i="63" s="1"/>
  <c r="J23" i="63" s="1"/>
  <c r="J32" i="63" s="1"/>
  <c r="J34" i="63" s="1"/>
  <c r="K23" i="63" s="1"/>
  <c r="K32" i="63" s="1"/>
  <c r="K34" i="63" s="1"/>
  <c r="L23" i="63" s="1"/>
  <c r="L32" i="63" s="1"/>
  <c r="L34" i="63" s="1"/>
  <c r="M23" i="63" s="1"/>
  <c r="M32" i="63" s="1"/>
  <c r="M34" i="63" s="1"/>
  <c r="B39" i="63" s="1"/>
  <c r="B48" i="63" s="1"/>
  <c r="B50" i="63" s="1"/>
  <c r="C39" i="63" s="1"/>
  <c r="C48" i="63" s="1"/>
  <c r="C50" i="63" s="1"/>
  <c r="D39" i="63" s="1"/>
  <c r="D48" i="63" s="1"/>
  <c r="D50" i="63" s="1"/>
  <c r="E39" i="63" s="1"/>
  <c r="E48" i="63" s="1"/>
  <c r="E50" i="63" s="1"/>
  <c r="F39" i="63" s="1"/>
  <c r="F48" i="63" s="1"/>
  <c r="F50" i="63" s="1"/>
  <c r="G39" i="63" s="1"/>
  <c r="G48" i="63" s="1"/>
  <c r="G50" i="63" s="1"/>
  <c r="H39" i="63" s="1"/>
  <c r="H48" i="63" s="1"/>
  <c r="H50" i="63" s="1"/>
  <c r="I39" i="63" s="1"/>
  <c r="I48" i="63" s="1"/>
  <c r="I50" i="63" s="1"/>
  <c r="J39" i="63" s="1"/>
  <c r="J48" i="63" s="1"/>
  <c r="J50" i="63" s="1"/>
  <c r="K39" i="63" s="1"/>
  <c r="K48" i="63" s="1"/>
  <c r="K50" i="63" s="1"/>
  <c r="L39" i="63" s="1"/>
  <c r="L48" i="63" s="1"/>
  <c r="L50" i="63" s="1"/>
  <c r="M39" i="63" s="1"/>
  <c r="M48" i="63" s="1"/>
  <c r="M50" i="63" s="1"/>
  <c r="B65" i="63"/>
  <c r="B67" i="63" s="1"/>
  <c r="C56" i="63" s="1"/>
  <c r="C65" i="63" s="1"/>
  <c r="C67" i="63" s="1"/>
  <c r="D56" i="63" s="1"/>
  <c r="D65" i="63" s="1"/>
  <c r="D67" i="63" s="1"/>
  <c r="E56" i="63" s="1"/>
  <c r="E65" i="63" s="1"/>
  <c r="E67" i="63" s="1"/>
  <c r="F56" i="63" s="1"/>
  <c r="F65" i="63" s="1"/>
  <c r="F67" i="63" s="1"/>
  <c r="G56" i="63" s="1"/>
  <c r="G65" i="63" s="1"/>
  <c r="G67" i="63" s="1"/>
  <c r="H56" i="63" s="1"/>
  <c r="H65" i="63" s="1"/>
  <c r="H67" i="63" s="1"/>
  <c r="I56" i="63" s="1"/>
  <c r="I65" i="63" s="1"/>
  <c r="I67" i="63" s="1"/>
  <c r="J56" i="63" s="1"/>
  <c r="J65" i="63" s="1"/>
  <c r="J67" i="63" s="1"/>
  <c r="K56" i="63" s="1"/>
  <c r="K65" i="63" s="1"/>
  <c r="K67" i="63" s="1"/>
  <c r="L56" i="63" s="1"/>
  <c r="L65" i="63" s="1"/>
  <c r="L67" i="63" s="1"/>
  <c r="M56" i="63" s="1"/>
  <c r="M65" i="63" s="1"/>
  <c r="M67" i="63" s="1"/>
  <c r="B8" i="177"/>
  <c r="B14" i="177"/>
  <c r="B16" i="177" s="1"/>
  <c r="C5" i="177" s="1"/>
  <c r="C14" i="177" s="1"/>
  <c r="C16" i="177" s="1"/>
  <c r="D5" i="177" s="1"/>
  <c r="D14" i="177" s="1"/>
  <c r="D16" i="177" s="1"/>
  <c r="E5" i="177" s="1"/>
  <c r="E14" i="177" s="1"/>
  <c r="E16" i="177" s="1"/>
  <c r="F5" i="177" s="1"/>
  <c r="F14" i="177" s="1"/>
  <c r="F16" i="177" s="1"/>
  <c r="G5" i="177" s="1"/>
  <c r="G14" i="177" s="1"/>
  <c r="G16" i="177" s="1"/>
  <c r="H5" i="177" s="1"/>
  <c r="H14" i="177" s="1"/>
  <c r="H16" i="177" s="1"/>
  <c r="I5" i="177" s="1"/>
  <c r="I14" i="177" s="1"/>
  <c r="I16" i="177" s="1"/>
  <c r="J5" i="177" s="1"/>
  <c r="J14" i="177" s="1"/>
  <c r="J16" i="177" s="1"/>
  <c r="K5" i="177" s="1"/>
  <c r="K14" i="177" s="1"/>
  <c r="K16" i="177" s="1"/>
  <c r="L5" i="177" s="1"/>
  <c r="L14" i="177" s="1"/>
  <c r="L16" i="177" s="1"/>
  <c r="M5" i="177" s="1"/>
  <c r="M14" i="177" s="1"/>
  <c r="M16" i="177" s="1"/>
  <c r="N32" i="177"/>
  <c r="N33" i="177" s="1"/>
  <c r="B33" i="177"/>
  <c r="G34" i="177"/>
  <c r="B35" i="177"/>
  <c r="C24" i="177" s="1"/>
  <c r="C33" i="177" s="1"/>
  <c r="C35" i="177" s="1"/>
  <c r="D24" i="177" s="1"/>
  <c r="D33" i="177" s="1"/>
  <c r="D35" i="177" s="1"/>
  <c r="E24" i="177" s="1"/>
  <c r="E33" i="177" s="1"/>
  <c r="E35" i="177" s="1"/>
  <c r="F24" i="177" s="1"/>
  <c r="F33" i="177" s="1"/>
  <c r="F35" i="177" s="1"/>
  <c r="G24" i="177" s="1"/>
  <c r="G33" i="177" s="1"/>
  <c r="G35" i="177" s="1"/>
  <c r="H24" i="177" s="1"/>
  <c r="H33" i="177" s="1"/>
  <c r="H35" i="177" s="1"/>
  <c r="I24" i="177" s="1"/>
  <c r="I33" i="177" s="1"/>
  <c r="I35" i="177" s="1"/>
  <c r="J24" i="177" s="1"/>
  <c r="J33" i="177" s="1"/>
  <c r="J35" i="177" s="1"/>
  <c r="K24" i="177" s="1"/>
  <c r="K33" i="177" s="1"/>
  <c r="K35" i="177" s="1"/>
  <c r="L24" i="177" s="1"/>
  <c r="L33" i="177" s="1"/>
  <c r="L35" i="177" s="1"/>
  <c r="M24" i="177" s="1"/>
  <c r="M33" i="177" s="1"/>
  <c r="M35" i="177" s="1"/>
  <c r="I42" i="177"/>
  <c r="B48" i="177"/>
  <c r="B50" i="177"/>
  <c r="C39" i="177" s="1"/>
  <c r="C48" i="177" s="1"/>
  <c r="C50" i="177" s="1"/>
  <c r="D39" i="177" s="1"/>
  <c r="D48" i="177" s="1"/>
  <c r="D50" i="177" s="1"/>
  <c r="E39" i="177" s="1"/>
  <c r="E48" i="177" s="1"/>
  <c r="E50" i="177" s="1"/>
  <c r="F39" i="177" s="1"/>
  <c r="F48" i="177" s="1"/>
  <c r="F50" i="177" s="1"/>
  <c r="G39" i="177" s="1"/>
  <c r="G48" i="177" s="1"/>
  <c r="G50" i="177" s="1"/>
  <c r="H39" i="177" s="1"/>
  <c r="H48" i="177" s="1"/>
  <c r="H50" i="177" s="1"/>
  <c r="I39" i="177" s="1"/>
  <c r="B16" i="74"/>
  <c r="B18" i="74" s="1"/>
  <c r="C7" i="74" s="1"/>
  <c r="C16" i="74" s="1"/>
  <c r="C18" i="74" s="1"/>
  <c r="D7" i="74" s="1"/>
  <c r="D16" i="74" s="1"/>
  <c r="D18" i="74" s="1"/>
  <c r="E7" i="74" s="1"/>
  <c r="E16" i="74" s="1"/>
  <c r="E18" i="74" s="1"/>
  <c r="F7" i="74" s="1"/>
  <c r="F16" i="74" s="1"/>
  <c r="F18" i="74" s="1"/>
  <c r="G7" i="74" s="1"/>
  <c r="G16" i="74" s="1"/>
  <c r="G18" i="74" s="1"/>
  <c r="H7" i="74" s="1"/>
  <c r="H16" i="74" s="1"/>
  <c r="H18" i="74" s="1"/>
  <c r="I7" i="74" s="1"/>
  <c r="I16" i="74" s="1"/>
  <c r="I18" i="74" s="1"/>
  <c r="J7" i="74" s="1"/>
  <c r="J16" i="74" s="1"/>
  <c r="J18" i="74" s="1"/>
  <c r="K7" i="74" s="1"/>
  <c r="K16" i="74" s="1"/>
  <c r="K18" i="74" s="1"/>
  <c r="L7" i="74" s="1"/>
  <c r="L16" i="74" s="1"/>
  <c r="L18" i="74" s="1"/>
  <c r="M7" i="74" s="1"/>
  <c r="M16" i="74" s="1"/>
  <c r="M18" i="74" s="1"/>
  <c r="B34" i="74"/>
  <c r="B36" i="74" s="1"/>
  <c r="C25" i="74" s="1"/>
  <c r="C34" i="74" s="1"/>
  <c r="C36" i="74" s="1"/>
  <c r="D25" i="74" s="1"/>
  <c r="D34" i="74" s="1"/>
  <c r="D36" i="74" s="1"/>
  <c r="E25" i="74" s="1"/>
  <c r="E34" i="74" s="1"/>
  <c r="E36" i="74" s="1"/>
  <c r="F25" i="74" s="1"/>
  <c r="F34" i="74" s="1"/>
  <c r="F36" i="74" s="1"/>
  <c r="G25" i="74" s="1"/>
  <c r="G34" i="74" s="1"/>
  <c r="G36" i="74" s="1"/>
  <c r="H25" i="74" s="1"/>
  <c r="H34" i="74" s="1"/>
  <c r="H36" i="74" s="1"/>
  <c r="I25" i="74" s="1"/>
  <c r="I34" i="74" s="1"/>
  <c r="I36" i="74" s="1"/>
  <c r="J25" i="74" s="1"/>
  <c r="J34" i="74" s="1"/>
  <c r="J36" i="74" s="1"/>
  <c r="K25" i="74" s="1"/>
  <c r="K34" i="74" s="1"/>
  <c r="K36" i="74" s="1"/>
  <c r="L25" i="74" s="1"/>
  <c r="L34" i="74" s="1"/>
  <c r="L36" i="74" s="1"/>
  <c r="M25" i="74" s="1"/>
  <c r="M34" i="74" s="1"/>
  <c r="M36" i="74" s="1"/>
  <c r="I38" i="74"/>
  <c r="I40" i="74"/>
  <c r="B51" i="74"/>
  <c r="B53" i="74" s="1"/>
  <c r="C42" i="74" s="1"/>
  <c r="C51" i="74" s="1"/>
  <c r="C53" i="74" s="1"/>
  <c r="D42" i="74" s="1"/>
  <c r="D51" i="74" s="1"/>
  <c r="D53" i="74" s="1"/>
  <c r="E42" i="74" s="1"/>
  <c r="E51" i="74" s="1"/>
  <c r="E53" i="74" s="1"/>
  <c r="F42" i="74" s="1"/>
  <c r="F51" i="74" s="1"/>
  <c r="F53" i="74" s="1"/>
  <c r="G42" i="74" s="1"/>
  <c r="G51" i="74" s="1"/>
  <c r="G53" i="74" s="1"/>
  <c r="H42" i="74" s="1"/>
  <c r="H51" i="74" s="1"/>
  <c r="H53" i="74" s="1"/>
  <c r="I42" i="74" s="1"/>
  <c r="I51" i="74" s="1"/>
  <c r="I53" i="74" s="1"/>
  <c r="J42" i="74" s="1"/>
  <c r="J51" i="74" s="1"/>
  <c r="J53" i="74" s="1"/>
  <c r="K42" i="74" s="1"/>
  <c r="K51" i="74" s="1"/>
  <c r="K53" i="74" s="1"/>
  <c r="L42" i="74" s="1"/>
  <c r="L51" i="74" s="1"/>
  <c r="L53" i="74" s="1"/>
  <c r="M42" i="74" s="1"/>
  <c r="M51" i="74" s="1"/>
  <c r="M53" i="74" s="1"/>
  <c r="B14" i="216"/>
  <c r="B16" i="216" s="1"/>
  <c r="C5" i="216" s="1"/>
  <c r="C14" i="216" s="1"/>
  <c r="C16" i="216" s="1"/>
  <c r="D5" i="216" s="1"/>
  <c r="D14" i="216" s="1"/>
  <c r="D16" i="216" s="1"/>
  <c r="E5" i="216" s="1"/>
  <c r="E14" i="216" s="1"/>
  <c r="E16" i="216" s="1"/>
  <c r="F5" i="216" s="1"/>
  <c r="F14" i="216" s="1"/>
  <c r="F16" i="216" s="1"/>
  <c r="G5" i="216" s="1"/>
  <c r="G14" i="216" s="1"/>
  <c r="G16" i="216" s="1"/>
  <c r="H5" i="216" s="1"/>
  <c r="H14" i="216" s="1"/>
  <c r="H16" i="216" s="1"/>
  <c r="I5" i="216" s="1"/>
  <c r="I14" i="216" s="1"/>
  <c r="I16" i="216" s="1"/>
  <c r="J5" i="216" s="1"/>
  <c r="J14" i="216" s="1"/>
  <c r="J16" i="216" s="1"/>
  <c r="K5" i="216" s="1"/>
  <c r="K14" i="216" s="1"/>
  <c r="K16" i="216" s="1"/>
  <c r="L5" i="216" s="1"/>
  <c r="L14" i="216" s="1"/>
  <c r="L16" i="216" s="1"/>
  <c r="M5" i="216" s="1"/>
  <c r="M14" i="216" s="1"/>
  <c r="M16" i="216" s="1"/>
  <c r="B29" i="216"/>
  <c r="B31" i="216"/>
  <c r="C20" i="216" s="1"/>
  <c r="C29" i="216" s="1"/>
  <c r="C31" i="216" s="1"/>
  <c r="D20" i="216" s="1"/>
  <c r="D29" i="216" s="1"/>
  <c r="D31" i="216" s="1"/>
  <c r="E20" i="216" s="1"/>
  <c r="E29" i="216" s="1"/>
  <c r="E31" i="216" s="1"/>
  <c r="F20" i="216" s="1"/>
  <c r="F29" i="216" s="1"/>
  <c r="F31" i="216" s="1"/>
  <c r="G20" i="216" s="1"/>
  <c r="G29" i="216" s="1"/>
  <c r="G31" i="216" s="1"/>
  <c r="H20" i="216" s="1"/>
  <c r="H29" i="216" s="1"/>
  <c r="H31" i="216" s="1"/>
  <c r="I20" i="216" s="1"/>
  <c r="I29" i="216" s="1"/>
  <c r="I31" i="216" s="1"/>
  <c r="J20" i="216" s="1"/>
  <c r="J29" i="216" s="1"/>
  <c r="J31" i="216" s="1"/>
  <c r="K20" i="216" s="1"/>
  <c r="K29" i="216" s="1"/>
  <c r="K31" i="216" s="1"/>
  <c r="L20" i="216" s="1"/>
  <c r="L29" i="216" s="1"/>
  <c r="L31" i="216" s="1"/>
  <c r="M20" i="216" s="1"/>
  <c r="M29" i="216" s="1"/>
  <c r="M31" i="216" s="1"/>
  <c r="B14" i="64"/>
  <c r="B16" i="64" s="1"/>
  <c r="C5" i="64" s="1"/>
  <c r="C14" i="64" s="1"/>
  <c r="C16" i="64" s="1"/>
  <c r="D5" i="64" s="1"/>
  <c r="D14" i="64" s="1"/>
  <c r="D16" i="64" s="1"/>
  <c r="E5" i="64" s="1"/>
  <c r="E14" i="64" s="1"/>
  <c r="E16" i="64" s="1"/>
  <c r="F5" i="64" s="1"/>
  <c r="F14" i="64" s="1"/>
  <c r="F16" i="64" s="1"/>
  <c r="G5" i="64" s="1"/>
  <c r="G14" i="64" s="1"/>
  <c r="G16" i="64" s="1"/>
  <c r="H5" i="64" s="1"/>
  <c r="H14" i="64" s="1"/>
  <c r="H16" i="64" s="1"/>
  <c r="I5" i="64" s="1"/>
  <c r="I14" i="64" s="1"/>
  <c r="I16" i="64" s="1"/>
  <c r="J5" i="64" s="1"/>
  <c r="J14" i="64" s="1"/>
  <c r="J16" i="64" s="1"/>
  <c r="K5" i="64" s="1"/>
  <c r="K14" i="64" s="1"/>
  <c r="K16" i="64" s="1"/>
  <c r="L5" i="64" s="1"/>
  <c r="L14" i="64" s="1"/>
  <c r="L16" i="64" s="1"/>
  <c r="M5" i="64" s="1"/>
  <c r="M14" i="64" s="1"/>
  <c r="M16" i="64" s="1"/>
  <c r="B30" i="64"/>
  <c r="B32" i="64"/>
  <c r="C21" i="64" s="1"/>
  <c r="C30" i="64" s="1"/>
  <c r="C32" i="64" s="1"/>
  <c r="D21" i="64" s="1"/>
  <c r="D30" i="64" s="1"/>
  <c r="D32" i="64" s="1"/>
  <c r="E21" i="64" s="1"/>
  <c r="E30" i="64" s="1"/>
  <c r="E32" i="64" s="1"/>
  <c r="F21" i="64" s="1"/>
  <c r="F30" i="64" s="1"/>
  <c r="F32" i="64" s="1"/>
  <c r="G21" i="64" s="1"/>
  <c r="G30" i="64" s="1"/>
  <c r="G32" i="64" s="1"/>
  <c r="H21" i="64" s="1"/>
  <c r="H30" i="64" s="1"/>
  <c r="H32" i="64" s="1"/>
  <c r="I21" i="64" s="1"/>
  <c r="I30" i="64" s="1"/>
  <c r="I32" i="64" s="1"/>
  <c r="J21" i="64" s="1"/>
  <c r="J30" i="64" s="1"/>
  <c r="J32" i="64" s="1"/>
  <c r="K21" i="64" s="1"/>
  <c r="K30" i="64" s="1"/>
  <c r="K32" i="64" s="1"/>
  <c r="L21" i="64" s="1"/>
  <c r="L30" i="64" s="1"/>
  <c r="L32" i="64" s="1"/>
  <c r="M21" i="64" s="1"/>
  <c r="M30" i="64" s="1"/>
  <c r="M32" i="64" s="1"/>
  <c r="B14" i="68"/>
  <c r="B16" i="68" s="1"/>
  <c r="C5" i="68" s="1"/>
  <c r="C14" i="68" s="1"/>
  <c r="C16" i="68" s="1"/>
  <c r="D5" i="68" s="1"/>
  <c r="D14" i="68" s="1"/>
  <c r="D16" i="68" s="1"/>
  <c r="E5" i="68" s="1"/>
  <c r="E14" i="68" s="1"/>
  <c r="E16" i="68" s="1"/>
  <c r="F5" i="68" s="1"/>
  <c r="F14" i="68" s="1"/>
  <c r="F16" i="68" s="1"/>
  <c r="G5" i="68" s="1"/>
  <c r="G14" i="68" s="1"/>
  <c r="G16" i="68" s="1"/>
  <c r="H5" i="68" s="1"/>
  <c r="H14" i="68" s="1"/>
  <c r="H16" i="68" s="1"/>
  <c r="I5" i="68" s="1"/>
  <c r="I14" i="68" s="1"/>
  <c r="I16" i="68" s="1"/>
  <c r="J5" i="68" s="1"/>
  <c r="J14" i="68" s="1"/>
  <c r="J16" i="68" s="1"/>
  <c r="K5" i="68" s="1"/>
  <c r="K14" i="68" s="1"/>
  <c r="K16" i="68" s="1"/>
  <c r="L5" i="68" s="1"/>
  <c r="L14" i="68" s="1"/>
  <c r="L16" i="68" s="1"/>
  <c r="M5" i="68" s="1"/>
  <c r="M14" i="68" s="1"/>
  <c r="M16" i="68" s="1"/>
  <c r="B33" i="68"/>
  <c r="B35" i="68" s="1"/>
  <c r="C24" i="68" s="1"/>
  <c r="C33" i="68" s="1"/>
  <c r="C35" i="68" s="1"/>
  <c r="D24" i="68" s="1"/>
  <c r="D33" i="68" s="1"/>
  <c r="D35" i="68" s="1"/>
  <c r="E24" i="68" s="1"/>
  <c r="E33" i="68" s="1"/>
  <c r="E35" i="68" s="1"/>
  <c r="F24" i="68" s="1"/>
  <c r="F33" i="68" s="1"/>
  <c r="F35" i="68" s="1"/>
  <c r="G24" i="68" s="1"/>
  <c r="G33" i="68" s="1"/>
  <c r="G35" i="68" s="1"/>
  <c r="H24" i="68" s="1"/>
  <c r="H33" i="68" s="1"/>
  <c r="H35" i="68" s="1"/>
  <c r="I24" i="68" s="1"/>
  <c r="I33" i="68" s="1"/>
  <c r="I35" i="68" s="1"/>
  <c r="J24" i="68" s="1"/>
  <c r="J33" i="68" s="1"/>
  <c r="J35" i="68" s="1"/>
  <c r="K24" i="68" s="1"/>
  <c r="K33" i="68" s="1"/>
  <c r="K35" i="68" s="1"/>
  <c r="L24" i="68" s="1"/>
  <c r="L33" i="68" s="1"/>
  <c r="L35" i="68" s="1"/>
  <c r="M24" i="68" s="1"/>
  <c r="M33" i="68" s="1"/>
  <c r="M35" i="68" s="1"/>
  <c r="B49" i="68"/>
  <c r="B51" i="68" s="1"/>
  <c r="C40" i="68" s="1"/>
  <c r="C49" i="68" s="1"/>
  <c r="C51" i="68" s="1"/>
  <c r="D40" i="68" s="1"/>
  <c r="D49" i="68" s="1"/>
  <c r="D51" i="68" s="1"/>
  <c r="E40" i="68" s="1"/>
  <c r="E49" i="68" s="1"/>
  <c r="E51" i="68" s="1"/>
  <c r="F40" i="68" s="1"/>
  <c r="F49" i="68" s="1"/>
  <c r="F51" i="68" s="1"/>
  <c r="G40" i="68" s="1"/>
  <c r="G49" i="68" s="1"/>
  <c r="G51" i="68" s="1"/>
  <c r="H40" i="68" s="1"/>
  <c r="H49" i="68" s="1"/>
  <c r="H51" i="68" s="1"/>
  <c r="I40" i="68" s="1"/>
  <c r="I49" i="68" s="1"/>
  <c r="I51" i="68" s="1"/>
  <c r="J40" i="68" s="1"/>
  <c r="J49" i="68" s="1"/>
  <c r="J51" i="68" s="1"/>
  <c r="K40" i="68" s="1"/>
  <c r="K49" i="68" s="1"/>
  <c r="K51" i="68" s="1"/>
  <c r="L40" i="68" s="1"/>
  <c r="L49" i="68" s="1"/>
  <c r="L51" i="68" s="1"/>
  <c r="M40" i="68" s="1"/>
  <c r="M49" i="68" s="1"/>
  <c r="M51" i="68" s="1"/>
  <c r="B60" i="68"/>
  <c r="B64" i="68"/>
  <c r="B66" i="68" s="1"/>
  <c r="B68" i="68" s="1"/>
  <c r="B70" i="68" s="1"/>
  <c r="E65" i="68"/>
  <c r="B14" i="208"/>
  <c r="B16" i="208" s="1"/>
  <c r="C5" i="208" s="1"/>
  <c r="C14" i="208" s="1"/>
  <c r="C16" i="208" s="1"/>
  <c r="D5" i="208" s="1"/>
  <c r="D14" i="208" s="1"/>
  <c r="D16" i="208" s="1"/>
  <c r="E5" i="208" s="1"/>
  <c r="E14" i="208" s="1"/>
  <c r="E16" i="208" s="1"/>
  <c r="F5" i="208" s="1"/>
  <c r="F14" i="208" s="1"/>
  <c r="F16" i="208" s="1"/>
  <c r="G5" i="208" s="1"/>
  <c r="G14" i="208" s="1"/>
  <c r="G16" i="208" s="1"/>
  <c r="H5" i="208" s="1"/>
  <c r="H14" i="208" s="1"/>
  <c r="H16" i="208" s="1"/>
  <c r="I5" i="208" s="1"/>
  <c r="I14" i="208" s="1"/>
  <c r="I16" i="208" s="1"/>
  <c r="J5" i="208" s="1"/>
  <c r="J14" i="208" s="1"/>
  <c r="J16" i="208" s="1"/>
  <c r="K5" i="208" s="1"/>
  <c r="K14" i="208" s="1"/>
  <c r="K16" i="208" s="1"/>
  <c r="L5" i="208" s="1"/>
  <c r="L14" i="208" s="1"/>
  <c r="L16" i="208" s="1"/>
  <c r="M5" i="208" s="1"/>
  <c r="M14" i="208" s="1"/>
  <c r="M16" i="208" s="1"/>
  <c r="B15" i="178"/>
  <c r="B17" i="178" s="1"/>
  <c r="C6" i="178" s="1"/>
  <c r="C15" i="178" s="1"/>
  <c r="C17" i="178" s="1"/>
  <c r="D6" i="178" s="1"/>
  <c r="D15" i="178" s="1"/>
  <c r="D17" i="178" s="1"/>
  <c r="E6" i="178" s="1"/>
  <c r="E15" i="178" s="1"/>
  <c r="E17" i="178" s="1"/>
  <c r="F6" i="178" s="1"/>
  <c r="F15" i="178" s="1"/>
  <c r="F17" i="178" s="1"/>
  <c r="G6" i="178" s="1"/>
  <c r="G15" i="178" s="1"/>
  <c r="G17" i="178" s="1"/>
  <c r="H6" i="178" s="1"/>
  <c r="H15" i="178" s="1"/>
  <c r="H17" i="178" s="1"/>
  <c r="I6" i="178" s="1"/>
  <c r="I15" i="178" s="1"/>
  <c r="I17" i="178" s="1"/>
  <c r="J6" i="178" s="1"/>
  <c r="J15" i="178" s="1"/>
  <c r="J17" i="178" s="1"/>
  <c r="K6" i="178" s="1"/>
  <c r="K15" i="178" s="1"/>
  <c r="K17" i="178" s="1"/>
  <c r="L6" i="178" s="1"/>
  <c r="L15" i="178" s="1"/>
  <c r="L17" i="178" s="1"/>
  <c r="M6" i="178" s="1"/>
  <c r="M15" i="178" s="1"/>
  <c r="M17" i="178" s="1"/>
  <c r="B34" i="178"/>
  <c r="B36" i="178" s="1"/>
  <c r="C25" i="178" s="1"/>
  <c r="C34" i="178" s="1"/>
  <c r="C36" i="178" s="1"/>
  <c r="D25" i="178" s="1"/>
  <c r="D34" i="178" s="1"/>
  <c r="D36" i="178" s="1"/>
  <c r="E25" i="178" s="1"/>
  <c r="E34" i="178" s="1"/>
  <c r="E36" i="178" s="1"/>
  <c r="F25" i="178" s="1"/>
  <c r="F34" i="178" s="1"/>
  <c r="F36" i="178" s="1"/>
  <c r="G25" i="178" s="1"/>
  <c r="G34" i="178" s="1"/>
  <c r="G36" i="178" s="1"/>
  <c r="H25" i="178" s="1"/>
  <c r="H34" i="178" s="1"/>
  <c r="H36" i="178" s="1"/>
  <c r="I25" i="178" s="1"/>
  <c r="I34" i="178" s="1"/>
  <c r="I36" i="178" s="1"/>
  <c r="J25" i="178" s="1"/>
  <c r="J34" i="178" s="1"/>
  <c r="J36" i="178" s="1"/>
  <c r="K25" i="178" s="1"/>
  <c r="K34" i="178" s="1"/>
  <c r="K36" i="178" s="1"/>
  <c r="L25" i="178" s="1"/>
  <c r="L34" i="178" s="1"/>
  <c r="L36" i="178" s="1"/>
  <c r="M25" i="178" s="1"/>
  <c r="M34" i="178" s="1"/>
  <c r="M36" i="178" s="1"/>
  <c r="B15" i="65"/>
  <c r="B17" i="65" s="1"/>
  <c r="C6" i="65" s="1"/>
  <c r="C15" i="65" s="1"/>
  <c r="C17" i="65" s="1"/>
  <c r="D6" i="65" s="1"/>
  <c r="D15" i="65" s="1"/>
  <c r="D17" i="65" s="1"/>
  <c r="E6" i="65" s="1"/>
  <c r="E15" i="65" s="1"/>
  <c r="E17" i="65" s="1"/>
  <c r="F6" i="65" s="1"/>
  <c r="F15" i="65" s="1"/>
  <c r="F17" i="65" s="1"/>
  <c r="G6" i="65" s="1"/>
  <c r="G15" i="65" s="1"/>
  <c r="G17" i="65" s="1"/>
  <c r="H6" i="65" s="1"/>
  <c r="H15" i="65" s="1"/>
  <c r="H17" i="65" s="1"/>
  <c r="I6" i="65" s="1"/>
  <c r="I15" i="65" s="1"/>
  <c r="I17" i="65" s="1"/>
  <c r="J6" i="65" s="1"/>
  <c r="J17" i="65"/>
  <c r="K6" i="65" s="1"/>
  <c r="K17" i="65"/>
  <c r="L6" i="65" s="1"/>
  <c r="L17" i="65"/>
  <c r="M6" i="65" s="1"/>
  <c r="M15" i="65" s="1"/>
  <c r="M17" i="65" s="1"/>
  <c r="B32" i="65"/>
  <c r="B34" i="65" s="1"/>
  <c r="C23" i="65" s="1"/>
  <c r="C32" i="65" s="1"/>
  <c r="C34" i="65" s="1"/>
  <c r="D23" i="65" s="1"/>
  <c r="D32" i="65" s="1"/>
  <c r="D34" i="65" s="1"/>
  <c r="E23" i="65" s="1"/>
  <c r="E32" i="65" s="1"/>
  <c r="E34" i="65" s="1"/>
  <c r="F23" i="65" s="1"/>
  <c r="F32" i="65" s="1"/>
  <c r="F34" i="65" s="1"/>
  <c r="G23" i="65" s="1"/>
  <c r="G32" i="65" s="1"/>
  <c r="G34" i="65" s="1"/>
  <c r="H23" i="65" s="1"/>
  <c r="H32" i="65" s="1"/>
  <c r="H34" i="65" s="1"/>
  <c r="I23" i="65" s="1"/>
  <c r="I32" i="65" s="1"/>
  <c r="I34" i="65" s="1"/>
  <c r="J23" i="65" s="1"/>
  <c r="J32" i="65" s="1"/>
  <c r="J34" i="65" s="1"/>
  <c r="K23" i="65" s="1"/>
  <c r="K32" i="65" s="1"/>
  <c r="K34" i="65" s="1"/>
  <c r="L23" i="65" s="1"/>
  <c r="L32" i="65" s="1"/>
  <c r="L34" i="65" s="1"/>
  <c r="M23" i="65" s="1"/>
  <c r="M32" i="65" s="1"/>
  <c r="M34" i="65" s="1"/>
  <c r="B48" i="65"/>
  <c r="B50" i="65" s="1"/>
  <c r="C39" i="65" s="1"/>
  <c r="C48" i="65" s="1"/>
  <c r="C50" i="65" s="1"/>
  <c r="D39" i="65" s="1"/>
  <c r="D48" i="65" s="1"/>
  <c r="D50" i="65" s="1"/>
  <c r="E39" i="65" s="1"/>
  <c r="E48" i="65" s="1"/>
  <c r="E50" i="65" s="1"/>
  <c r="F39" i="65" s="1"/>
  <c r="F48" i="65" s="1"/>
  <c r="F50" i="65" s="1"/>
  <c r="G39" i="65" s="1"/>
  <c r="G48" i="65" s="1"/>
  <c r="G50" i="65" s="1"/>
  <c r="H39" i="65" s="1"/>
  <c r="H48" i="65" s="1"/>
  <c r="H50" i="65" s="1"/>
  <c r="I39" i="65" s="1"/>
  <c r="I48" i="65" s="1"/>
  <c r="I50" i="65" s="1"/>
  <c r="J39" i="65" s="1"/>
  <c r="J48" i="65" s="1"/>
  <c r="J50" i="65" s="1"/>
  <c r="K39" i="65" s="1"/>
  <c r="K48" i="65" s="1"/>
  <c r="K50" i="65" s="1"/>
  <c r="L39" i="65" s="1"/>
  <c r="L48" i="65" s="1"/>
  <c r="L50" i="65" s="1"/>
  <c r="M39" i="65" s="1"/>
  <c r="M48" i="65" s="1"/>
  <c r="M50" i="65" s="1"/>
  <c r="B15" i="115"/>
  <c r="B17" i="115"/>
  <c r="C6" i="115" s="1"/>
  <c r="C15" i="115" s="1"/>
  <c r="C17" i="115" s="1"/>
  <c r="D6" i="115" s="1"/>
  <c r="D15" i="115" s="1"/>
  <c r="D17" i="115" s="1"/>
  <c r="E6" i="115" s="1"/>
  <c r="E15" i="115" s="1"/>
  <c r="E17" i="115" s="1"/>
  <c r="F6" i="115" s="1"/>
  <c r="F15" i="115" s="1"/>
  <c r="F17" i="115" s="1"/>
  <c r="G6" i="115" s="1"/>
  <c r="G15" i="115" s="1"/>
  <c r="G17" i="115" s="1"/>
  <c r="H6" i="115" s="1"/>
  <c r="H15" i="115" s="1"/>
  <c r="H17" i="115" s="1"/>
  <c r="I6" i="115" s="1"/>
  <c r="I15" i="115" s="1"/>
  <c r="I17" i="115" s="1"/>
  <c r="J6" i="115" s="1"/>
  <c r="J15" i="115" s="1"/>
  <c r="J17" i="115" s="1"/>
  <c r="K6" i="115" s="1"/>
  <c r="K15" i="115" s="1"/>
  <c r="K17" i="115" s="1"/>
  <c r="L6" i="115" s="1"/>
  <c r="L15" i="115" s="1"/>
  <c r="L17" i="115" s="1"/>
  <c r="M6" i="115" s="1"/>
  <c r="M15" i="115" s="1"/>
  <c r="M17" i="115" s="1"/>
  <c r="C9" i="136"/>
  <c r="B16" i="136"/>
  <c r="B18" i="136" s="1"/>
  <c r="C7" i="136" s="1"/>
  <c r="C16" i="136" s="1"/>
  <c r="C18" i="136" s="1"/>
  <c r="D7" i="136" s="1"/>
  <c r="D16" i="136" s="1"/>
  <c r="D18" i="136" s="1"/>
  <c r="E7" i="136" s="1"/>
  <c r="E16" i="136" s="1"/>
  <c r="E18" i="136" s="1"/>
  <c r="F7" i="136" s="1"/>
  <c r="F16" i="136" s="1"/>
  <c r="F18" i="136" s="1"/>
  <c r="G7" i="136" s="1"/>
  <c r="G16" i="136" s="1"/>
  <c r="G18" i="136" s="1"/>
  <c r="H7" i="136" s="1"/>
  <c r="H16" i="136" s="1"/>
  <c r="H18" i="136" s="1"/>
  <c r="I7" i="136" s="1"/>
  <c r="I16" i="136" s="1"/>
  <c r="I18" i="136" s="1"/>
  <c r="J7" i="136" s="1"/>
  <c r="J16" i="136" s="1"/>
  <c r="J18" i="136" s="1"/>
  <c r="K7" i="136" s="1"/>
  <c r="K16" i="136" s="1"/>
  <c r="K18" i="136" s="1"/>
  <c r="L7" i="136" s="1"/>
  <c r="L16" i="136" s="1"/>
  <c r="L18" i="136" s="1"/>
  <c r="M7" i="136" s="1"/>
  <c r="M16" i="136" s="1"/>
  <c r="M18" i="136" s="1"/>
  <c r="B32" i="136"/>
  <c r="B34" i="136" s="1"/>
  <c r="C23" i="136" s="1"/>
  <c r="C32" i="136" s="1"/>
  <c r="C34" i="136" s="1"/>
  <c r="D23" i="136" s="1"/>
  <c r="D32" i="136" s="1"/>
  <c r="D34" i="136" s="1"/>
  <c r="E23" i="136" s="1"/>
  <c r="E32" i="136" s="1"/>
  <c r="E34" i="136" s="1"/>
  <c r="F23" i="136" s="1"/>
  <c r="F32" i="136" s="1"/>
  <c r="F34" i="136" s="1"/>
  <c r="G23" i="136" s="1"/>
  <c r="G32" i="136" s="1"/>
  <c r="G34" i="136" s="1"/>
  <c r="H23" i="136" s="1"/>
  <c r="H32" i="136" s="1"/>
  <c r="H34" i="136" s="1"/>
  <c r="I23" i="136" s="1"/>
  <c r="I32" i="136" s="1"/>
  <c r="I34" i="136" s="1"/>
  <c r="J23" i="136" s="1"/>
  <c r="J32" i="136" s="1"/>
  <c r="J34" i="136" s="1"/>
  <c r="K23" i="136" s="1"/>
  <c r="K32" i="136" s="1"/>
  <c r="K34" i="136" s="1"/>
  <c r="L23" i="136" s="1"/>
  <c r="L32" i="136" s="1"/>
  <c r="L34" i="136" s="1"/>
  <c r="M23" i="136" s="1"/>
  <c r="M32" i="136" s="1"/>
  <c r="M34" i="136" s="1"/>
  <c r="H39" i="136"/>
  <c r="H48" i="136" s="1"/>
  <c r="H50" i="136" s="1"/>
  <c r="I39" i="136" s="1"/>
  <c r="I48" i="136" s="1"/>
  <c r="I50" i="136" s="1"/>
  <c r="J39" i="136" s="1"/>
  <c r="J48" i="136" s="1"/>
  <c r="J50" i="136" s="1"/>
  <c r="K39" i="136" s="1"/>
  <c r="K48" i="136" s="1"/>
  <c r="K50" i="136" s="1"/>
  <c r="L39" i="136" s="1"/>
  <c r="L48" i="136" s="1"/>
  <c r="L50" i="136" s="1"/>
  <c r="M39" i="136" s="1"/>
  <c r="M48" i="136" s="1"/>
  <c r="M50" i="136" s="1"/>
  <c r="B48" i="136"/>
  <c r="D48" i="136"/>
  <c r="D50" i="136" s="1"/>
  <c r="E39" i="136" s="1"/>
  <c r="E48" i="136" s="1"/>
  <c r="E50" i="136" s="1"/>
  <c r="F39" i="136" s="1"/>
  <c r="F48" i="136" s="1"/>
  <c r="F50" i="136" s="1"/>
  <c r="G39" i="136" s="1"/>
  <c r="G48" i="136" s="1"/>
  <c r="G50" i="136" s="1"/>
  <c r="B50" i="136"/>
  <c r="C39" i="136" s="1"/>
  <c r="C48" i="136" s="1"/>
  <c r="C50" i="136" s="1"/>
  <c r="D39" i="136" s="1"/>
  <c r="B65" i="136"/>
  <c r="B67" i="136"/>
  <c r="C56" i="136" s="1"/>
  <c r="C65" i="136" s="1"/>
  <c r="C67" i="136" s="1"/>
  <c r="D56" i="136" s="1"/>
  <c r="D65" i="136" s="1"/>
  <c r="D67" i="136" s="1"/>
  <c r="E56" i="136" s="1"/>
  <c r="E65" i="136" s="1"/>
  <c r="E67" i="136" s="1"/>
  <c r="F56" i="136" s="1"/>
  <c r="F65" i="136" s="1"/>
  <c r="F67" i="136" s="1"/>
  <c r="G56" i="136" s="1"/>
  <c r="G65" i="136" s="1"/>
  <c r="G67" i="136" s="1"/>
  <c r="H56" i="136" s="1"/>
  <c r="H65" i="136" s="1"/>
  <c r="H67" i="136" s="1"/>
  <c r="I56" i="136" s="1"/>
  <c r="I65" i="136" s="1"/>
  <c r="I67" i="136" s="1"/>
  <c r="J56" i="136" s="1"/>
  <c r="J65" i="136" s="1"/>
  <c r="J67" i="136" s="1"/>
  <c r="K56" i="136" s="1"/>
  <c r="K65" i="136" s="1"/>
  <c r="K67" i="136" s="1"/>
  <c r="L56" i="136" s="1"/>
  <c r="L65" i="136" s="1"/>
  <c r="L67" i="136" s="1"/>
  <c r="M56" i="136" s="1"/>
  <c r="M65" i="136" s="1"/>
  <c r="M67" i="136" s="1"/>
  <c r="C12" i="148"/>
  <c r="C14" i="148"/>
  <c r="D3" i="148" s="1"/>
  <c r="D12" i="148" s="1"/>
  <c r="D14" i="148" s="1"/>
  <c r="E3" i="148" s="1"/>
  <c r="E12" i="148" s="1"/>
  <c r="E14" i="148" s="1"/>
  <c r="F3" i="148" s="1"/>
  <c r="F12" i="148" s="1"/>
  <c r="F14" i="148" s="1"/>
  <c r="G3" i="148" s="1"/>
  <c r="G12" i="148" s="1"/>
  <c r="G14" i="148" s="1"/>
  <c r="H3" i="148" s="1"/>
  <c r="H12" i="148" s="1"/>
  <c r="H14" i="148" s="1"/>
  <c r="I3" i="148" s="1"/>
  <c r="I12" i="148" s="1"/>
  <c r="I14" i="148" s="1"/>
  <c r="J3" i="148" s="1"/>
  <c r="J12" i="148" s="1"/>
  <c r="J14" i="148" s="1"/>
  <c r="K3" i="148" s="1"/>
  <c r="K12" i="148" s="1"/>
  <c r="K14" i="148" s="1"/>
  <c r="L3" i="148" s="1"/>
  <c r="L12" i="148" s="1"/>
  <c r="L14" i="148" s="1"/>
  <c r="M3" i="148" s="1"/>
  <c r="M12" i="148" s="1"/>
  <c r="M14" i="148" s="1"/>
  <c r="N3" i="148" s="1"/>
  <c r="N12" i="148" s="1"/>
  <c r="N14" i="148" s="1"/>
  <c r="C30" i="148"/>
  <c r="C32" i="148" s="1"/>
  <c r="D21" i="148" s="1"/>
  <c r="D30" i="148" s="1"/>
  <c r="D32" i="148" s="1"/>
  <c r="E21" i="148" s="1"/>
  <c r="E30" i="148" s="1"/>
  <c r="E32" i="148" s="1"/>
  <c r="F21" i="148" s="1"/>
  <c r="F30" i="148" s="1"/>
  <c r="F32" i="148" s="1"/>
  <c r="C46" i="148"/>
  <c r="C48" i="148"/>
  <c r="D37" i="148" s="1"/>
  <c r="D46" i="148" s="1"/>
  <c r="D48" i="148" s="1"/>
  <c r="E37" i="148" s="1"/>
  <c r="E46" i="148" s="1"/>
  <c r="E48" i="148" s="1"/>
  <c r="F37" i="148" s="1"/>
  <c r="F46" i="148" s="1"/>
  <c r="F48" i="148" s="1"/>
  <c r="G37" i="148" s="1"/>
  <c r="G46" i="148" s="1"/>
  <c r="G48" i="148" s="1"/>
  <c r="H37" i="148" s="1"/>
  <c r="H46" i="148" s="1"/>
  <c r="H48" i="148" s="1"/>
  <c r="I37" i="148" s="1"/>
  <c r="I46" i="148" s="1"/>
  <c r="I48" i="148" s="1"/>
  <c r="J37" i="148" s="1"/>
  <c r="J46" i="148" s="1"/>
  <c r="J48" i="148" s="1"/>
  <c r="K37" i="148" s="1"/>
  <c r="K46" i="148" s="1"/>
  <c r="K48" i="148" s="1"/>
  <c r="L37" i="148" s="1"/>
  <c r="L46" i="148" s="1"/>
  <c r="L48" i="148" s="1"/>
  <c r="M37" i="148" s="1"/>
  <c r="M46" i="148" s="1"/>
  <c r="M48" i="148" s="1"/>
  <c r="N37" i="148" s="1"/>
  <c r="N46" i="148" s="1"/>
  <c r="N48" i="148" s="1"/>
  <c r="B14" i="191"/>
  <c r="B16" i="191"/>
  <c r="C5" i="191" s="1"/>
  <c r="C14" i="191" s="1"/>
  <c r="C16" i="191" s="1"/>
  <c r="D5" i="191" s="1"/>
  <c r="D14" i="191" s="1"/>
  <c r="D16" i="191" s="1"/>
  <c r="E5" i="191" s="1"/>
  <c r="E14" i="191" s="1"/>
  <c r="E16" i="191" s="1"/>
  <c r="F5" i="191" s="1"/>
  <c r="F14" i="191" s="1"/>
  <c r="F16" i="191" s="1"/>
  <c r="G5" i="191" s="1"/>
  <c r="G14" i="191" s="1"/>
  <c r="G16" i="191" s="1"/>
  <c r="H5" i="191" s="1"/>
  <c r="H14" i="191" s="1"/>
  <c r="H16" i="191" s="1"/>
  <c r="I5" i="191" s="1"/>
  <c r="I14" i="191" s="1"/>
  <c r="I16" i="191" s="1"/>
  <c r="J5" i="191" s="1"/>
  <c r="J14" i="191" s="1"/>
  <c r="J16" i="191" s="1"/>
  <c r="K5" i="191" s="1"/>
  <c r="K14" i="191" s="1"/>
  <c r="K16" i="191" s="1"/>
  <c r="L5" i="191" s="1"/>
  <c r="L14" i="191" s="1"/>
  <c r="L16" i="191" s="1"/>
  <c r="M5" i="191" s="1"/>
  <c r="M14" i="191" s="1"/>
  <c r="M16" i="191" s="1"/>
  <c r="B30" i="191"/>
  <c r="C31" i="191"/>
  <c r="B32" i="191"/>
  <c r="C21" i="191" s="1"/>
  <c r="C30" i="191" s="1"/>
  <c r="C32" i="191" s="1"/>
  <c r="D21" i="191" s="1"/>
  <c r="D30" i="191" s="1"/>
  <c r="D32" i="191" s="1"/>
  <c r="E21" i="191" s="1"/>
  <c r="E30" i="191" s="1"/>
  <c r="E32" i="191" s="1"/>
  <c r="F21" i="191" s="1"/>
  <c r="F30" i="191" s="1"/>
  <c r="F32" i="191" s="1"/>
  <c r="G21" i="191" s="1"/>
  <c r="G30" i="191" s="1"/>
  <c r="G32" i="191" s="1"/>
  <c r="H21" i="191" s="1"/>
  <c r="H30" i="191" s="1"/>
  <c r="H32" i="191" s="1"/>
  <c r="I21" i="191" s="1"/>
  <c r="I30" i="191" s="1"/>
  <c r="I32" i="191" s="1"/>
  <c r="J21" i="191" s="1"/>
  <c r="J30" i="191" s="1"/>
  <c r="J32" i="191" s="1"/>
  <c r="K21" i="191" s="1"/>
  <c r="K30" i="191" s="1"/>
  <c r="K32" i="191" s="1"/>
  <c r="L21" i="191" s="1"/>
  <c r="L30" i="191" s="1"/>
  <c r="L32" i="191" s="1"/>
  <c r="M21" i="191" s="1"/>
  <c r="M30" i="191" s="1"/>
  <c r="M32" i="191" s="1"/>
  <c r="B46" i="191"/>
  <c r="B48" i="191" s="1"/>
  <c r="C37" i="191" s="1"/>
  <c r="C46" i="191" s="1"/>
  <c r="C48" i="191" s="1"/>
  <c r="D37" i="191" s="1"/>
  <c r="D46" i="191" s="1"/>
  <c r="D48" i="191" s="1"/>
  <c r="E37" i="191" s="1"/>
  <c r="E46" i="191" s="1"/>
  <c r="E48" i="191" s="1"/>
  <c r="F37" i="191" s="1"/>
  <c r="F46" i="191" s="1"/>
  <c r="F48" i="191" s="1"/>
  <c r="G37" i="191" s="1"/>
  <c r="G46" i="191" s="1"/>
  <c r="G48" i="191" s="1"/>
  <c r="H37" i="191" s="1"/>
  <c r="H46" i="191" s="1"/>
  <c r="H48" i="191" s="1"/>
  <c r="I37" i="191" s="1"/>
  <c r="I46" i="191" s="1"/>
  <c r="I48" i="191" s="1"/>
  <c r="J37" i="191" s="1"/>
  <c r="J46" i="191" s="1"/>
  <c r="J48" i="191" s="1"/>
  <c r="K37" i="191" s="1"/>
  <c r="K46" i="191" s="1"/>
  <c r="K48" i="191" s="1"/>
  <c r="L37" i="191" s="1"/>
  <c r="L46" i="191" s="1"/>
  <c r="L48" i="191" s="1"/>
  <c r="M37" i="191" s="1"/>
  <c r="M46" i="191" s="1"/>
  <c r="M48" i="191" s="1"/>
  <c r="B13" i="90"/>
  <c r="B15" i="90" s="1"/>
  <c r="C4" i="90" s="1"/>
  <c r="C13" i="90" s="1"/>
  <c r="C15" i="90" s="1"/>
  <c r="D4" i="90" s="1"/>
  <c r="D13" i="90" s="1"/>
  <c r="D15" i="90" s="1"/>
  <c r="E4" i="90" s="1"/>
  <c r="E13" i="90" s="1"/>
  <c r="E15" i="90" s="1"/>
  <c r="F4" i="90" s="1"/>
  <c r="F13" i="90" s="1"/>
  <c r="F15" i="90" s="1"/>
  <c r="G4" i="90" s="1"/>
  <c r="G13" i="90" s="1"/>
  <c r="G15" i="90" s="1"/>
  <c r="H4" i="90" s="1"/>
  <c r="H13" i="90" s="1"/>
  <c r="H15" i="90" s="1"/>
  <c r="I4" i="90" s="1"/>
  <c r="I13" i="90" s="1"/>
  <c r="I15" i="90" s="1"/>
  <c r="J4" i="90" s="1"/>
  <c r="J13" i="90" s="1"/>
  <c r="J15" i="90" s="1"/>
  <c r="K4" i="90" s="1"/>
  <c r="K13" i="90" s="1"/>
  <c r="K15" i="90" s="1"/>
  <c r="L4" i="90" s="1"/>
  <c r="L13" i="90" s="1"/>
  <c r="L15" i="90" s="1"/>
  <c r="M4" i="90" s="1"/>
  <c r="M13" i="90" s="1"/>
  <c r="M15" i="90" s="1"/>
  <c r="N29" i="90"/>
  <c r="N31" i="90" s="1"/>
  <c r="B30" i="90"/>
  <c r="B32" i="90" s="1"/>
  <c r="C21" i="90" s="1"/>
  <c r="C30" i="90" s="1"/>
  <c r="C32" i="90" s="1"/>
  <c r="D21" i="90" s="1"/>
  <c r="D30" i="90" s="1"/>
  <c r="D32" i="90" s="1"/>
  <c r="E21" i="90"/>
  <c r="E30" i="90" s="1"/>
  <c r="E32" i="90" s="1"/>
  <c r="F21" i="90" s="1"/>
  <c r="F30" i="90" s="1"/>
  <c r="F32" i="90" s="1"/>
  <c r="G21" i="90" s="1"/>
  <c r="G30" i="90" s="1"/>
  <c r="G32" i="90" s="1"/>
  <c r="H21" i="90" s="1"/>
  <c r="H30" i="90" s="1"/>
  <c r="H32" i="90" s="1"/>
  <c r="I21" i="90" s="1"/>
  <c r="I30" i="90" s="1"/>
  <c r="I32" i="90" s="1"/>
  <c r="J21" i="90" s="1"/>
  <c r="J30" i="90" s="1"/>
  <c r="J32" i="90" s="1"/>
  <c r="K21" i="90" s="1"/>
  <c r="K30" i="90" s="1"/>
  <c r="K32" i="90" s="1"/>
  <c r="L21" i="90" s="1"/>
  <c r="L30" i="90" s="1"/>
  <c r="L32" i="90" s="1"/>
  <c r="M21" i="90" s="1"/>
  <c r="M30" i="90" s="1"/>
  <c r="M32" i="90" s="1"/>
  <c r="B16" i="109"/>
  <c r="C16" i="109"/>
  <c r="D16" i="109"/>
  <c r="E16" i="109"/>
  <c r="F16" i="109"/>
  <c r="G16" i="109"/>
  <c r="H16" i="109"/>
  <c r="I16" i="109"/>
  <c r="J16" i="109"/>
  <c r="K16" i="109"/>
  <c r="L16" i="109"/>
  <c r="M16" i="109"/>
  <c r="B30" i="109"/>
  <c r="B32" i="109" s="1"/>
  <c r="C21" i="109" s="1"/>
  <c r="C30" i="109" s="1"/>
  <c r="C32" i="109" s="1"/>
  <c r="D21" i="109" s="1"/>
  <c r="D30" i="109" s="1"/>
  <c r="D32" i="109" s="1"/>
  <c r="E21" i="109" s="1"/>
  <c r="E30" i="109" s="1"/>
  <c r="E32" i="109" s="1"/>
  <c r="F21" i="109" s="1"/>
  <c r="F30" i="109" s="1"/>
  <c r="F32" i="109" s="1"/>
  <c r="G21" i="109" s="1"/>
  <c r="G30" i="109" s="1"/>
  <c r="G32" i="109" s="1"/>
  <c r="H21" i="109" s="1"/>
  <c r="H30" i="109" s="1"/>
  <c r="H32" i="109" s="1"/>
  <c r="I21" i="109" s="1"/>
  <c r="I30" i="109" s="1"/>
  <c r="I32" i="109" s="1"/>
  <c r="J21" i="109" s="1"/>
  <c r="J30" i="109" s="1"/>
  <c r="J32" i="109" s="1"/>
  <c r="K21" i="109" s="1"/>
  <c r="K30" i="109" s="1"/>
  <c r="K32" i="109" s="1"/>
  <c r="L21" i="109" s="1"/>
  <c r="L30" i="109" s="1"/>
  <c r="L32" i="109"/>
  <c r="M21" i="109" s="1"/>
  <c r="M30" i="109" s="1"/>
  <c r="M32" i="109" s="1"/>
  <c r="B46" i="109"/>
  <c r="B48" i="109" s="1"/>
  <c r="C37" i="109" s="1"/>
  <c r="C46" i="109" s="1"/>
  <c r="C48" i="109" s="1"/>
  <c r="D37" i="109" s="1"/>
  <c r="D46" i="109" s="1"/>
  <c r="D48" i="109" s="1"/>
  <c r="E37" i="109" s="1"/>
  <c r="E46" i="109" s="1"/>
  <c r="E48" i="109" s="1"/>
  <c r="F37" i="109" s="1"/>
  <c r="F46" i="109" s="1"/>
  <c r="F48" i="109" s="1"/>
  <c r="G37" i="109" s="1"/>
  <c r="G46" i="109" s="1"/>
  <c r="G48" i="109" s="1"/>
  <c r="H37" i="109" s="1"/>
  <c r="H46" i="109" s="1"/>
  <c r="H48" i="109" s="1"/>
  <c r="I37" i="109" s="1"/>
  <c r="I46" i="109" s="1"/>
  <c r="I48" i="109" s="1"/>
  <c r="J37" i="109" s="1"/>
  <c r="J46" i="109" s="1"/>
  <c r="J48" i="109" s="1"/>
  <c r="K37" i="109" s="1"/>
  <c r="K46" i="109" s="1"/>
  <c r="K48" i="109" s="1"/>
  <c r="L37" i="109" s="1"/>
  <c r="L46" i="109" s="1"/>
  <c r="L48" i="109" s="1"/>
  <c r="M37" i="109" s="1"/>
  <c r="M46" i="109" s="1"/>
  <c r="M48" i="109" s="1"/>
  <c r="B63" i="109"/>
  <c r="B65" i="109" s="1"/>
  <c r="C54" i="109" s="1"/>
  <c r="C63" i="109" s="1"/>
  <c r="C65" i="109" s="1"/>
  <c r="D54" i="109" s="1"/>
  <c r="D63" i="109" s="1"/>
  <c r="D65" i="109" s="1"/>
  <c r="E54" i="109" s="1"/>
  <c r="E63" i="109" s="1"/>
  <c r="E65" i="109" s="1"/>
  <c r="F54" i="109" s="1"/>
  <c r="F63" i="109" s="1"/>
  <c r="F65" i="109" s="1"/>
  <c r="G54" i="109" s="1"/>
  <c r="G63" i="109" s="1"/>
  <c r="G65" i="109" s="1"/>
  <c r="H54" i="109" s="1"/>
  <c r="H63" i="109" s="1"/>
  <c r="H65" i="109" s="1"/>
  <c r="I54" i="109" s="1"/>
  <c r="I63" i="109" s="1"/>
  <c r="I65" i="109" s="1"/>
  <c r="J54" i="109" s="1"/>
  <c r="J63" i="109" s="1"/>
  <c r="J65" i="109" s="1"/>
  <c r="K54" i="109" s="1"/>
  <c r="K63" i="109" s="1"/>
  <c r="K65" i="109" s="1"/>
  <c r="L54" i="109" s="1"/>
  <c r="L63" i="109" s="1"/>
  <c r="L65" i="109" s="1"/>
  <c r="M54" i="109" s="1"/>
  <c r="M63" i="109" s="1"/>
  <c r="M65" i="109" s="1"/>
  <c r="D9" i="66"/>
  <c r="D18" i="66" s="1"/>
  <c r="C18" i="66"/>
  <c r="C20" i="66" s="1"/>
  <c r="D20" i="66"/>
  <c r="E9" i="66" s="1"/>
  <c r="E18" i="66" s="1"/>
  <c r="E20" i="66" s="1"/>
  <c r="F9" i="66" s="1"/>
  <c r="F18" i="66" s="1"/>
  <c r="F20" i="66" s="1"/>
  <c r="G9" i="66" s="1"/>
  <c r="G18" i="66" s="1"/>
  <c r="G20" i="66" s="1"/>
  <c r="H9" i="66" s="1"/>
  <c r="H18" i="66" s="1"/>
  <c r="H20" i="66" s="1"/>
  <c r="I9" i="66" s="1"/>
  <c r="I18" i="66" s="1"/>
  <c r="I20" i="66" s="1"/>
  <c r="J9" i="66" s="1"/>
  <c r="J18" i="66" s="1"/>
  <c r="J20" i="66" s="1"/>
  <c r="K9" i="66" s="1"/>
  <c r="K18" i="66" s="1"/>
  <c r="K20" i="66" s="1"/>
  <c r="L9" i="66" s="1"/>
  <c r="L18" i="66" s="1"/>
  <c r="L20" i="66" s="1"/>
  <c r="M9" i="66" s="1"/>
  <c r="M18" i="66" s="1"/>
  <c r="M20" i="66" s="1"/>
  <c r="N9" i="66" s="1"/>
  <c r="N18" i="66" s="1"/>
  <c r="N20" i="66" s="1"/>
  <c r="C38" i="66"/>
  <c r="C40" i="66" s="1"/>
  <c r="D29" i="66" s="1"/>
  <c r="D38" i="66" s="1"/>
  <c r="D40" i="66" s="1"/>
  <c r="E29" i="66" s="1"/>
  <c r="E38" i="66" s="1"/>
  <c r="E40" i="66" s="1"/>
  <c r="F29" i="66" s="1"/>
  <c r="F38" i="66" s="1"/>
  <c r="F40" i="66" s="1"/>
  <c r="G29" i="66" s="1"/>
  <c r="G38" i="66" s="1"/>
  <c r="G40" i="66" s="1"/>
  <c r="H29" i="66" s="1"/>
  <c r="H38" i="66" s="1"/>
  <c r="H40" i="66" s="1"/>
  <c r="I29" i="66" s="1"/>
  <c r="I38" i="66" s="1"/>
  <c r="I40" i="66" s="1"/>
  <c r="J29" i="66" s="1"/>
  <c r="J38" i="66" s="1"/>
  <c r="J40" i="66" s="1"/>
  <c r="K29" i="66" s="1"/>
  <c r="K38" i="66" s="1"/>
  <c r="K40" i="66" s="1"/>
  <c r="L29" i="66" s="1"/>
  <c r="L38" i="66" s="1"/>
  <c r="L40" i="66" s="1"/>
  <c r="M29" i="66" s="1"/>
  <c r="M38" i="66" s="1"/>
  <c r="M40" i="66" s="1"/>
  <c r="N29" i="66" s="1"/>
  <c r="N38" i="66" s="1"/>
  <c r="N40" i="66" s="1"/>
  <c r="C14" i="204"/>
  <c r="C16" i="204" s="1"/>
  <c r="D5" i="204" s="1"/>
  <c r="D14" i="204" s="1"/>
  <c r="D16" i="204" s="1"/>
  <c r="E5" i="204" s="1"/>
  <c r="E14" i="204" s="1"/>
  <c r="E16" i="204" s="1"/>
  <c r="F5" i="204" s="1"/>
  <c r="F14" i="204" s="1"/>
  <c r="F16" i="204" s="1"/>
  <c r="G5" i="204" s="1"/>
  <c r="G14" i="204" s="1"/>
  <c r="G16" i="204" s="1"/>
  <c r="H5" i="204" s="1"/>
  <c r="H14" i="204" s="1"/>
  <c r="H16" i="204" s="1"/>
  <c r="I5" i="204" s="1"/>
  <c r="I14" i="204" s="1"/>
  <c r="I16" i="204" s="1"/>
  <c r="J5" i="204" s="1"/>
  <c r="J14" i="204" s="1"/>
  <c r="J16" i="204" s="1"/>
  <c r="K5" i="204" s="1"/>
  <c r="K14" i="204" s="1"/>
  <c r="K16" i="204" s="1"/>
  <c r="L5" i="204" s="1"/>
  <c r="L14" i="204" s="1"/>
  <c r="L16" i="204" s="1"/>
  <c r="M5" i="204" s="1"/>
  <c r="M14" i="204" s="1"/>
  <c r="M16" i="204" s="1"/>
  <c r="N5" i="204" s="1"/>
  <c r="N14" i="204" s="1"/>
  <c r="N16" i="204" s="1"/>
  <c r="C29" i="204"/>
  <c r="C31" i="204" s="1"/>
  <c r="D20" i="204" s="1"/>
  <c r="D29" i="204" s="1"/>
  <c r="D31" i="204" s="1"/>
  <c r="E20" i="204" s="1"/>
  <c r="E29" i="204" s="1"/>
  <c r="E31" i="204" s="1"/>
  <c r="F20" i="204"/>
  <c r="F29" i="204" s="1"/>
  <c r="F31" i="204" s="1"/>
  <c r="G20" i="204" s="1"/>
  <c r="G29" i="204" s="1"/>
  <c r="G31" i="204" s="1"/>
  <c r="H20" i="204" s="1"/>
  <c r="H29" i="204" s="1"/>
  <c r="H31" i="204" s="1"/>
  <c r="I20" i="204" s="1"/>
  <c r="I29" i="204" s="1"/>
  <c r="I31" i="204" s="1"/>
  <c r="J20" i="204" s="1"/>
  <c r="J29" i="204" s="1"/>
  <c r="J31" i="204" s="1"/>
  <c r="K20" i="204" s="1"/>
  <c r="K29" i="204" s="1"/>
  <c r="K31" i="204" s="1"/>
  <c r="L20" i="204" s="1"/>
  <c r="L29" i="204" s="1"/>
  <c r="L31" i="204" s="1"/>
  <c r="M20" i="204" s="1"/>
  <c r="M29" i="204" s="1"/>
  <c r="M31" i="204" s="1"/>
  <c r="N20" i="204" s="1"/>
  <c r="N29" i="204" s="1"/>
  <c r="N31" i="204" s="1"/>
  <c r="C8" i="175"/>
  <c r="G14" i="175"/>
  <c r="B15" i="175"/>
  <c r="B17" i="175" s="1"/>
  <c r="C6" i="175" s="1"/>
  <c r="C15" i="175" s="1"/>
  <c r="C17" i="175" s="1"/>
  <c r="D6" i="175" s="1"/>
  <c r="D15" i="175" s="1"/>
  <c r="D17" i="175" s="1"/>
  <c r="E6" i="175" s="1"/>
  <c r="E15" i="175" s="1"/>
  <c r="E17" i="175" s="1"/>
  <c r="F6" i="175" s="1"/>
  <c r="F15" i="175" s="1"/>
  <c r="F17" i="175" s="1"/>
  <c r="G6" i="175" s="1"/>
  <c r="G15" i="175" s="1"/>
  <c r="G17" i="175" s="1"/>
  <c r="H6" i="175" s="1"/>
  <c r="H15" i="175" s="1"/>
  <c r="H17" i="175" s="1"/>
  <c r="I6" i="175" s="1"/>
  <c r="I15" i="175" s="1"/>
  <c r="I17" i="175" s="1"/>
  <c r="J6" i="175" s="1"/>
  <c r="J15" i="175" s="1"/>
  <c r="J17" i="175" s="1"/>
  <c r="K6" i="175" s="1"/>
  <c r="K15" i="175" s="1"/>
  <c r="K17" i="175" s="1"/>
  <c r="L6" i="175" s="1"/>
  <c r="L15" i="175" s="1"/>
  <c r="L17" i="175" s="1"/>
  <c r="M6" i="175" s="1"/>
  <c r="M15" i="175" s="1"/>
  <c r="M17" i="175" s="1"/>
  <c r="C23" i="175"/>
  <c r="C32" i="175" s="1"/>
  <c r="C34" i="175" s="1"/>
  <c r="D23" i="175" s="1"/>
  <c r="D32" i="175" s="1"/>
  <c r="D34" i="175" s="1"/>
  <c r="E23" i="175" s="1"/>
  <c r="E32" i="175" s="1"/>
  <c r="E34" i="175" s="1"/>
  <c r="F23" i="175" s="1"/>
  <c r="F32" i="175" s="1"/>
  <c r="F34" i="175" s="1"/>
  <c r="G23" i="175" s="1"/>
  <c r="G32" i="175" s="1"/>
  <c r="G34" i="175" s="1"/>
  <c r="H23" i="175" s="1"/>
  <c r="H32" i="175" s="1"/>
  <c r="H34" i="175" s="1"/>
  <c r="I23" i="175" s="1"/>
  <c r="I32" i="175" s="1"/>
  <c r="I34" i="175" s="1"/>
  <c r="J23" i="175" s="1"/>
  <c r="J32" i="175" s="1"/>
  <c r="J34" i="175" s="1"/>
  <c r="K23" i="175"/>
  <c r="K32" i="175" s="1"/>
  <c r="K34" i="175" s="1"/>
  <c r="L23" i="175" s="1"/>
  <c r="L32" i="175" s="1"/>
  <c r="L34" i="175" s="1"/>
  <c r="M23" i="175" s="1"/>
  <c r="M32" i="175" s="1"/>
  <c r="M34" i="175" s="1"/>
  <c r="B32" i="175"/>
  <c r="B34" i="175"/>
  <c r="B14" i="149"/>
  <c r="B16" i="149" s="1"/>
  <c r="C5" i="149" s="1"/>
  <c r="C14" i="149" s="1"/>
  <c r="C16" i="149" s="1"/>
  <c r="D5" i="149" s="1"/>
  <c r="D14" i="149" s="1"/>
  <c r="D16" i="149" s="1"/>
  <c r="E5" i="149" s="1"/>
  <c r="E14" i="149" s="1"/>
  <c r="E16" i="149" s="1"/>
  <c r="F5" i="149" s="1"/>
  <c r="F14" i="149" s="1"/>
  <c r="F16" i="149"/>
  <c r="G5" i="149" s="1"/>
  <c r="G14" i="149" s="1"/>
  <c r="G16" i="149" s="1"/>
  <c r="H5" i="149" s="1"/>
  <c r="H14" i="149" s="1"/>
  <c r="H16" i="149" s="1"/>
  <c r="I5" i="149" s="1"/>
  <c r="I14" i="149" s="1"/>
  <c r="I16" i="149" s="1"/>
  <c r="J5" i="149" s="1"/>
  <c r="J14" i="149" s="1"/>
  <c r="J16" i="149" s="1"/>
  <c r="K5" i="149" s="1"/>
  <c r="K14" i="149" s="1"/>
  <c r="K16" i="149" s="1"/>
  <c r="L5" i="149" s="1"/>
  <c r="L14" i="149" s="1"/>
  <c r="L16" i="149" s="1"/>
  <c r="M5" i="149" s="1"/>
  <c r="M14" i="149" s="1"/>
  <c r="M16" i="149" s="1"/>
  <c r="B32" i="149"/>
  <c r="B34" i="149" s="1"/>
  <c r="C23" i="149" s="1"/>
  <c r="C32" i="149" s="1"/>
  <c r="C34" i="149" s="1"/>
  <c r="D23" i="149" s="1"/>
  <c r="D32" i="149" s="1"/>
  <c r="D34" i="149" s="1"/>
  <c r="E23" i="149" s="1"/>
  <c r="E32" i="149" s="1"/>
  <c r="E34" i="149" s="1"/>
  <c r="F23" i="149" s="1"/>
  <c r="F32" i="149" s="1"/>
  <c r="F34" i="149" s="1"/>
  <c r="G23" i="149" s="1"/>
  <c r="G32" i="149" s="1"/>
  <c r="G34" i="149" s="1"/>
  <c r="H23" i="149" s="1"/>
  <c r="H32" i="149" s="1"/>
  <c r="H34" i="149" s="1"/>
  <c r="I23" i="149" s="1"/>
  <c r="I32" i="149" s="1"/>
  <c r="I34" i="149" s="1"/>
  <c r="J23" i="149" s="1"/>
  <c r="J32" i="149" s="1"/>
  <c r="J34" i="149" s="1"/>
  <c r="K23" i="149" s="1"/>
  <c r="K32" i="149" s="1"/>
  <c r="K34" i="149" s="1"/>
  <c r="L23" i="149" s="1"/>
  <c r="L32" i="149" s="1"/>
  <c r="L34" i="149" s="1"/>
  <c r="M23" i="149" s="1"/>
  <c r="M32" i="149" s="1"/>
  <c r="M34" i="149" s="1"/>
  <c r="B16" i="6"/>
  <c r="B18" i="6" s="1"/>
  <c r="C7" i="6" s="1"/>
  <c r="C16" i="6" s="1"/>
  <c r="C18" i="6" s="1"/>
  <c r="D7" i="6" s="1"/>
  <c r="D16" i="6" s="1"/>
  <c r="D18" i="6" s="1"/>
  <c r="E7" i="6" s="1"/>
  <c r="E16" i="6" s="1"/>
  <c r="E18" i="6" s="1"/>
  <c r="F7" i="6" s="1"/>
  <c r="F16" i="6" s="1"/>
  <c r="F18" i="6" s="1"/>
  <c r="G7" i="6" s="1"/>
  <c r="G16" i="6" s="1"/>
  <c r="G18" i="6" s="1"/>
  <c r="H7" i="6" s="1"/>
  <c r="H16" i="6" s="1"/>
  <c r="H18" i="6" s="1"/>
  <c r="I7" i="6" s="1"/>
  <c r="I16" i="6" s="1"/>
  <c r="I18" i="6" s="1"/>
  <c r="J7" i="6" s="1"/>
  <c r="J16" i="6" s="1"/>
  <c r="J18" i="6" s="1"/>
  <c r="K7" i="6" s="1"/>
  <c r="K16" i="6" s="1"/>
  <c r="K18" i="6" s="1"/>
  <c r="L7" i="6" s="1"/>
  <c r="L16" i="6" s="1"/>
  <c r="L18" i="6" s="1"/>
  <c r="M7" i="6" s="1"/>
  <c r="M16" i="6" s="1"/>
  <c r="M18" i="6" s="1"/>
  <c r="Q18" i="6"/>
  <c r="B33" i="6"/>
  <c r="C33" i="6"/>
  <c r="C35" i="6" s="1"/>
  <c r="D24" i="6" s="1"/>
  <c r="D33" i="6" s="1"/>
  <c r="D35" i="6" s="1"/>
  <c r="E24" i="6" s="1"/>
  <c r="E33" i="6" s="1"/>
  <c r="E35" i="6" s="1"/>
  <c r="F24" i="6" s="1"/>
  <c r="F33" i="6" s="1"/>
  <c r="F35" i="6" s="1"/>
  <c r="G24" i="6" s="1"/>
  <c r="G33" i="6" s="1"/>
  <c r="G35" i="6" s="1"/>
  <c r="H24" i="6" s="1"/>
  <c r="H33" i="6" s="1"/>
  <c r="H35" i="6" s="1"/>
  <c r="I24" i="6" s="1"/>
  <c r="I33" i="6" s="1"/>
  <c r="I35" i="6" s="1"/>
  <c r="J24" i="6" s="1"/>
  <c r="J33" i="6" s="1"/>
  <c r="J35" i="6" s="1"/>
  <c r="K24" i="6" s="1"/>
  <c r="K33" i="6" s="1"/>
  <c r="K35" i="6" s="1"/>
  <c r="L24" i="6" s="1"/>
  <c r="L33" i="6" s="1"/>
  <c r="L35" i="6" s="1"/>
  <c r="M24" i="6" s="1"/>
  <c r="M33" i="6" s="1"/>
  <c r="M35" i="6" s="1"/>
  <c r="B35" i="6"/>
  <c r="C24" i="6" s="1"/>
  <c r="C39" i="6"/>
  <c r="C48" i="6" s="1"/>
  <c r="C50" i="6" s="1"/>
  <c r="D39" i="6" s="1"/>
  <c r="D48" i="6" s="1"/>
  <c r="D50" i="6" s="1"/>
  <c r="E39" i="6" s="1"/>
  <c r="E48" i="6" s="1"/>
  <c r="E50" i="6" s="1"/>
  <c r="F39" i="6" s="1"/>
  <c r="F48" i="6" s="1"/>
  <c r="F50" i="6" s="1"/>
  <c r="G39" i="6" s="1"/>
  <c r="G48" i="6" s="1"/>
  <c r="G50" i="6" s="1"/>
  <c r="H39" i="6" s="1"/>
  <c r="H48" i="6" s="1"/>
  <c r="H50" i="6" s="1"/>
  <c r="I39" i="6" s="1"/>
  <c r="I48" i="6" s="1"/>
  <c r="I50" i="6" s="1"/>
  <c r="J39" i="6" s="1"/>
  <c r="J48" i="6" s="1"/>
  <c r="J50" i="6" s="1"/>
  <c r="K39" i="6" s="1"/>
  <c r="K48" i="6" s="1"/>
  <c r="K50" i="6" s="1"/>
  <c r="L39" i="6" s="1"/>
  <c r="L48" i="6" s="1"/>
  <c r="L50" i="6" s="1"/>
  <c r="M39" i="6" s="1"/>
  <c r="M48" i="6" s="1"/>
  <c r="M50" i="6" s="1"/>
  <c r="B48" i="6"/>
  <c r="B50" i="6" s="1"/>
  <c r="C11" i="185"/>
  <c r="B14" i="185"/>
  <c r="B16" i="185" s="1"/>
  <c r="C5" i="185" s="1"/>
  <c r="C14" i="185" s="1"/>
  <c r="C16" i="185" s="1"/>
  <c r="D5" i="185" s="1"/>
  <c r="D14" i="185" s="1"/>
  <c r="D16" i="185" s="1"/>
  <c r="E5" i="185" s="1"/>
  <c r="E14" i="185" s="1"/>
  <c r="E16" i="185" s="1"/>
  <c r="F5" i="185" s="1"/>
  <c r="F14" i="185" s="1"/>
  <c r="F16" i="185" s="1"/>
  <c r="G5" i="185" s="1"/>
  <c r="G14" i="185" s="1"/>
  <c r="G16" i="185" s="1"/>
  <c r="H5" i="185" s="1"/>
  <c r="H14" i="185" s="1"/>
  <c r="H16" i="185" s="1"/>
  <c r="I5" i="185" s="1"/>
  <c r="I14" i="185" s="1"/>
  <c r="I16" i="185" s="1"/>
  <c r="J5" i="185" s="1"/>
  <c r="J14" i="185" s="1"/>
  <c r="J16" i="185" s="1"/>
  <c r="K5" i="185" s="1"/>
  <c r="K14" i="185" s="1"/>
  <c r="K16" i="185" s="1"/>
  <c r="L5" i="185" s="1"/>
  <c r="L14" i="185" s="1"/>
  <c r="L16" i="185" s="1"/>
  <c r="M5" i="185" s="1"/>
  <c r="M14" i="185" s="1"/>
  <c r="M16" i="185" s="1"/>
  <c r="B29" i="185"/>
  <c r="B31" i="185"/>
  <c r="C20" i="185" s="1"/>
  <c r="C29" i="185" s="1"/>
  <c r="C31" i="185" s="1"/>
  <c r="D20" i="185" s="1"/>
  <c r="D29" i="185" s="1"/>
  <c r="D31" i="185" s="1"/>
  <c r="E20" i="185" s="1"/>
  <c r="E29" i="185" s="1"/>
  <c r="E31" i="185" s="1"/>
  <c r="F20" i="185" s="1"/>
  <c r="F29" i="185" s="1"/>
  <c r="F31" i="185" s="1"/>
  <c r="G20" i="185" s="1"/>
  <c r="G29" i="185" s="1"/>
  <c r="G31" i="185" s="1"/>
  <c r="H20" i="185" s="1"/>
  <c r="H29" i="185" s="1"/>
  <c r="H31" i="185" s="1"/>
  <c r="I20" i="185" s="1"/>
  <c r="I29" i="185" s="1"/>
  <c r="I31" i="185" s="1"/>
  <c r="J20" i="185" s="1"/>
  <c r="J29" i="185" s="1"/>
  <c r="J31" i="185" s="1"/>
  <c r="K20" i="185" s="1"/>
  <c r="K29" i="185" s="1"/>
  <c r="K31" i="185" s="1"/>
  <c r="L20" i="185" s="1"/>
  <c r="L29" i="185" s="1"/>
  <c r="L31" i="185" s="1"/>
  <c r="M20" i="185" s="1"/>
  <c r="M29" i="185"/>
  <c r="M31" i="185" s="1"/>
  <c r="B16" i="84"/>
  <c r="B18" i="84" s="1"/>
  <c r="C7" i="84" s="1"/>
  <c r="C16" i="84" s="1"/>
  <c r="C18" i="84" s="1"/>
  <c r="D7" i="84" s="1"/>
  <c r="D16" i="84" s="1"/>
  <c r="D18" i="84" s="1"/>
  <c r="E7" i="84" s="1"/>
  <c r="E16" i="84" s="1"/>
  <c r="E18" i="84" s="1"/>
  <c r="F7" i="84" s="1"/>
  <c r="F16" i="84" s="1"/>
  <c r="F18" i="84" s="1"/>
  <c r="G7" i="84" s="1"/>
  <c r="G16" i="84" s="1"/>
  <c r="G18" i="84" s="1"/>
  <c r="H7" i="84" s="1"/>
  <c r="H16" i="84" s="1"/>
  <c r="H18" i="84" s="1"/>
  <c r="I7" i="84" s="1"/>
  <c r="I16" i="84" s="1"/>
  <c r="I18" i="84" s="1"/>
  <c r="J7" i="84" s="1"/>
  <c r="J16" i="84" s="1"/>
  <c r="J18" i="84" s="1"/>
  <c r="K7" i="84"/>
  <c r="K16" i="84" s="1"/>
  <c r="K18" i="84" s="1"/>
  <c r="L7" i="84" s="1"/>
  <c r="L16" i="84" s="1"/>
  <c r="L18" i="84" s="1"/>
  <c r="M7" i="84" s="1"/>
  <c r="M16" i="84" s="1"/>
  <c r="M18" i="84" s="1"/>
  <c r="B34" i="84"/>
  <c r="B36" i="84" s="1"/>
  <c r="C25" i="84" s="1"/>
  <c r="C34" i="84" s="1"/>
  <c r="C36" i="84" s="1"/>
  <c r="D25" i="84" s="1"/>
  <c r="D34" i="84" s="1"/>
  <c r="D36" i="84" s="1"/>
  <c r="E25" i="84" s="1"/>
  <c r="E34" i="84" s="1"/>
  <c r="E36" i="84" s="1"/>
  <c r="F25" i="84" s="1"/>
  <c r="F34" i="84" s="1"/>
  <c r="F36" i="84" s="1"/>
  <c r="G25" i="84" s="1"/>
  <c r="G34" i="84" s="1"/>
  <c r="G36" i="84" s="1"/>
  <c r="H25" i="84" s="1"/>
  <c r="H34" i="84" s="1"/>
  <c r="H36" i="84" s="1"/>
  <c r="I25" i="84" s="1"/>
  <c r="I34" i="84" s="1"/>
  <c r="I36" i="84" s="1"/>
  <c r="J25" i="84" s="1"/>
  <c r="J34" i="84" s="1"/>
  <c r="J36" i="84" s="1"/>
  <c r="K25" i="84" s="1"/>
  <c r="K34" i="84" s="1"/>
  <c r="K36" i="84" s="1"/>
  <c r="L25" i="84" s="1"/>
  <c r="L34" i="84" s="1"/>
  <c r="L36" i="84" s="1"/>
  <c r="M25" i="84" s="1"/>
  <c r="M34" i="84" s="1"/>
  <c r="M36" i="84" s="1"/>
  <c r="C45" i="84"/>
  <c r="C54" i="84" s="1"/>
  <c r="C56" i="84" s="1"/>
  <c r="D45" i="84" s="1"/>
  <c r="D54" i="84" s="1"/>
  <c r="D56" i="84" s="1"/>
  <c r="E45" i="84" s="1"/>
  <c r="E54" i="84" s="1"/>
  <c r="E56" i="84" s="1"/>
  <c r="F45" i="84" s="1"/>
  <c r="F54" i="84" s="1"/>
  <c r="F56" i="84" s="1"/>
  <c r="G45" i="84" s="1"/>
  <c r="G54" i="84" s="1"/>
  <c r="G56" i="84" s="1"/>
  <c r="H45" i="84" s="1"/>
  <c r="H54" i="84" s="1"/>
  <c r="H56" i="84" s="1"/>
  <c r="I45" i="84" s="1"/>
  <c r="I54" i="84" s="1"/>
  <c r="I56" i="84" s="1"/>
  <c r="J45" i="84" s="1"/>
  <c r="J54" i="84" s="1"/>
  <c r="J56" i="84" s="1"/>
  <c r="K45" i="84" s="1"/>
  <c r="K54" i="84" s="1"/>
  <c r="K56" i="84" s="1"/>
  <c r="L45" i="84" s="1"/>
  <c r="L54" i="84" s="1"/>
  <c r="L56" i="84" s="1"/>
  <c r="M45" i="84" s="1"/>
  <c r="M54" i="84" s="1"/>
  <c r="M56" i="84" s="1"/>
  <c r="B54" i="84"/>
  <c r="B56" i="84"/>
  <c r="D12" i="214"/>
  <c r="B15" i="214"/>
  <c r="B17" i="214"/>
  <c r="C6" i="214" s="1"/>
  <c r="C15" i="214" s="1"/>
  <c r="C17" i="214" s="1"/>
  <c r="D6" i="214" s="1"/>
  <c r="D15" i="214" s="1"/>
  <c r="D17" i="214" s="1"/>
  <c r="E6" i="214" s="1"/>
  <c r="E15" i="214" s="1"/>
  <c r="E17" i="214" s="1"/>
  <c r="F6" i="214" s="1"/>
  <c r="F15" i="214" s="1"/>
  <c r="F17" i="214" s="1"/>
  <c r="G6" i="214" s="1"/>
  <c r="G15" i="214" s="1"/>
  <c r="G17" i="214" s="1"/>
  <c r="H6" i="214" s="1"/>
  <c r="H15" i="214" s="1"/>
  <c r="H17" i="214" s="1"/>
  <c r="I6" i="214" s="1"/>
  <c r="I15" i="214" s="1"/>
  <c r="I17" i="214" s="1"/>
  <c r="J6" i="214" s="1"/>
  <c r="J15" i="214" s="1"/>
  <c r="J17" i="214" s="1"/>
  <c r="K6" i="214" s="1"/>
  <c r="K15" i="214" s="1"/>
  <c r="K17" i="214" s="1"/>
  <c r="L6" i="214" s="1"/>
  <c r="L15" i="214" s="1"/>
  <c r="L17" i="214" s="1"/>
  <c r="M6" i="214" s="1"/>
  <c r="M15" i="214" s="1"/>
  <c r="M17" i="214" s="1"/>
  <c r="B31" i="214"/>
  <c r="B33" i="214"/>
  <c r="C22" i="214" s="1"/>
  <c r="C31" i="214" s="1"/>
  <c r="C33" i="214" s="1"/>
  <c r="D22" i="214" s="1"/>
  <c r="D31" i="214" s="1"/>
  <c r="D33" i="214" s="1"/>
  <c r="E22" i="214" s="1"/>
  <c r="E31" i="214" s="1"/>
  <c r="E33" i="214" s="1"/>
  <c r="F22" i="214" s="1"/>
  <c r="F31" i="214" s="1"/>
  <c r="F33" i="214" s="1"/>
  <c r="G22" i="214" s="1"/>
  <c r="G31" i="214" s="1"/>
  <c r="G33" i="214" s="1"/>
  <c r="H22" i="214" s="1"/>
  <c r="H31" i="214" s="1"/>
  <c r="H33" i="214" s="1"/>
  <c r="I22" i="214" s="1"/>
  <c r="I31" i="214" s="1"/>
  <c r="I33" i="214" s="1"/>
  <c r="J22" i="214" s="1"/>
  <c r="J31" i="214" s="1"/>
  <c r="J33" i="214" s="1"/>
  <c r="K22" i="214" s="1"/>
  <c r="K31" i="214" s="1"/>
  <c r="K33" i="214" s="1"/>
  <c r="L22" i="214" s="1"/>
  <c r="L31" i="214" s="1"/>
  <c r="L33" i="214" s="1"/>
  <c r="M22" i="214" s="1"/>
  <c r="M31" i="214" s="1"/>
  <c r="M33" i="214" s="1"/>
  <c r="B16" i="69"/>
  <c r="B18" i="69"/>
  <c r="C7" i="69" s="1"/>
  <c r="C16" i="69" s="1"/>
  <c r="C18" i="69" s="1"/>
  <c r="D7" i="69" s="1"/>
  <c r="D16" i="69" s="1"/>
  <c r="D18" i="69" s="1"/>
  <c r="E7" i="69" s="1"/>
  <c r="E16" i="69" s="1"/>
  <c r="E18" i="69" s="1"/>
  <c r="F7" i="69" s="1"/>
  <c r="F16" i="69" s="1"/>
  <c r="F18" i="69" s="1"/>
  <c r="G7" i="69" s="1"/>
  <c r="G16" i="69" s="1"/>
  <c r="G18" i="69" s="1"/>
  <c r="H7" i="69" s="1"/>
  <c r="H16" i="69" s="1"/>
  <c r="H18" i="69" s="1"/>
  <c r="I7" i="69" s="1"/>
  <c r="I16" i="69" s="1"/>
  <c r="I18" i="69" s="1"/>
  <c r="J7" i="69" s="1"/>
  <c r="J16" i="69" s="1"/>
  <c r="J18" i="69" s="1"/>
  <c r="K7" i="69" s="1"/>
  <c r="K16" i="69" s="1"/>
  <c r="K18" i="69" s="1"/>
  <c r="L7" i="69" s="1"/>
  <c r="L16" i="69" s="1"/>
  <c r="L18" i="69" s="1"/>
  <c r="M7" i="69" s="1"/>
  <c r="M16" i="69" s="1"/>
  <c r="M18" i="69" s="1"/>
  <c r="B40" i="69"/>
  <c r="B42" i="69" s="1"/>
  <c r="C31" i="69" s="1"/>
  <c r="C40" i="69"/>
  <c r="C42" i="69" s="1"/>
  <c r="D31" i="69" s="1"/>
  <c r="D40" i="69" s="1"/>
  <c r="D42" i="69" s="1"/>
  <c r="E31" i="69" s="1"/>
  <c r="E40" i="69" s="1"/>
  <c r="E42" i="69" s="1"/>
  <c r="F31" i="69"/>
  <c r="F40" i="69" s="1"/>
  <c r="F42" i="69" s="1"/>
  <c r="G31" i="69" s="1"/>
  <c r="G40" i="69" s="1"/>
  <c r="G42" i="69" s="1"/>
  <c r="H31" i="69" s="1"/>
  <c r="H40" i="69" s="1"/>
  <c r="H42" i="69" s="1"/>
  <c r="I31" i="69" s="1"/>
  <c r="I40" i="69" s="1"/>
  <c r="I42" i="69" s="1"/>
  <c r="J31" i="69" s="1"/>
  <c r="J40" i="69" s="1"/>
  <c r="J42" i="69" s="1"/>
  <c r="K31" i="69" s="1"/>
  <c r="K40" i="69" s="1"/>
  <c r="K42" i="69" s="1"/>
  <c r="L31" i="69" s="1"/>
  <c r="L40" i="69" s="1"/>
  <c r="L42" i="69" s="1"/>
  <c r="M31" i="69" s="1"/>
  <c r="M40" i="69" s="1"/>
  <c r="M42" i="69" s="1"/>
  <c r="B60" i="69"/>
  <c r="B62" i="69" s="1"/>
  <c r="C51" i="69" s="1"/>
  <c r="C60" i="69" s="1"/>
  <c r="C62" i="69" s="1"/>
  <c r="D51" i="69" s="1"/>
  <c r="D60" i="69" s="1"/>
  <c r="D62" i="69" s="1"/>
  <c r="E51" i="69" s="1"/>
  <c r="E60" i="69" s="1"/>
  <c r="E62" i="69" s="1"/>
  <c r="F51" i="69" s="1"/>
  <c r="F60" i="69" s="1"/>
  <c r="F62" i="69" s="1"/>
  <c r="G51" i="69" s="1"/>
  <c r="G60" i="69" s="1"/>
  <c r="G62" i="69" s="1"/>
  <c r="H51" i="69" s="1"/>
  <c r="H60" i="69" s="1"/>
  <c r="H62" i="69" s="1"/>
  <c r="I51" i="69" s="1"/>
  <c r="I60" i="69" s="1"/>
  <c r="I62" i="69" s="1"/>
  <c r="J51" i="69" s="1"/>
  <c r="J60" i="69" s="1"/>
  <c r="J62" i="69" s="1"/>
  <c r="K51" i="69" s="1"/>
  <c r="K60" i="69" s="1"/>
  <c r="K62" i="69" s="1"/>
  <c r="L51" i="69" s="1"/>
  <c r="L60" i="69" s="1"/>
  <c r="L62" i="69" s="1"/>
  <c r="M51" i="69" s="1"/>
  <c r="M60" i="69" s="1"/>
  <c r="M62" i="69" s="1"/>
  <c r="B16" i="5"/>
  <c r="B18" i="5" s="1"/>
  <c r="C7" i="5" s="1"/>
  <c r="C16" i="5" s="1"/>
  <c r="C18" i="5" s="1"/>
  <c r="D7" i="5" s="1"/>
  <c r="D16" i="5" s="1"/>
  <c r="D18" i="5" s="1"/>
  <c r="E7" i="5" s="1"/>
  <c r="E16" i="5" s="1"/>
  <c r="E18" i="5" s="1"/>
  <c r="F7" i="5" s="1"/>
  <c r="F16" i="5" s="1"/>
  <c r="F18" i="5" s="1"/>
  <c r="G7" i="5" s="1"/>
  <c r="G16" i="5" s="1"/>
  <c r="G18" i="5" s="1"/>
  <c r="H7" i="5" s="1"/>
  <c r="H16" i="5" s="1"/>
  <c r="H18" i="5" s="1"/>
  <c r="I7" i="5" s="1"/>
  <c r="I16" i="5" s="1"/>
  <c r="I18" i="5" s="1"/>
  <c r="J7" i="5" s="1"/>
  <c r="J16" i="5" s="1"/>
  <c r="J18" i="5" s="1"/>
  <c r="K7" i="5" s="1"/>
  <c r="K16" i="5" s="1"/>
  <c r="K18" i="5" s="1"/>
  <c r="L7" i="5" s="1"/>
  <c r="L16" i="5" s="1"/>
  <c r="L18" i="5" s="1"/>
  <c r="M7" i="5" s="1"/>
  <c r="M16" i="5" s="1"/>
  <c r="M18" i="5" s="1"/>
  <c r="B17" i="116"/>
  <c r="B19" i="116" s="1"/>
  <c r="C8" i="116" s="1"/>
  <c r="C17" i="116" s="1"/>
  <c r="C19" i="116" s="1"/>
  <c r="D8" i="116" s="1"/>
  <c r="D17" i="116" s="1"/>
  <c r="D19" i="116" s="1"/>
  <c r="E8" i="116" s="1"/>
  <c r="E17" i="116" s="1"/>
  <c r="E19" i="116" s="1"/>
  <c r="F8" i="116" s="1"/>
  <c r="F17" i="116" s="1"/>
  <c r="F19" i="116" s="1"/>
  <c r="G8" i="116" s="1"/>
  <c r="G17" i="116" s="1"/>
  <c r="G19" i="116" s="1"/>
  <c r="H8" i="116" s="1"/>
  <c r="H17" i="116" s="1"/>
  <c r="H19" i="116" s="1"/>
  <c r="I8" i="116" s="1"/>
  <c r="I17" i="116" s="1"/>
  <c r="I19" i="116" s="1"/>
  <c r="J8" i="116" s="1"/>
  <c r="J17" i="116" s="1"/>
  <c r="J19" i="116" s="1"/>
  <c r="K8" i="116" s="1"/>
  <c r="K17" i="116" s="1"/>
  <c r="K19" i="116" s="1"/>
  <c r="L8" i="116" s="1"/>
  <c r="L17" i="116" s="1"/>
  <c r="L19" i="116" s="1"/>
  <c r="M8" i="116" s="1"/>
  <c r="M17" i="116" s="1"/>
  <c r="M19" i="116" s="1"/>
  <c r="B32" i="116"/>
  <c r="B34" i="116" s="1"/>
  <c r="C23" i="116" s="1"/>
  <c r="C32" i="116" s="1"/>
  <c r="C34" i="116" s="1"/>
  <c r="D23" i="116" s="1"/>
  <c r="D32" i="116" s="1"/>
  <c r="D34" i="116" s="1"/>
  <c r="E23" i="116" s="1"/>
  <c r="E32" i="116" s="1"/>
  <c r="E34" i="116" s="1"/>
  <c r="F23" i="116" s="1"/>
  <c r="F32" i="116" s="1"/>
  <c r="F34" i="116" s="1"/>
  <c r="G23" i="116" s="1"/>
  <c r="G32" i="116" s="1"/>
  <c r="G34" i="116" s="1"/>
  <c r="H23" i="116" s="1"/>
  <c r="H32" i="116" s="1"/>
  <c r="H34" i="116" s="1"/>
  <c r="I23" i="116" s="1"/>
  <c r="I32" i="116" s="1"/>
  <c r="I34" i="116" s="1"/>
  <c r="J23" i="116" s="1"/>
  <c r="J32" i="116" s="1"/>
  <c r="J34" i="116" s="1"/>
  <c r="K23" i="116" s="1"/>
  <c r="K32" i="116" s="1"/>
  <c r="K34" i="116" s="1"/>
  <c r="L23" i="116" s="1"/>
  <c r="L32" i="116" s="1"/>
  <c r="L34" i="116" s="1"/>
  <c r="M23" i="116" s="1"/>
  <c r="M32" i="116" s="1"/>
  <c r="M34" i="116" s="1"/>
  <c r="B17" i="137"/>
  <c r="B19" i="137" s="1"/>
  <c r="C8" i="137" s="1"/>
  <c r="C17" i="137" s="1"/>
  <c r="C19" i="137" s="1"/>
  <c r="D8" i="137" s="1"/>
  <c r="D17" i="137" s="1"/>
  <c r="D19" i="137" s="1"/>
  <c r="E8" i="137" s="1"/>
  <c r="E17" i="137" s="1"/>
  <c r="E19" i="137" s="1"/>
  <c r="F8" i="137" s="1"/>
  <c r="F17" i="137" s="1"/>
  <c r="F19" i="137" s="1"/>
  <c r="G8" i="137" s="1"/>
  <c r="G17" i="137" s="1"/>
  <c r="G19" i="137" s="1"/>
  <c r="H8" i="137" s="1"/>
  <c r="H17" i="137" s="1"/>
  <c r="H19" i="137" s="1"/>
  <c r="I8" i="137" s="1"/>
  <c r="I17" i="137" s="1"/>
  <c r="I19" i="137" s="1"/>
  <c r="J8" i="137" s="1"/>
  <c r="J17" i="137" s="1"/>
  <c r="J19" i="137" s="1"/>
  <c r="K8" i="137" s="1"/>
  <c r="K17" i="137" s="1"/>
  <c r="K19" i="137" s="1"/>
  <c r="L8" i="137" s="1"/>
  <c r="L17" i="137" s="1"/>
  <c r="L19" i="137" s="1"/>
  <c r="M8" i="137" s="1"/>
  <c r="M17" i="137" s="1"/>
  <c r="M19" i="137" s="1"/>
  <c r="B18" i="137"/>
  <c r="C18" i="137"/>
  <c r="B34" i="137"/>
  <c r="B35" i="137"/>
  <c r="B36" i="137" s="1"/>
  <c r="C25" i="137" s="1"/>
  <c r="C34" i="137" s="1"/>
  <c r="C36" i="137" s="1"/>
  <c r="D25" i="137" s="1"/>
  <c r="D34" i="137" s="1"/>
  <c r="D36" i="137" s="1"/>
  <c r="E25" i="137" s="1"/>
  <c r="E34" i="137" s="1"/>
  <c r="E36" i="137" s="1"/>
  <c r="F25" i="137" s="1"/>
  <c r="F34" i="137" s="1"/>
  <c r="F35" i="137"/>
  <c r="L35" i="137"/>
  <c r="B15" i="154"/>
  <c r="B17" i="154" s="1"/>
  <c r="C6" i="154" s="1"/>
  <c r="C15" i="154" s="1"/>
  <c r="C17" i="154" s="1"/>
  <c r="D6" i="154" s="1"/>
  <c r="D15" i="154" s="1"/>
  <c r="D17" i="154" s="1"/>
  <c r="E6" i="154" s="1"/>
  <c r="E15" i="154" s="1"/>
  <c r="E17" i="154" s="1"/>
  <c r="F6" i="154" s="1"/>
  <c r="F15" i="154" s="1"/>
  <c r="F17" i="154" s="1"/>
  <c r="G6" i="154" s="1"/>
  <c r="G15" i="154" s="1"/>
  <c r="G17" i="154" s="1"/>
  <c r="H6" i="154" s="1"/>
  <c r="H15" i="154" s="1"/>
  <c r="H17" i="154" s="1"/>
  <c r="I6" i="154" s="1"/>
  <c r="I15" i="154" s="1"/>
  <c r="I17" i="154" s="1"/>
  <c r="J6" i="154" s="1"/>
  <c r="J15" i="154" s="1"/>
  <c r="J17" i="154" s="1"/>
  <c r="K6" i="154" s="1"/>
  <c r="K15" i="154" s="1"/>
  <c r="K17" i="154" s="1"/>
  <c r="L6" i="154" s="1"/>
  <c r="L15" i="154" s="1"/>
  <c r="L17" i="154" s="1"/>
  <c r="M6" i="154" s="1"/>
  <c r="M15" i="154" s="1"/>
  <c r="M17" i="154" s="1"/>
  <c r="C22" i="154"/>
  <c r="C31" i="154" s="1"/>
  <c r="C33" i="154" s="1"/>
  <c r="D22" i="154" s="1"/>
  <c r="D31" i="154" s="1"/>
  <c r="D33" i="154" s="1"/>
  <c r="E22" i="154" s="1"/>
  <c r="E31" i="154" s="1"/>
  <c r="E33" i="154" s="1"/>
  <c r="F22" i="154" s="1"/>
  <c r="F31" i="154" s="1"/>
  <c r="F33" i="154" s="1"/>
  <c r="G22" i="154" s="1"/>
  <c r="G31" i="154" s="1"/>
  <c r="G33" i="154" s="1"/>
  <c r="H22" i="154" s="1"/>
  <c r="H31" i="154" s="1"/>
  <c r="H33" i="154" s="1"/>
  <c r="I22" i="154" s="1"/>
  <c r="I31" i="154" s="1"/>
  <c r="I33" i="154" s="1"/>
  <c r="J22" i="154" s="1"/>
  <c r="J31" i="154" s="1"/>
  <c r="J33" i="154" s="1"/>
  <c r="K22" i="154" s="1"/>
  <c r="K31" i="154" s="1"/>
  <c r="K33" i="154" s="1"/>
  <c r="L22" i="154" s="1"/>
  <c r="L31" i="154" s="1"/>
  <c r="L33" i="154" s="1"/>
  <c r="M22" i="154" s="1"/>
  <c r="M31" i="154" s="1"/>
  <c r="M33" i="154" s="1"/>
  <c r="B31" i="154"/>
  <c r="B33" i="154"/>
  <c r="B17" i="4"/>
  <c r="B19" i="4" s="1"/>
  <c r="C7" i="4" s="1"/>
  <c r="C17" i="4" s="1"/>
  <c r="C19" i="4" s="1"/>
  <c r="D7" i="4" s="1"/>
  <c r="D17" i="4" s="1"/>
  <c r="D19" i="4" s="1"/>
  <c r="E7" i="4" s="1"/>
  <c r="E17" i="4" s="1"/>
  <c r="E19" i="4" s="1"/>
  <c r="F7" i="4" s="1"/>
  <c r="F17" i="4" s="1"/>
  <c r="F19" i="4" s="1"/>
  <c r="G7" i="4" s="1"/>
  <c r="G17" i="4" s="1"/>
  <c r="G19" i="4" s="1"/>
  <c r="H7" i="4" s="1"/>
  <c r="H17" i="4" s="1"/>
  <c r="H19" i="4" s="1"/>
  <c r="I7" i="4" s="1"/>
  <c r="I17" i="4" s="1"/>
  <c r="I19" i="4" s="1"/>
  <c r="J7" i="4" s="1"/>
  <c r="J17" i="4" s="1"/>
  <c r="J19" i="4" s="1"/>
  <c r="K7" i="4" s="1"/>
  <c r="K17" i="4" s="1"/>
  <c r="K19" i="4" s="1"/>
  <c r="L7" i="4" s="1"/>
  <c r="L17" i="4" s="1"/>
  <c r="L19" i="4" s="1"/>
  <c r="M7" i="4" s="1"/>
  <c r="M17" i="4" s="1"/>
  <c r="M19" i="4" s="1"/>
  <c r="G25" i="4"/>
  <c r="B32" i="4"/>
  <c r="B34" i="4" s="1"/>
  <c r="C23" i="4" s="1"/>
  <c r="C32" i="4" s="1"/>
  <c r="C34" i="4" s="1"/>
  <c r="D23" i="4" s="1"/>
  <c r="D32" i="4" s="1"/>
  <c r="D34" i="4" s="1"/>
  <c r="E23" i="4" s="1"/>
  <c r="E32" i="4" s="1"/>
  <c r="E34" i="4" s="1"/>
  <c r="F23" i="4" s="1"/>
  <c r="F32" i="4" s="1"/>
  <c r="F34" i="4" s="1"/>
  <c r="G23" i="4" s="1"/>
  <c r="B15" i="3"/>
  <c r="C15" i="3"/>
  <c r="B17" i="3"/>
  <c r="C17" i="3"/>
  <c r="D6" i="3" s="1"/>
  <c r="D15" i="3" s="1"/>
  <c r="D17" i="3" s="1"/>
  <c r="E6" i="3" s="1"/>
  <c r="E15" i="3" s="1"/>
  <c r="E17" i="3" s="1"/>
  <c r="F6" i="3" s="1"/>
  <c r="F15" i="3" s="1"/>
  <c r="F17" i="3" s="1"/>
  <c r="G6" i="3" s="1"/>
  <c r="G15" i="3" s="1"/>
  <c r="G17" i="3" s="1"/>
  <c r="H6" i="3" s="1"/>
  <c r="H15" i="3" s="1"/>
  <c r="H17" i="3" s="1"/>
  <c r="I6" i="3" s="1"/>
  <c r="I15" i="3" s="1"/>
  <c r="I17" i="3" s="1"/>
  <c r="J6" i="3" s="1"/>
  <c r="J15" i="3" s="1"/>
  <c r="J17" i="3" s="1"/>
  <c r="K6" i="3" s="1"/>
  <c r="K15" i="3" s="1"/>
  <c r="K17" i="3" s="1"/>
  <c r="L6" i="3" s="1"/>
  <c r="L15" i="3" s="1"/>
  <c r="L17" i="3" s="1"/>
  <c r="M6" i="3" s="1"/>
  <c r="M15" i="3" s="1"/>
  <c r="M17" i="3" s="1"/>
  <c r="B31" i="3"/>
  <c r="B33" i="3" s="1"/>
  <c r="C22" i="3" s="1"/>
  <c r="C31" i="3" s="1"/>
  <c r="C33" i="3" s="1"/>
  <c r="D22" i="3" s="1"/>
  <c r="D31" i="3" s="1"/>
  <c r="D33" i="3" s="1"/>
  <c r="E22" i="3" s="1"/>
  <c r="E31" i="3" s="1"/>
  <c r="E33" i="3" s="1"/>
  <c r="F22" i="3" s="1"/>
  <c r="F31" i="3" s="1"/>
  <c r="F33" i="3" s="1"/>
  <c r="G22" i="3" s="1"/>
  <c r="G31" i="3" s="1"/>
  <c r="G33" i="3" s="1"/>
  <c r="H22" i="3" s="1"/>
  <c r="H31" i="3" s="1"/>
  <c r="H33" i="3" s="1"/>
  <c r="I22" i="3" s="1"/>
  <c r="I31" i="3" s="1"/>
  <c r="I33" i="3" s="1"/>
  <c r="J22" i="3" s="1"/>
  <c r="J31" i="3" s="1"/>
  <c r="J33" i="3" s="1"/>
  <c r="K22" i="3" s="1"/>
  <c r="K31" i="3" s="1"/>
  <c r="K33" i="3" s="1"/>
  <c r="L22" i="3" s="1"/>
  <c r="L31" i="3" s="1"/>
  <c r="L33" i="3" s="1"/>
  <c r="M22" i="3" s="1"/>
  <c r="M31" i="3" s="1"/>
  <c r="M33" i="3" s="1"/>
  <c r="C14" i="92"/>
  <c r="C16" i="92"/>
  <c r="D5" i="92" s="1"/>
  <c r="D14" i="92" s="1"/>
  <c r="D16" i="92" s="1"/>
  <c r="E5" i="92" s="1"/>
  <c r="E14" i="92" s="1"/>
  <c r="E16" i="92" s="1"/>
  <c r="F5" i="92" s="1"/>
  <c r="F14" i="92" s="1"/>
  <c r="F16" i="92" s="1"/>
  <c r="G5" i="92" s="1"/>
  <c r="G14" i="92" s="1"/>
  <c r="G16" i="92" s="1"/>
  <c r="H5" i="92" s="1"/>
  <c r="H14" i="92" s="1"/>
  <c r="H16" i="92" s="1"/>
  <c r="I5" i="92" s="1"/>
  <c r="I14" i="92" s="1"/>
  <c r="I16" i="92" s="1"/>
  <c r="J5" i="92" s="1"/>
  <c r="J14" i="92" s="1"/>
  <c r="J16" i="92" s="1"/>
  <c r="K5" i="92" s="1"/>
  <c r="K14" i="92" s="1"/>
  <c r="K16" i="92" s="1"/>
  <c r="L5" i="92" s="1"/>
  <c r="L14" i="92" s="1"/>
  <c r="L16" i="92" s="1"/>
  <c r="M5" i="92" s="1"/>
  <c r="M14" i="92" s="1"/>
  <c r="M16" i="92" s="1"/>
  <c r="N5" i="92" s="1"/>
  <c r="N14" i="92" s="1"/>
  <c r="N16" i="92" s="1"/>
  <c r="C31" i="92"/>
  <c r="C33" i="92" s="1"/>
  <c r="D22" i="92" s="1"/>
  <c r="D31" i="92" s="1"/>
  <c r="D33" i="92" s="1"/>
  <c r="E22" i="92" s="1"/>
  <c r="E31" i="92" s="1"/>
  <c r="E33" i="92" s="1"/>
  <c r="F22" i="92" s="1"/>
  <c r="F31" i="92" s="1"/>
  <c r="F33" i="92" s="1"/>
  <c r="G22" i="92" s="1"/>
  <c r="G31" i="92" s="1"/>
  <c r="G33" i="92" s="1"/>
  <c r="H22" i="92" s="1"/>
  <c r="H31" i="92" s="1"/>
  <c r="H33" i="92" s="1"/>
  <c r="I22" i="92" s="1"/>
  <c r="I31" i="92" s="1"/>
  <c r="I33" i="92" s="1"/>
  <c r="J22" i="92" s="1"/>
  <c r="J31" i="92" s="1"/>
  <c r="J33" i="92" s="1"/>
  <c r="K22" i="92" s="1"/>
  <c r="K31" i="92" s="1"/>
  <c r="K33" i="92" s="1"/>
  <c r="L22" i="92" s="1"/>
  <c r="L31" i="92" s="1"/>
  <c r="L33" i="92" s="1"/>
  <c r="M22" i="92" s="1"/>
  <c r="M31" i="92" s="1"/>
  <c r="M33" i="92" s="1"/>
  <c r="N22" i="92" s="1"/>
  <c r="N31" i="92" s="1"/>
  <c r="N33" i="92" s="1"/>
  <c r="I36" i="92"/>
  <c r="B18" i="71"/>
  <c r="B20" i="71" s="1"/>
  <c r="B33" i="71"/>
  <c r="B35" i="71"/>
  <c r="C24" i="71" s="1"/>
  <c r="C33" i="71" s="1"/>
  <c r="C35" i="71" s="1"/>
  <c r="D24" i="71" s="1"/>
  <c r="D33" i="71" s="1"/>
  <c r="D35" i="71" s="1"/>
  <c r="E24" i="71" s="1"/>
  <c r="E33" i="71" s="1"/>
  <c r="E35" i="71" s="1"/>
  <c r="F24" i="71" s="1"/>
  <c r="F33" i="71" s="1"/>
  <c r="F35" i="71" s="1"/>
  <c r="G24" i="71" s="1"/>
  <c r="G33" i="71" s="1"/>
  <c r="G35" i="71" s="1"/>
  <c r="H24" i="71" s="1"/>
  <c r="H33" i="71" s="1"/>
  <c r="H35" i="71" s="1"/>
  <c r="I24" i="71" s="1"/>
  <c r="I33" i="71" s="1"/>
  <c r="I35" i="71" s="1"/>
  <c r="J24" i="71" s="1"/>
  <c r="J33" i="71" s="1"/>
  <c r="J35" i="71" s="1"/>
  <c r="K24" i="71" s="1"/>
  <c r="K33" i="71" s="1"/>
  <c r="K35" i="71" s="1"/>
  <c r="L24" i="71" s="1"/>
  <c r="L33" i="71" s="1"/>
  <c r="L35" i="71" s="1"/>
  <c r="M24" i="71" s="1"/>
  <c r="M33" i="71" s="1"/>
  <c r="M35" i="71" s="1"/>
  <c r="B51" i="71"/>
  <c r="B53" i="71" s="1"/>
  <c r="C42" i="71" s="1"/>
  <c r="C51" i="71" s="1"/>
  <c r="C53" i="71" s="1"/>
  <c r="D42" i="71" s="1"/>
  <c r="D51" i="71" s="1"/>
  <c r="D53" i="71" s="1"/>
  <c r="E42" i="71" s="1"/>
  <c r="E51" i="71" s="1"/>
  <c r="E53" i="71" s="1"/>
  <c r="F42" i="71" s="1"/>
  <c r="F51" i="71" s="1"/>
  <c r="F53" i="71" s="1"/>
  <c r="G42" i="71" s="1"/>
  <c r="G51" i="71" s="1"/>
  <c r="G53" i="71" s="1"/>
  <c r="H42" i="71" s="1"/>
  <c r="H51" i="71" s="1"/>
  <c r="H53" i="71" s="1"/>
  <c r="I42" i="71" s="1"/>
  <c r="I51" i="71" s="1"/>
  <c r="I53" i="71" s="1"/>
  <c r="J42" i="71" s="1"/>
  <c r="J51" i="71" s="1"/>
  <c r="J53" i="71" s="1"/>
  <c r="K42" i="71" s="1"/>
  <c r="K51" i="71" s="1"/>
  <c r="K53" i="71" s="1"/>
  <c r="L42" i="71" s="1"/>
  <c r="L51" i="71" s="1"/>
  <c r="L53" i="71" s="1"/>
  <c r="M42" i="71" s="1"/>
  <c r="M51" i="71" s="1"/>
  <c r="M53" i="71" s="1"/>
  <c r="C58" i="71"/>
  <c r="C67" i="71" s="1"/>
  <c r="B67" i="71"/>
  <c r="B69" i="71"/>
  <c r="C69" i="71"/>
  <c r="D58" i="71" s="1"/>
  <c r="D67" i="71" s="1"/>
  <c r="D69" i="71" s="1"/>
  <c r="E58" i="71" s="1"/>
  <c r="E67" i="71" s="1"/>
  <c r="E69" i="71" s="1"/>
  <c r="F58" i="71" s="1"/>
  <c r="F67" i="71" s="1"/>
  <c r="F69" i="71" s="1"/>
  <c r="G58" i="71" s="1"/>
  <c r="G67" i="71" s="1"/>
  <c r="G69" i="71" s="1"/>
  <c r="H58" i="71" s="1"/>
  <c r="H67" i="71" s="1"/>
  <c r="H69" i="71" s="1"/>
  <c r="I58" i="71" s="1"/>
  <c r="I67" i="71" s="1"/>
  <c r="I69" i="71" s="1"/>
  <c r="J58" i="71" s="1"/>
  <c r="J67" i="71" s="1"/>
  <c r="J69" i="71" s="1"/>
  <c r="K58" i="71" s="1"/>
  <c r="K67" i="71" s="1"/>
  <c r="K69" i="71" s="1"/>
  <c r="L58" i="71" s="1"/>
  <c r="L67" i="71" s="1"/>
  <c r="L69" i="71" s="1"/>
  <c r="M58" i="71" s="1"/>
  <c r="M67" i="71" s="1"/>
  <c r="M69" i="71" s="1"/>
  <c r="B83" i="71"/>
  <c r="B85" i="71" s="1"/>
  <c r="C74" i="71" s="1"/>
  <c r="C83" i="71" s="1"/>
  <c r="C85" i="71" s="1"/>
  <c r="D74" i="71" s="1"/>
  <c r="D83" i="71" s="1"/>
  <c r="D85" i="71" s="1"/>
  <c r="E74" i="71" s="1"/>
  <c r="E83" i="71" s="1"/>
  <c r="E85" i="71" s="1"/>
  <c r="F74" i="71" s="1"/>
  <c r="F83" i="71" s="1"/>
  <c r="F85" i="71" s="1"/>
  <c r="G74" i="71" s="1"/>
  <c r="G83" i="71" s="1"/>
  <c r="G85" i="71" s="1"/>
  <c r="H74" i="71" s="1"/>
  <c r="H83" i="71" s="1"/>
  <c r="H85" i="71" s="1"/>
  <c r="I74" i="71" s="1"/>
  <c r="I83" i="71" s="1"/>
  <c r="I85" i="71" s="1"/>
  <c r="J74" i="71" s="1"/>
  <c r="J83" i="71" s="1"/>
  <c r="J85" i="71" s="1"/>
  <c r="K74" i="71" s="1"/>
  <c r="K83" i="71" s="1"/>
  <c r="K85" i="71" s="1"/>
  <c r="L74" i="71" s="1"/>
  <c r="L83" i="71" s="1"/>
  <c r="L85" i="71" s="1"/>
  <c r="M74" i="71" s="1"/>
  <c r="M83" i="71" s="1"/>
  <c r="M85" i="71" s="1"/>
  <c r="B101" i="71"/>
  <c r="B103" i="71" s="1"/>
  <c r="C92" i="71" s="1"/>
  <c r="C101" i="71" s="1"/>
  <c r="C103" i="71" s="1"/>
  <c r="D92" i="71" s="1"/>
  <c r="D101" i="71" s="1"/>
  <c r="D103" i="71" s="1"/>
  <c r="E92" i="71" s="1"/>
  <c r="E101" i="71" s="1"/>
  <c r="E103" i="71" s="1"/>
  <c r="F92" i="71" s="1"/>
  <c r="F101" i="71" s="1"/>
  <c r="F103" i="71" s="1"/>
  <c r="G92" i="71" s="1"/>
  <c r="G101" i="71" s="1"/>
  <c r="G103" i="71" s="1"/>
  <c r="H92" i="71" s="1"/>
  <c r="H101" i="71" s="1"/>
  <c r="H103" i="71" s="1"/>
  <c r="I92" i="71" s="1"/>
  <c r="I101" i="71" s="1"/>
  <c r="I103" i="71" s="1"/>
  <c r="J92" i="71" s="1"/>
  <c r="J101" i="71" s="1"/>
  <c r="J103" i="71" s="1"/>
  <c r="K92" i="71" s="1"/>
  <c r="K101" i="71" s="1"/>
  <c r="K103" i="71" s="1"/>
  <c r="L92" i="71" s="1"/>
  <c r="L101" i="71" s="1"/>
  <c r="L103" i="71" s="1"/>
  <c r="M92" i="71" s="1"/>
  <c r="M101" i="71" s="1"/>
  <c r="M103" i="71" s="1"/>
  <c r="C109" i="71"/>
  <c r="C118" i="71" s="1"/>
  <c r="C120" i="71" s="1"/>
  <c r="D109" i="71" s="1"/>
  <c r="D118" i="71" s="1"/>
  <c r="D120" i="71" s="1"/>
  <c r="E109" i="71" s="1"/>
  <c r="E118" i="71" s="1"/>
  <c r="E120" i="71" s="1"/>
  <c r="F109" i="71" s="1"/>
  <c r="F118" i="71" s="1"/>
  <c r="F120" i="71" s="1"/>
  <c r="G109" i="71" s="1"/>
  <c r="G118" i="71" s="1"/>
  <c r="G120" i="71" s="1"/>
  <c r="H109" i="71" s="1"/>
  <c r="H118" i="71" s="1"/>
  <c r="H120" i="71" s="1"/>
  <c r="I109" i="71" s="1"/>
  <c r="I118" i="71" s="1"/>
  <c r="I120" i="71" s="1"/>
  <c r="J109" i="71" s="1"/>
  <c r="J118" i="71" s="1"/>
  <c r="J120" i="71" s="1"/>
  <c r="K109" i="71" s="1"/>
  <c r="K118" i="71" s="1"/>
  <c r="K120" i="71" s="1"/>
  <c r="L109" i="71" s="1"/>
  <c r="L118" i="71" s="1"/>
  <c r="L120" i="71" s="1"/>
  <c r="M109" i="71" s="1"/>
  <c r="M118" i="71" s="1"/>
  <c r="M120" i="71" s="1"/>
  <c r="B118" i="71"/>
  <c r="B120" i="71"/>
  <c r="B13" i="140"/>
  <c r="B16" i="140" s="1"/>
  <c r="B18" i="140" s="1"/>
  <c r="C7" i="140" s="1"/>
  <c r="C16" i="140" s="1"/>
  <c r="C18" i="140" s="1"/>
  <c r="D7" i="140" s="1"/>
  <c r="C13" i="140"/>
  <c r="D13" i="140"/>
  <c r="E13" i="140"/>
  <c r="F13" i="140"/>
  <c r="G13" i="140"/>
  <c r="H13" i="140"/>
  <c r="B33" i="140"/>
  <c r="B35" i="140" s="1"/>
  <c r="C24" i="140" s="1"/>
  <c r="C33" i="140"/>
  <c r="C35" i="140" s="1"/>
  <c r="D24" i="140" s="1"/>
  <c r="D33" i="140" s="1"/>
  <c r="D35" i="140" s="1"/>
  <c r="E24" i="140" s="1"/>
  <c r="E33" i="140" s="1"/>
  <c r="E35" i="140" s="1"/>
  <c r="F24" i="140" s="1"/>
  <c r="F33" i="140" s="1"/>
  <c r="F35" i="140" s="1"/>
  <c r="G24" i="140" s="1"/>
  <c r="G33" i="140" s="1"/>
  <c r="G35" i="140" s="1"/>
  <c r="H24" i="140" s="1"/>
  <c r="H33" i="140" s="1"/>
  <c r="H35" i="140" s="1"/>
  <c r="I24" i="140" s="1"/>
  <c r="I33" i="140" s="1"/>
  <c r="I35" i="140" s="1"/>
  <c r="J24" i="140" s="1"/>
  <c r="J33" i="140" s="1"/>
  <c r="J35" i="140" s="1"/>
  <c r="K24" i="140" s="1"/>
  <c r="K33" i="140" s="1"/>
  <c r="K35" i="140" s="1"/>
  <c r="L24" i="140" s="1"/>
  <c r="L33" i="140" s="1"/>
  <c r="L35" i="140" s="1"/>
  <c r="M24" i="140" s="1"/>
  <c r="M33" i="140" s="1"/>
  <c r="M35" i="140" s="1"/>
  <c r="B14" i="134"/>
  <c r="B16" i="134" s="1"/>
  <c r="C5" i="134" s="1"/>
  <c r="C14" i="134" s="1"/>
  <c r="C16" i="134" s="1"/>
  <c r="D5" i="134" s="1"/>
  <c r="D14" i="134" s="1"/>
  <c r="D16" i="134" s="1"/>
  <c r="E5" i="134" s="1"/>
  <c r="E14" i="134" s="1"/>
  <c r="E16" i="134" s="1"/>
  <c r="F5" i="134" s="1"/>
  <c r="F14" i="134" s="1"/>
  <c r="F16" i="134" s="1"/>
  <c r="G5" i="134" s="1"/>
  <c r="G14" i="134" s="1"/>
  <c r="G16" i="134" s="1"/>
  <c r="H5" i="134" s="1"/>
  <c r="H14" i="134" s="1"/>
  <c r="H16" i="134" s="1"/>
  <c r="I5" i="134" s="1"/>
  <c r="I14" i="134" s="1"/>
  <c r="I16" i="134" s="1"/>
  <c r="J5" i="134" s="1"/>
  <c r="J14" i="134" s="1"/>
  <c r="J16" i="134" s="1"/>
  <c r="K5" i="134" s="1"/>
  <c r="K14" i="134" s="1"/>
  <c r="K16" i="134" s="1"/>
  <c r="L5" i="134" s="1"/>
  <c r="L14" i="134" s="1"/>
  <c r="L16" i="134" s="1"/>
  <c r="M5" i="134" s="1"/>
  <c r="M14" i="134" s="1"/>
  <c r="M16" i="134" s="1"/>
  <c r="B30" i="134"/>
  <c r="B32" i="134" s="1"/>
  <c r="C21" i="134" s="1"/>
  <c r="C30" i="134" s="1"/>
  <c r="C32" i="134" s="1"/>
  <c r="D21" i="134" s="1"/>
  <c r="D30" i="134" s="1"/>
  <c r="D32" i="134" s="1"/>
  <c r="E21" i="134" s="1"/>
  <c r="E30" i="134" s="1"/>
  <c r="E32" i="134" s="1"/>
  <c r="F21" i="134" s="1"/>
  <c r="F30" i="134" s="1"/>
  <c r="F32" i="134" s="1"/>
  <c r="G21" i="134" s="1"/>
  <c r="G30" i="134" s="1"/>
  <c r="G32" i="134" s="1"/>
  <c r="H21" i="134" s="1"/>
  <c r="H30" i="134" s="1"/>
  <c r="H32" i="134" s="1"/>
  <c r="I21" i="134" s="1"/>
  <c r="I30" i="134" s="1"/>
  <c r="I32" i="134" s="1"/>
  <c r="J21" i="134" s="1"/>
  <c r="J30" i="134" s="1"/>
  <c r="J32" i="134" s="1"/>
  <c r="K21" i="134" s="1"/>
  <c r="K30" i="134" s="1"/>
  <c r="K32" i="134" s="1"/>
  <c r="L21" i="134" s="1"/>
  <c r="L30" i="134" s="1"/>
  <c r="L32" i="134" s="1"/>
  <c r="M21" i="134" s="1"/>
  <c r="M30" i="134" s="1"/>
  <c r="M32" i="134" s="1"/>
  <c r="J35" i="134"/>
  <c r="B14" i="192"/>
  <c r="B16" i="192" s="1"/>
  <c r="C5" i="192" s="1"/>
  <c r="C14" i="192" s="1"/>
  <c r="C16" i="192" s="1"/>
  <c r="D5" i="192" s="1"/>
  <c r="D14" i="192" s="1"/>
  <c r="D16" i="192" s="1"/>
  <c r="E5" i="192" s="1"/>
  <c r="E14" i="192" s="1"/>
  <c r="E16" i="192" s="1"/>
  <c r="F5" i="192" s="1"/>
  <c r="F14" i="192" s="1"/>
  <c r="F16" i="192" s="1"/>
  <c r="G5" i="192" s="1"/>
  <c r="G14" i="192" s="1"/>
  <c r="G16" i="192" s="1"/>
  <c r="H5" i="192" s="1"/>
  <c r="H14" i="192" s="1"/>
  <c r="H16" i="192" s="1"/>
  <c r="I5" i="192" s="1"/>
  <c r="I14" i="192" s="1"/>
  <c r="I16" i="192" s="1"/>
  <c r="J5" i="192" s="1"/>
  <c r="J14" i="192" s="1"/>
  <c r="J16" i="192" s="1"/>
  <c r="K5" i="192" s="1"/>
  <c r="K14" i="192" s="1"/>
  <c r="K16" i="192" s="1"/>
  <c r="L5" i="192" s="1"/>
  <c r="L14" i="192" s="1"/>
  <c r="L16" i="192" s="1"/>
  <c r="M5" i="192" s="1"/>
  <c r="M14" i="192" s="1"/>
  <c r="M16" i="192" s="1"/>
  <c r="B29" i="192"/>
  <c r="B31" i="192"/>
  <c r="C20" i="192" s="1"/>
  <c r="C29" i="192" s="1"/>
  <c r="C31" i="192" s="1"/>
  <c r="D20" i="192" s="1"/>
  <c r="D29" i="192" s="1"/>
  <c r="D31" i="192" s="1"/>
  <c r="E20" i="192" s="1"/>
  <c r="E29" i="192" s="1"/>
  <c r="E31" i="192" s="1"/>
  <c r="F20" i="192" s="1"/>
  <c r="F29" i="192" s="1"/>
  <c r="F31" i="192" s="1"/>
  <c r="G20" i="192" s="1"/>
  <c r="G29" i="192" s="1"/>
  <c r="G31" i="192" s="1"/>
  <c r="H20" i="192" s="1"/>
  <c r="H29" i="192" s="1"/>
  <c r="H31" i="192" s="1"/>
  <c r="I20" i="192" s="1"/>
  <c r="I29" i="192" s="1"/>
  <c r="I31" i="192" s="1"/>
  <c r="J20" i="192" s="1"/>
  <c r="J29" i="192" s="1"/>
  <c r="J31" i="192" s="1"/>
  <c r="K20" i="192" s="1"/>
  <c r="K29" i="192" s="1"/>
  <c r="K31" i="192" s="1"/>
  <c r="L20" i="192" s="1"/>
  <c r="L29" i="192" s="1"/>
  <c r="L31" i="192" s="1"/>
  <c r="M20" i="192" s="1"/>
  <c r="M29" i="192" s="1"/>
  <c r="M31" i="192" s="1"/>
  <c r="B14" i="117"/>
  <c r="B16" i="117" s="1"/>
  <c r="C5" i="117" s="1"/>
  <c r="C14" i="117" s="1"/>
  <c r="C16" i="117" s="1"/>
  <c r="D5" i="117" s="1"/>
  <c r="D14" i="117" s="1"/>
  <c r="D16" i="117" s="1"/>
  <c r="E5" i="117" s="1"/>
  <c r="E14" i="117" s="1"/>
  <c r="E16" i="117" s="1"/>
  <c r="F5" i="117" s="1"/>
  <c r="F14" i="117" s="1"/>
  <c r="F16" i="117" s="1"/>
  <c r="G5" i="117" s="1"/>
  <c r="G14" i="117" s="1"/>
  <c r="G16" i="117" s="1"/>
  <c r="H5" i="117" s="1"/>
  <c r="H14" i="117" s="1"/>
  <c r="H16" i="117" s="1"/>
  <c r="I5" i="117" s="1"/>
  <c r="I14" i="117" s="1"/>
  <c r="I16" i="117" s="1"/>
  <c r="J5" i="117" s="1"/>
  <c r="J14" i="117" s="1"/>
  <c r="J16" i="117" s="1"/>
  <c r="K5" i="117" s="1"/>
  <c r="K14" i="117" s="1"/>
  <c r="K16" i="117" s="1"/>
  <c r="L5" i="117" s="1"/>
  <c r="L14" i="117" s="1"/>
  <c r="L16" i="117" s="1"/>
  <c r="M5" i="117" s="1"/>
  <c r="M14" i="117" s="1"/>
  <c r="M16" i="117" s="1"/>
  <c r="B30" i="117"/>
  <c r="B32" i="117" s="1"/>
  <c r="C21" i="117" s="1"/>
  <c r="C30" i="117" s="1"/>
  <c r="C32" i="117" s="1"/>
  <c r="D21" i="117" s="1"/>
  <c r="D30" i="117" s="1"/>
  <c r="D32" i="117" s="1"/>
  <c r="E21" i="117" s="1"/>
  <c r="E30" i="117" s="1"/>
  <c r="E32" i="117" s="1"/>
  <c r="F21" i="117" s="1"/>
  <c r="F30" i="117" s="1"/>
  <c r="F32" i="117" s="1"/>
  <c r="G21" i="117" s="1"/>
  <c r="G30" i="117" s="1"/>
  <c r="G32" i="117" s="1"/>
  <c r="H21" i="117" s="1"/>
  <c r="H30" i="117" s="1"/>
  <c r="H32" i="117" s="1"/>
  <c r="I21" i="117" s="1"/>
  <c r="I30" i="117" s="1"/>
  <c r="I32" i="117" s="1"/>
  <c r="J21" i="117" s="1"/>
  <c r="J30" i="117" s="1"/>
  <c r="J32" i="117" s="1"/>
  <c r="K21" i="117" s="1"/>
  <c r="K30" i="117" s="1"/>
  <c r="K32" i="117" s="1"/>
  <c r="L21" i="117" s="1"/>
  <c r="L30" i="117" s="1"/>
  <c r="L32" i="117" s="1"/>
  <c r="M21" i="117" s="1"/>
  <c r="M30" i="117" s="1"/>
  <c r="M32" i="117" s="1"/>
  <c r="B47" i="117"/>
  <c r="B49" i="117" s="1"/>
  <c r="C38" i="117" s="1"/>
  <c r="C47" i="117" s="1"/>
  <c r="C49" i="117" s="1"/>
  <c r="D38" i="117" s="1"/>
  <c r="D47" i="117" s="1"/>
  <c r="D49" i="117" s="1"/>
  <c r="E38" i="117" s="1"/>
  <c r="E47" i="117" s="1"/>
  <c r="E49" i="117" s="1"/>
  <c r="F38" i="117" s="1"/>
  <c r="F47" i="117" s="1"/>
  <c r="F49" i="117" s="1"/>
  <c r="G38" i="117" s="1"/>
  <c r="G47" i="117" s="1"/>
  <c r="G49" i="117" s="1"/>
  <c r="H38" i="117" s="1"/>
  <c r="H47" i="117" s="1"/>
  <c r="H49" i="117" s="1"/>
  <c r="I38" i="117" s="1"/>
  <c r="I47" i="117" s="1"/>
  <c r="I49" i="117" s="1"/>
  <c r="J38" i="117" s="1"/>
  <c r="J47" i="117" s="1"/>
  <c r="J49" i="117" s="1"/>
  <c r="K38" i="117" s="1"/>
  <c r="K47" i="117" s="1"/>
  <c r="K49" i="117" s="1"/>
  <c r="L38" i="117" s="1"/>
  <c r="L47" i="117" s="1"/>
  <c r="L49" i="117" s="1"/>
  <c r="M38" i="117" s="1"/>
  <c r="M47" i="117" s="1"/>
  <c r="M49" i="117" s="1"/>
  <c r="B13" i="91"/>
  <c r="B15" i="91" s="1"/>
  <c r="C4" i="91" s="1"/>
  <c r="C13" i="91" s="1"/>
  <c r="C15" i="91" s="1"/>
  <c r="D4" i="91" s="1"/>
  <c r="D13" i="91" s="1"/>
  <c r="D15" i="91" s="1"/>
  <c r="E4" i="91" s="1"/>
  <c r="E13" i="91" s="1"/>
  <c r="E15" i="91" s="1"/>
  <c r="F4" i="91" s="1"/>
  <c r="F13" i="91" s="1"/>
  <c r="F15" i="91" s="1"/>
  <c r="G4" i="91" s="1"/>
  <c r="G13" i="91" s="1"/>
  <c r="G15" i="91" s="1"/>
  <c r="H4" i="91" s="1"/>
  <c r="H13" i="91" s="1"/>
  <c r="H15" i="91" s="1"/>
  <c r="I4" i="91" s="1"/>
  <c r="I13" i="91" s="1"/>
  <c r="I15" i="91" s="1"/>
  <c r="J4" i="91" s="1"/>
  <c r="J13" i="91" s="1"/>
  <c r="J15" i="91" s="1"/>
  <c r="K4" i="91" s="1"/>
  <c r="K13" i="91" s="1"/>
  <c r="K15" i="91" s="1"/>
  <c r="L4" i="91" s="1"/>
  <c r="L13" i="91" s="1"/>
  <c r="L15" i="91" s="1"/>
  <c r="M4" i="91" s="1"/>
  <c r="M13" i="91" s="1"/>
  <c r="M15" i="91" s="1"/>
  <c r="B32" i="91"/>
  <c r="B34" i="91" s="1"/>
  <c r="C23" i="91" s="1"/>
  <c r="C32" i="91" s="1"/>
  <c r="C34" i="91" s="1"/>
  <c r="D23" i="91" s="1"/>
  <c r="D32" i="91" s="1"/>
  <c r="D34" i="91" s="1"/>
  <c r="E23" i="91" s="1"/>
  <c r="E32" i="91" s="1"/>
  <c r="E34" i="91" s="1"/>
  <c r="F23" i="91" s="1"/>
  <c r="F32" i="91" s="1"/>
  <c r="F34" i="91" s="1"/>
  <c r="G23" i="91" s="1"/>
  <c r="G32" i="91" s="1"/>
  <c r="G34" i="91" s="1"/>
  <c r="H23" i="91" s="1"/>
  <c r="H32" i="91" s="1"/>
  <c r="H34" i="91" s="1"/>
  <c r="I23" i="91" s="1"/>
  <c r="I32" i="91" s="1"/>
  <c r="I34" i="91" s="1"/>
  <c r="J23" i="91" s="1"/>
  <c r="J32" i="91" s="1"/>
  <c r="J34" i="91" s="1"/>
  <c r="K23" i="91" s="1"/>
  <c r="K32" i="91" s="1"/>
  <c r="K34" i="91" s="1"/>
  <c r="L23" i="91" s="1"/>
  <c r="L32" i="91" s="1"/>
  <c r="L34" i="91" s="1"/>
  <c r="M23" i="91" s="1"/>
  <c r="M32" i="91" s="1"/>
  <c r="M34" i="91" s="1"/>
  <c r="B48" i="91"/>
  <c r="B50" i="91"/>
  <c r="C39" i="91" s="1"/>
  <c r="C48" i="91" s="1"/>
  <c r="C50" i="91" s="1"/>
  <c r="D39" i="91" s="1"/>
  <c r="D48" i="91" s="1"/>
  <c r="D50" i="91" s="1"/>
  <c r="E39" i="91" s="1"/>
  <c r="E48" i="91" s="1"/>
  <c r="E50" i="91" s="1"/>
  <c r="F39" i="91" s="1"/>
  <c r="F48" i="91" s="1"/>
  <c r="F50" i="91" s="1"/>
  <c r="G39" i="91" s="1"/>
  <c r="G48" i="91" s="1"/>
  <c r="G50" i="91" s="1"/>
  <c r="H39" i="91" s="1"/>
  <c r="H48" i="91" s="1"/>
  <c r="H50" i="91" s="1"/>
  <c r="I39" i="91" s="1"/>
  <c r="I48" i="91" s="1"/>
  <c r="I50" i="91" s="1"/>
  <c r="J39" i="91" s="1"/>
  <c r="J48" i="91" s="1"/>
  <c r="J50" i="91" s="1"/>
  <c r="K39" i="91" s="1"/>
  <c r="K48" i="91" s="1"/>
  <c r="K50" i="91" s="1"/>
  <c r="L39" i="91" s="1"/>
  <c r="L48" i="91" s="1"/>
  <c r="L50" i="91" s="1"/>
  <c r="M39" i="91" s="1"/>
  <c r="M48" i="91" s="1"/>
  <c r="M50" i="91" s="1"/>
  <c r="B14" i="160"/>
  <c r="B16" i="160"/>
  <c r="C5" i="160"/>
  <c r="C14" i="160" s="1"/>
  <c r="C16" i="160" s="1"/>
  <c r="D5" i="160" s="1"/>
  <c r="D14" i="160" s="1"/>
  <c r="D16" i="160" s="1"/>
  <c r="E5" i="160" s="1"/>
  <c r="E14" i="160" s="1"/>
  <c r="E16" i="160" s="1"/>
  <c r="F5" i="160" s="1"/>
  <c r="F14" i="160" s="1"/>
  <c r="F16" i="160" s="1"/>
  <c r="G5" i="160" s="1"/>
  <c r="G14" i="160" s="1"/>
  <c r="G16" i="160" s="1"/>
  <c r="H5" i="160" s="1"/>
  <c r="H14" i="160" s="1"/>
  <c r="H16" i="160" s="1"/>
  <c r="I5" i="160" s="1"/>
  <c r="I14" i="160" s="1"/>
  <c r="I16" i="160" s="1"/>
  <c r="J5" i="160" s="1"/>
  <c r="J14" i="160" s="1"/>
  <c r="J16" i="160" s="1"/>
  <c r="K5" i="160" s="1"/>
  <c r="K14" i="160" s="1"/>
  <c r="K16" i="160" s="1"/>
  <c r="L5" i="160" s="1"/>
  <c r="L14" i="160" s="1"/>
  <c r="L16" i="160" s="1"/>
  <c r="M5" i="160" s="1"/>
  <c r="M14" i="160" s="1"/>
  <c r="M16" i="160" s="1"/>
  <c r="B34" i="160"/>
  <c r="B36" i="160" s="1"/>
  <c r="C25" i="160" s="1"/>
  <c r="C34" i="160" s="1"/>
  <c r="C36" i="160" s="1"/>
  <c r="D25" i="160" s="1"/>
  <c r="D34" i="160" s="1"/>
  <c r="D36" i="160" s="1"/>
  <c r="E25" i="160" s="1"/>
  <c r="E34" i="160" s="1"/>
  <c r="E36" i="160" s="1"/>
  <c r="F25" i="160" s="1"/>
  <c r="F34" i="160" s="1"/>
  <c r="F36" i="160" s="1"/>
  <c r="G25" i="160" s="1"/>
  <c r="G34" i="160" s="1"/>
  <c r="G36" i="160" s="1"/>
  <c r="H25" i="160" s="1"/>
  <c r="H34" i="160" s="1"/>
  <c r="H36" i="160" s="1"/>
  <c r="I25" i="160" s="1"/>
  <c r="I34" i="160" s="1"/>
  <c r="I36" i="160" s="1"/>
  <c r="J25" i="160" s="1"/>
  <c r="J34" i="160" s="1"/>
  <c r="J36" i="160" s="1"/>
  <c r="K25" i="160" s="1"/>
  <c r="K34" i="160" s="1"/>
  <c r="K36" i="160" s="1"/>
  <c r="L25" i="160" s="1"/>
  <c r="L34" i="160" s="1"/>
  <c r="L36" i="160" s="1"/>
  <c r="M25" i="160" s="1"/>
  <c r="M34" i="160" s="1"/>
  <c r="M36" i="160" s="1"/>
  <c r="B13" i="70"/>
  <c r="B15" i="70" s="1"/>
  <c r="C4" i="70" s="1"/>
  <c r="C13" i="70" s="1"/>
  <c r="C15" i="70" s="1"/>
  <c r="D4" i="70" s="1"/>
  <c r="D13" i="70" s="1"/>
  <c r="D15" i="70" s="1"/>
  <c r="E4" i="70" s="1"/>
  <c r="E13" i="70" s="1"/>
  <c r="E15" i="70" s="1"/>
  <c r="F4" i="70" s="1"/>
  <c r="F13" i="70" s="1"/>
  <c r="F15" i="70" s="1"/>
  <c r="G4" i="70" s="1"/>
  <c r="G13" i="70" s="1"/>
  <c r="G15" i="70" s="1"/>
  <c r="H4" i="70" s="1"/>
  <c r="H13" i="70" s="1"/>
  <c r="H15" i="70" s="1"/>
  <c r="I4" i="70" s="1"/>
  <c r="I13" i="70" s="1"/>
  <c r="I15" i="70" s="1"/>
  <c r="J4" i="70" s="1"/>
  <c r="J13" i="70" s="1"/>
  <c r="J15" i="70" s="1"/>
  <c r="K4" i="70" s="1"/>
  <c r="K13" i="70" s="1"/>
  <c r="K15" i="70" s="1"/>
  <c r="L4" i="70" s="1"/>
  <c r="L13" i="70" s="1"/>
  <c r="L15" i="70" s="1"/>
  <c r="M4" i="70" s="1"/>
  <c r="M13" i="70" s="1"/>
  <c r="M15" i="70" s="1"/>
  <c r="B29" i="70"/>
  <c r="B31" i="70" s="1"/>
  <c r="C20" i="70" s="1"/>
  <c r="C29" i="70" s="1"/>
  <c r="C31" i="70" s="1"/>
  <c r="D20" i="70" s="1"/>
  <c r="D29" i="70" s="1"/>
  <c r="D31" i="70" s="1"/>
  <c r="E20" i="70" s="1"/>
  <c r="E29" i="70" s="1"/>
  <c r="E31" i="70" s="1"/>
  <c r="F20" i="70" s="1"/>
  <c r="F29" i="70" s="1"/>
  <c r="F31" i="70" s="1"/>
  <c r="G20" i="70" s="1"/>
  <c r="G29" i="70" s="1"/>
  <c r="G31" i="70" s="1"/>
  <c r="H20" i="70" s="1"/>
  <c r="H29" i="70" s="1"/>
  <c r="H31" i="70" s="1"/>
  <c r="I20" i="70" s="1"/>
  <c r="I29" i="70" s="1"/>
  <c r="I31" i="70" s="1"/>
  <c r="J20" i="70" s="1"/>
  <c r="J29" i="70" s="1"/>
  <c r="J31" i="70" s="1"/>
  <c r="K20" i="70" s="1"/>
  <c r="K29" i="70" s="1"/>
  <c r="K31" i="70" s="1"/>
  <c r="L20" i="70" s="1"/>
  <c r="L29" i="70" s="1"/>
  <c r="L31" i="70" s="1"/>
  <c r="M20" i="70" s="1"/>
  <c r="M29" i="70" s="1"/>
  <c r="M31" i="70" s="1"/>
  <c r="O30" i="70"/>
  <c r="O38" i="70" s="1"/>
  <c r="O40" i="70" s="1"/>
  <c r="B16" i="176"/>
  <c r="B18" i="176"/>
  <c r="C7" i="176" s="1"/>
  <c r="C16" i="176" s="1"/>
  <c r="C18" i="176" s="1"/>
  <c r="D7" i="176" s="1"/>
  <c r="D16" i="176" s="1"/>
  <c r="D18" i="176" s="1"/>
  <c r="E7" i="176" s="1"/>
  <c r="E16" i="176" s="1"/>
  <c r="E18" i="176" s="1"/>
  <c r="F7" i="176" s="1"/>
  <c r="F16" i="176" s="1"/>
  <c r="F18" i="176" s="1"/>
  <c r="G7" i="176" s="1"/>
  <c r="G16" i="176" s="1"/>
  <c r="G18" i="176" s="1"/>
  <c r="H7" i="176" s="1"/>
  <c r="H16" i="176" s="1"/>
  <c r="H18" i="176" s="1"/>
  <c r="I7" i="176" s="1"/>
  <c r="I16" i="176" s="1"/>
  <c r="I18" i="176" s="1"/>
  <c r="J7" i="176" s="1"/>
  <c r="J16" i="176" s="1"/>
  <c r="J18" i="176" s="1"/>
  <c r="K7" i="176" s="1"/>
  <c r="K16" i="176" s="1"/>
  <c r="K18" i="176" s="1"/>
  <c r="L7" i="176" s="1"/>
  <c r="L16" i="176" s="1"/>
  <c r="L18" i="176" s="1"/>
  <c r="M7" i="176" s="1"/>
  <c r="M16" i="176" s="1"/>
  <c r="M18" i="176" s="1"/>
  <c r="L24" i="176"/>
  <c r="L33" i="176" s="1"/>
  <c r="L35" i="176" s="1"/>
  <c r="M24" i="176" s="1"/>
  <c r="M33" i="176" s="1"/>
  <c r="M35" i="176" s="1"/>
  <c r="B33" i="176"/>
  <c r="B35" i="176" s="1"/>
  <c r="C24" i="176" s="1"/>
  <c r="C33" i="176" s="1"/>
  <c r="C35" i="176" s="1"/>
  <c r="D24" i="176" s="1"/>
  <c r="D33" i="176" s="1"/>
  <c r="D35" i="176" s="1"/>
  <c r="E24" i="176" s="1"/>
  <c r="E33" i="176" s="1"/>
  <c r="E35" i="176" s="1"/>
  <c r="F24" i="176" s="1"/>
  <c r="F33" i="176" s="1"/>
  <c r="F35" i="176" s="1"/>
  <c r="G24" i="176" s="1"/>
  <c r="G33" i="176" s="1"/>
  <c r="G35" i="176" s="1"/>
  <c r="H24" i="176" s="1"/>
  <c r="H33" i="176" s="1"/>
  <c r="H35" i="176" s="1"/>
  <c r="I24" i="176" s="1"/>
  <c r="I33" i="176" s="1"/>
  <c r="I35" i="176" s="1"/>
  <c r="J24" i="176" s="1"/>
  <c r="J33" i="176" s="1"/>
  <c r="J35" i="176" s="1"/>
  <c r="K24" i="176" s="1"/>
  <c r="K33" i="176" s="1"/>
  <c r="B15" i="1"/>
  <c r="B17" i="1" s="1"/>
  <c r="C6" i="1"/>
  <c r="C15" i="1" s="1"/>
  <c r="C17" i="1" s="1"/>
  <c r="D6" i="1" s="1"/>
  <c r="D15" i="1" s="1"/>
  <c r="D17" i="1" s="1"/>
  <c r="E6" i="1" s="1"/>
  <c r="E15" i="1" s="1"/>
  <c r="E17" i="1" s="1"/>
  <c r="F6" i="1" s="1"/>
  <c r="F15" i="1" s="1"/>
  <c r="F17" i="1" s="1"/>
  <c r="G6" i="1" s="1"/>
  <c r="G15" i="1" s="1"/>
  <c r="G17" i="1" s="1"/>
  <c r="H6" i="1" s="1"/>
  <c r="H15" i="1" s="1"/>
  <c r="H17" i="1" s="1"/>
  <c r="I6" i="1" s="1"/>
  <c r="I15" i="1" s="1"/>
  <c r="I17" i="1" s="1"/>
  <c r="J6" i="1" s="1"/>
  <c r="J15" i="1" s="1"/>
  <c r="J17" i="1" s="1"/>
  <c r="K6" i="1" s="1"/>
  <c r="K15" i="1" s="1"/>
  <c r="K17" i="1" s="1"/>
  <c r="L6" i="1" s="1"/>
  <c r="L15" i="1" s="1"/>
  <c r="L17" i="1" s="1"/>
  <c r="M6" i="1" s="1"/>
  <c r="M15" i="1" s="1"/>
  <c r="M17" i="1" s="1"/>
  <c r="B31" i="1"/>
  <c r="B33" i="1"/>
  <c r="C22" i="1" s="1"/>
  <c r="C31" i="1" s="1"/>
  <c r="C33" i="1" s="1"/>
  <c r="D22" i="1" s="1"/>
  <c r="D31" i="1" s="1"/>
  <c r="D33" i="1" s="1"/>
  <c r="E22" i="1" s="1"/>
  <c r="E31" i="1" s="1"/>
  <c r="E33" i="1" s="1"/>
  <c r="F22" i="1" s="1"/>
  <c r="F31" i="1" s="1"/>
  <c r="F33" i="1" s="1"/>
  <c r="G22" i="1" s="1"/>
  <c r="G31" i="1" s="1"/>
  <c r="G33" i="1" s="1"/>
  <c r="H22" i="1" s="1"/>
  <c r="H31" i="1" s="1"/>
  <c r="H33" i="1" s="1"/>
  <c r="I22" i="1" s="1"/>
  <c r="I31" i="1" s="1"/>
  <c r="I33" i="1" s="1"/>
  <c r="J22" i="1" s="1"/>
  <c r="J31" i="1" s="1"/>
  <c r="J33" i="1" s="1"/>
  <c r="K22" i="1" s="1"/>
  <c r="K31" i="1" s="1"/>
  <c r="K33" i="1" s="1"/>
  <c r="L22" i="1" s="1"/>
  <c r="L31" i="1" s="1"/>
  <c r="L33" i="1" s="1"/>
  <c r="M22" i="1" s="1"/>
  <c r="M31" i="1" s="1"/>
  <c r="M33" i="1" s="1"/>
  <c r="B15" i="10"/>
  <c r="B17" i="10" s="1"/>
  <c r="C6" i="10" s="1"/>
  <c r="C15" i="10" s="1"/>
  <c r="C17" i="10" s="1"/>
  <c r="D6" i="10" s="1"/>
  <c r="D15" i="10" s="1"/>
  <c r="D17" i="10" s="1"/>
  <c r="E6" i="10" s="1"/>
  <c r="E15" i="10" s="1"/>
  <c r="E17" i="10" s="1"/>
  <c r="F6" i="10" s="1"/>
  <c r="F15" i="10" s="1"/>
  <c r="F17" i="10" s="1"/>
  <c r="G6" i="10" s="1"/>
  <c r="G15" i="10" s="1"/>
  <c r="G17" i="10" s="1"/>
  <c r="H6" i="10" s="1"/>
  <c r="H15" i="10" s="1"/>
  <c r="H17" i="10" s="1"/>
  <c r="I6" i="10" s="1"/>
  <c r="I15" i="10" s="1"/>
  <c r="I17" i="10" s="1"/>
  <c r="J6" i="10" s="1"/>
  <c r="J15" i="10" s="1"/>
  <c r="J17" i="10" s="1"/>
  <c r="K6" i="10" s="1"/>
  <c r="K15" i="10" s="1"/>
  <c r="K17" i="10" s="1"/>
  <c r="L6" i="10" s="1"/>
  <c r="L15" i="10" s="1"/>
  <c r="L17" i="10" s="1"/>
  <c r="M6" i="10" s="1"/>
  <c r="M15" i="10" s="1"/>
  <c r="M17" i="10" s="1"/>
  <c r="B32" i="10"/>
  <c r="B34" i="10" s="1"/>
  <c r="C23" i="10" s="1"/>
  <c r="C32" i="10" s="1"/>
  <c r="C34" i="10" s="1"/>
  <c r="D23" i="10" s="1"/>
  <c r="D32" i="10" s="1"/>
  <c r="D34" i="10" s="1"/>
  <c r="E23" i="10" s="1"/>
  <c r="E32" i="10" s="1"/>
  <c r="E34" i="10" s="1"/>
  <c r="F23" i="10" s="1"/>
  <c r="F32" i="10" s="1"/>
  <c r="F34" i="10" s="1"/>
  <c r="G23" i="10" s="1"/>
  <c r="G32" i="10" s="1"/>
  <c r="G34" i="10" s="1"/>
  <c r="H23" i="10" s="1"/>
  <c r="H32" i="10" s="1"/>
  <c r="H34" i="10" s="1"/>
  <c r="I23" i="10" s="1"/>
  <c r="I32" i="10" s="1"/>
  <c r="I34" i="10" s="1"/>
  <c r="J23" i="10" s="1"/>
  <c r="J32" i="10" s="1"/>
  <c r="J34" i="10" s="1"/>
  <c r="K23" i="10" s="1"/>
  <c r="K32" i="10" s="1"/>
  <c r="K34" i="10" s="1"/>
  <c r="L23" i="10" s="1"/>
  <c r="L32" i="10" s="1"/>
  <c r="L34" i="10" s="1"/>
  <c r="M23" i="10" s="1"/>
  <c r="M32" i="10" s="1"/>
  <c r="M34" i="10" s="1"/>
  <c r="B49" i="10"/>
  <c r="B51" i="10" s="1"/>
  <c r="C40" i="10" s="1"/>
  <c r="C49" i="10" s="1"/>
  <c r="C51" i="10" s="1"/>
  <c r="D40" i="10" s="1"/>
  <c r="D49" i="10" s="1"/>
  <c r="D51" i="10" s="1"/>
  <c r="E40" i="10" s="1"/>
  <c r="E49" i="10" s="1"/>
  <c r="E51" i="10" s="1"/>
  <c r="F40" i="10" s="1"/>
  <c r="F49" i="10" s="1"/>
  <c r="F51" i="10" s="1"/>
  <c r="G40" i="10" s="1"/>
  <c r="G49" i="10" s="1"/>
  <c r="G51" i="10" s="1"/>
  <c r="H40" i="10" s="1"/>
  <c r="H49" i="10" s="1"/>
  <c r="H51" i="10" s="1"/>
  <c r="I40" i="10" s="1"/>
  <c r="I49" i="10" s="1"/>
  <c r="I51" i="10" s="1"/>
  <c r="J40" i="10" s="1"/>
  <c r="J49" i="10" s="1"/>
  <c r="J51" i="10" s="1"/>
  <c r="K40" i="10" s="1"/>
  <c r="K49" i="10" s="1"/>
  <c r="K51" i="10" s="1"/>
  <c r="L40" i="10" s="1"/>
  <c r="L49" i="10" s="1"/>
  <c r="L51" i="10" s="1"/>
  <c r="M40" i="10" s="1"/>
  <c r="M49" i="10" s="1"/>
  <c r="M51" i="10" s="1"/>
  <c r="L7" i="163"/>
  <c r="L16" i="163" s="1"/>
  <c r="L18" i="163" s="1"/>
  <c r="M7" i="163"/>
  <c r="M16" i="163" s="1"/>
  <c r="M18" i="163" s="1"/>
  <c r="N7" i="163"/>
  <c r="N16" i="163"/>
  <c r="N18" i="163" s="1"/>
  <c r="L4" i="229"/>
  <c r="L13" i="229" s="1"/>
  <c r="L15" i="229" s="1"/>
  <c r="M4" i="229" s="1"/>
  <c r="M13" i="229" s="1"/>
  <c r="M15" i="229" s="1"/>
  <c r="K4" i="229"/>
  <c r="K13" i="229" s="1"/>
  <c r="K15" i="229" s="1"/>
  <c r="M30" i="44"/>
  <c r="M32" i="44"/>
  <c r="B5" i="44" s="1"/>
  <c r="B14" i="44" s="1"/>
  <c r="B16" i="44" s="1"/>
  <c r="C5" i="44" s="1"/>
  <c r="C14" i="44" s="1"/>
  <c r="C16" i="44" s="1"/>
  <c r="D5" i="44" s="1"/>
  <c r="D14" i="44" s="1"/>
  <c r="D16" i="44" s="1"/>
  <c r="E5" i="44" s="1"/>
  <c r="E14" i="44" s="1"/>
  <c r="E16" i="44" s="1"/>
  <c r="F5" i="44" s="1"/>
  <c r="F14" i="44" s="1"/>
  <c r="F16" i="44" s="1"/>
  <c r="G5" i="44" s="1"/>
  <c r="G14" i="44" s="1"/>
  <c r="G16" i="44" s="1"/>
  <c r="H5" i="44" s="1"/>
  <c r="H14" i="44" s="1"/>
  <c r="H16" i="44" s="1"/>
  <c r="I5" i="44" s="1"/>
  <c r="I14" i="44" s="1"/>
  <c r="I16" i="44" s="1"/>
  <c r="J5" i="44" s="1"/>
  <c r="J14" i="44" s="1"/>
  <c r="J16" i="44" s="1"/>
  <c r="K5" i="44" s="1"/>
  <c r="K14" i="44" s="1"/>
  <c r="K16" i="44" s="1"/>
  <c r="L5" i="44" s="1"/>
  <c r="L14" i="44" s="1"/>
  <c r="L16" i="44" s="1"/>
  <c r="M5" i="44" s="1"/>
  <c r="M14" i="44" s="1"/>
  <c r="M16" i="44" s="1"/>
  <c r="B31" i="233"/>
  <c r="C20" i="233" s="1"/>
  <c r="C29" i="233" s="1"/>
  <c r="C31" i="233"/>
  <c r="D20" i="233" s="1"/>
  <c r="D29" i="233" s="1"/>
  <c r="D31" i="233" s="1"/>
  <c r="E20" i="233" s="1"/>
  <c r="E29" i="233" s="1"/>
  <c r="E31" i="233" s="1"/>
  <c r="F20" i="233" s="1"/>
  <c r="F29" i="233" s="1"/>
  <c r="F31" i="233" s="1"/>
  <c r="G20" i="233" s="1"/>
  <c r="G29" i="233" s="1"/>
  <c r="G31" i="233" s="1"/>
  <c r="H20" i="233" s="1"/>
  <c r="H29" i="233" s="1"/>
  <c r="H31" i="233" s="1"/>
  <c r="I20" i="233" s="1"/>
  <c r="I29" i="233" s="1"/>
  <c r="I31" i="233" s="1"/>
  <c r="J20" i="233" s="1"/>
  <c r="J29" i="233" s="1"/>
  <c r="J31" i="233" s="1"/>
  <c r="K20" i="233" s="1"/>
  <c r="K29" i="233" s="1"/>
  <c r="K31" i="233" s="1"/>
  <c r="L20" i="233" s="1"/>
  <c r="L29" i="233" s="1"/>
  <c r="L31" i="233" s="1"/>
  <c r="M20" i="233" s="1"/>
  <c r="M29" i="233" s="1"/>
  <c r="M31" i="233" s="1"/>
  <c r="I56" i="32"/>
  <c r="J45" i="32" s="1"/>
  <c r="J54" i="32" s="1"/>
  <c r="J56" i="32" s="1"/>
  <c r="K45" i="32" s="1"/>
  <c r="K54" i="32" s="1"/>
  <c r="K56" i="32" s="1"/>
  <c r="L45" i="32" s="1"/>
  <c r="L54" i="32" s="1"/>
  <c r="L56" i="32" s="1"/>
  <c r="M45" i="32" s="1"/>
  <c r="M54" i="32" s="1"/>
  <c r="M56" i="32" s="1"/>
  <c r="G21" i="148"/>
  <c r="G30" i="148" s="1"/>
  <c r="G32" i="148" s="1"/>
  <c r="H21" i="148" s="1"/>
  <c r="H30" i="148" s="1"/>
  <c r="H32" i="148" s="1"/>
  <c r="I21" i="148" s="1"/>
  <c r="I30" i="148" s="1"/>
  <c r="I32" i="148" s="1"/>
  <c r="J21" i="148" s="1"/>
  <c r="J30" i="148" s="1"/>
  <c r="J32" i="148" s="1"/>
  <c r="K21" i="148" s="1"/>
  <c r="K30" i="148" s="1"/>
  <c r="K32" i="148" s="1"/>
  <c r="L21" i="148" s="1"/>
  <c r="L30" i="148" s="1"/>
  <c r="L32" i="148" s="1"/>
  <c r="M21" i="148" s="1"/>
  <c r="M30" i="148" s="1"/>
  <c r="M32" i="148" s="1"/>
  <c r="N21" i="148" s="1"/>
  <c r="N30" i="148" s="1"/>
  <c r="N32" i="148" s="1"/>
  <c r="L19" i="229"/>
  <c r="L28" i="229"/>
  <c r="L30" i="229" s="1"/>
  <c r="M19" i="229" s="1"/>
  <c r="M28" i="229" s="1"/>
  <c r="M30" i="229" s="1"/>
  <c r="K19" i="229"/>
  <c r="K28" i="229"/>
  <c r="K30" i="229" s="1"/>
  <c r="J30" i="182" l="1"/>
  <c r="K19" i="182" s="1"/>
  <c r="K28" i="182" s="1"/>
  <c r="K30" i="182" s="1"/>
  <c r="L19" i="182" s="1"/>
  <c r="L28" i="182" s="1"/>
  <c r="L30" i="182" s="1"/>
  <c r="M19" i="182" s="1"/>
  <c r="M28" i="182" s="1"/>
  <c r="M30" i="182" s="1"/>
  <c r="C32" i="207"/>
  <c r="D21" i="207" s="1"/>
  <c r="D30" i="207" s="1"/>
  <c r="D32" i="207" s="1"/>
  <c r="E21" i="207" s="1"/>
  <c r="E30" i="207" s="1"/>
  <c r="E32" i="207" s="1"/>
  <c r="F21" i="207" s="1"/>
  <c r="F30" i="207" s="1"/>
  <c r="F32" i="207" s="1"/>
  <c r="G21" i="207" s="1"/>
  <c r="G30" i="207" s="1"/>
  <c r="G32" i="207" s="1"/>
  <c r="H21" i="207" s="1"/>
  <c r="H30" i="207" s="1"/>
  <c r="H32" i="207" s="1"/>
  <c r="I21" i="207" s="1"/>
  <c r="I30" i="207" s="1"/>
  <c r="I32" i="207" s="1"/>
  <c r="J21" i="207" s="1"/>
  <c r="J30" i="207" s="1"/>
  <c r="J32" i="207" s="1"/>
  <c r="K21" i="207" s="1"/>
  <c r="K30" i="207" s="1"/>
  <c r="K32" i="207" s="1"/>
  <c r="L21" i="207" s="1"/>
  <c r="L30" i="207" s="1"/>
  <c r="L32" i="207" s="1"/>
  <c r="M21" i="207" s="1"/>
  <c r="M30" i="207" s="1"/>
  <c r="M32" i="207" s="1"/>
  <c r="F36" i="137"/>
  <c r="G25" i="137" s="1"/>
  <c r="G34" i="137" s="1"/>
  <c r="G36" i="137" s="1"/>
  <c r="H25" i="137" s="1"/>
  <c r="H34" i="137" s="1"/>
  <c r="H36" i="137" s="1"/>
  <c r="I25" i="137" s="1"/>
  <c r="I34" i="137" s="1"/>
  <c r="I36" i="137" s="1"/>
  <c r="J25" i="137" s="1"/>
  <c r="J34" i="137" s="1"/>
  <c r="J36" i="137" s="1"/>
  <c r="K25" i="137" s="1"/>
  <c r="K34" i="137" s="1"/>
  <c r="K36" i="137" s="1"/>
  <c r="L25" i="137" s="1"/>
  <c r="L34" i="137" s="1"/>
  <c r="L36" i="137" s="1"/>
  <c r="M25" i="137" s="1"/>
  <c r="M34" i="137" s="1"/>
  <c r="M36" i="137" s="1"/>
  <c r="C9" i="71"/>
  <c r="C18" i="71" s="1"/>
  <c r="D9" i="71" s="1"/>
  <c r="D18" i="71" s="1"/>
  <c r="I48" i="177"/>
  <c r="I50" i="177" s="1"/>
  <c r="J39" i="177" s="1"/>
  <c r="J48" i="177" s="1"/>
  <c r="J50" i="177" s="1"/>
  <c r="K39" i="177" s="1"/>
  <c r="K48" i="177" s="1"/>
  <c r="K50" i="177" s="1"/>
  <c r="L39" i="177" s="1"/>
  <c r="L48" i="177" s="1"/>
  <c r="L50" i="177" s="1"/>
  <c r="M39" i="177" s="1"/>
  <c r="M48" i="177" s="1"/>
  <c r="M50" i="177" s="1"/>
  <c r="D35" i="151"/>
  <c r="D37" i="151" s="1"/>
  <c r="E26" i="151" s="1"/>
  <c r="E35" i="151" s="1"/>
  <c r="E37" i="151" s="1"/>
  <c r="F26" i="151" s="1"/>
  <c r="F35" i="151" s="1"/>
  <c r="F37" i="151" s="1"/>
  <c r="G26" i="151" s="1"/>
  <c r="G35" i="151" s="1"/>
  <c r="G37" i="151" s="1"/>
  <c r="H26" i="151" s="1"/>
  <c r="H35" i="151" s="1"/>
  <c r="H37" i="151" s="1"/>
  <c r="I26" i="151" s="1"/>
  <c r="I35" i="151" s="1"/>
  <c r="I37" i="151" s="1"/>
  <c r="J26" i="151" s="1"/>
  <c r="J35" i="151" s="1"/>
  <c r="J37" i="151" s="1"/>
  <c r="K26" i="151" s="1"/>
  <c r="K35" i="151" s="1"/>
  <c r="K37" i="151" s="1"/>
  <c r="L26" i="151" s="1"/>
  <c r="L35" i="151" s="1"/>
  <c r="L37" i="151" s="1"/>
  <c r="M26" i="151" s="1"/>
  <c r="M35" i="151" s="1"/>
  <c r="M37" i="151" s="1"/>
  <c r="N26" i="151" s="1"/>
  <c r="N35" i="151" s="1"/>
  <c r="N37" i="151" s="1"/>
  <c r="D16" i="140"/>
  <c r="D18" i="140" s="1"/>
  <c r="E7" i="140" s="1"/>
  <c r="E16" i="140" s="1"/>
  <c r="E18" i="140" s="1"/>
  <c r="F7" i="140" s="1"/>
  <c r="F16" i="140" s="1"/>
  <c r="F18" i="140" s="1"/>
  <c r="G7" i="140" s="1"/>
  <c r="G16" i="140" s="1"/>
  <c r="G18" i="140" s="1"/>
  <c r="H7" i="140" s="1"/>
  <c r="H16" i="140" s="1"/>
  <c r="H18" i="140" s="1"/>
  <c r="I7" i="140" s="1"/>
  <c r="I16" i="140" s="1"/>
  <c r="I18" i="140" s="1"/>
  <c r="J7" i="140" s="1"/>
  <c r="J16" i="140" s="1"/>
  <c r="J18" i="140" s="1"/>
  <c r="K7" i="140" s="1"/>
  <c r="K16" i="140" s="1"/>
  <c r="K18" i="140" s="1"/>
  <c r="L7" i="140" s="1"/>
  <c r="L16" i="140" s="1"/>
  <c r="L18" i="140" s="1"/>
  <c r="M7" i="140" s="1"/>
  <c r="M16" i="140" s="1"/>
  <c r="M18" i="140" s="1"/>
  <c r="G32" i="4"/>
  <c r="G34" i="4" s="1"/>
  <c r="H23" i="4" s="1"/>
  <c r="H32" i="4" s="1"/>
  <c r="H34" i="4" s="1"/>
  <c r="I23" i="4" s="1"/>
  <c r="I32" i="4" s="1"/>
  <c r="I34" i="4" s="1"/>
  <c r="J23" i="4" s="1"/>
  <c r="J32" i="4" s="1"/>
  <c r="J34" i="4" s="1"/>
  <c r="K23" i="4" s="1"/>
  <c r="K32" i="4" s="1"/>
  <c r="K34" i="4" s="1"/>
  <c r="L23" i="4" s="1"/>
  <c r="L32" i="4" s="1"/>
  <c r="L34" i="4" s="1"/>
  <c r="M23" i="4" s="1"/>
  <c r="M32" i="4" s="1"/>
  <c r="M34" i="4" s="1"/>
  <c r="C14" i="61"/>
  <c r="C16" i="61" s="1"/>
  <c r="D5" i="61" s="1"/>
  <c r="D14" i="61" s="1"/>
  <c r="D16" i="61" s="1"/>
  <c r="E5" i="61" s="1"/>
  <c r="E14" i="61" s="1"/>
  <c r="E16" i="61" s="1"/>
  <c r="F5" i="61" s="1"/>
  <c r="F14" i="61" s="1"/>
  <c r="F16" i="61" s="1"/>
  <c r="G5" i="61" s="1"/>
  <c r="G14" i="61" s="1"/>
  <c r="G16" i="61" s="1"/>
  <c r="H5" i="61" s="1"/>
  <c r="H14" i="61" s="1"/>
  <c r="H16" i="61" s="1"/>
  <c r="I5" i="61" s="1"/>
  <c r="I14" i="61" s="1"/>
  <c r="I16" i="61" s="1"/>
  <c r="J5" i="61" s="1"/>
  <c r="J14" i="61" s="1"/>
  <c r="J16" i="61" s="1"/>
  <c r="K5" i="61" s="1"/>
  <c r="K14" i="61" s="1"/>
  <c r="K16" i="61" s="1"/>
  <c r="L5" i="61" s="1"/>
  <c r="L14" i="61" s="1"/>
  <c r="L16" i="61" s="1"/>
  <c r="M5" i="61" s="1"/>
  <c r="M14" i="61" s="1"/>
  <c r="M16" i="61" s="1"/>
  <c r="J24" i="40"/>
  <c r="J32" i="40" s="1"/>
  <c r="J34" i="40" s="1"/>
  <c r="K24" i="40" s="1"/>
  <c r="K32" i="40" s="1"/>
  <c r="K34" i="40" s="1"/>
  <c r="L24" i="40" s="1"/>
  <c r="L32" i="40" s="1"/>
  <c r="L34" i="40" s="1"/>
  <c r="M24" i="40" s="1"/>
  <c r="M32" i="40" s="1"/>
  <c r="M34" i="40" s="1"/>
  <c r="D34" i="138"/>
  <c r="E23" i="138" s="1"/>
  <c r="E32" i="138" s="1"/>
  <c r="E34" i="138" s="1"/>
  <c r="F23" i="138" s="1"/>
  <c r="C16" i="131"/>
  <c r="D5" i="131" s="1"/>
  <c r="D14" i="131" s="1"/>
  <c r="D16" i="131" s="1"/>
  <c r="E5" i="131" s="1"/>
  <c r="E14" i="131" s="1"/>
  <c r="E16" i="131" s="1"/>
  <c r="F5" i="131" s="1"/>
  <c r="F14" i="131" s="1"/>
  <c r="F16" i="131" s="1"/>
  <c r="G5" i="131" s="1"/>
  <c r="G14" i="131" s="1"/>
  <c r="G16" i="131" s="1"/>
  <c r="H5" i="131" s="1"/>
  <c r="H14" i="131" s="1"/>
  <c r="H16" i="131" s="1"/>
  <c r="I5" i="131" s="1"/>
  <c r="I14" i="131" s="1"/>
  <c r="I16" i="131" s="1"/>
  <c r="J5" i="131" s="1"/>
  <c r="J14" i="131" s="1"/>
  <c r="J16" i="131" s="1"/>
  <c r="K5" i="131" s="1"/>
  <c r="K14" i="131" s="1"/>
  <c r="K16" i="131" s="1"/>
  <c r="L5" i="131" s="1"/>
  <c r="L14" i="131" s="1"/>
  <c r="L16" i="131" s="1"/>
  <c r="M5" i="131" s="1"/>
  <c r="M14" i="131" s="1"/>
  <c r="M16" i="131" s="1"/>
  <c r="C29" i="201"/>
  <c r="C31" i="201" s="1"/>
  <c r="D20" i="201" s="1"/>
  <c r="D29" i="201" s="1"/>
  <c r="D31" i="201" s="1"/>
  <c r="E20" i="201" s="1"/>
  <c r="E29" i="201" s="1"/>
  <c r="E31" i="201" s="1"/>
  <c r="F20" i="201" s="1"/>
  <c r="F29" i="201" s="1"/>
  <c r="F31" i="201" s="1"/>
  <c r="G20" i="201" s="1"/>
  <c r="G29" i="201" s="1"/>
  <c r="G31" i="201" s="1"/>
  <c r="H20" i="201" s="1"/>
  <c r="H29" i="201" s="1"/>
  <c r="H31" i="201" s="1"/>
  <c r="I20" i="201" s="1"/>
  <c r="I29" i="201" s="1"/>
  <c r="I31" i="201" s="1"/>
  <c r="J20" i="201" s="1"/>
  <c r="J29" i="201" s="1"/>
  <c r="J31" i="201" s="1"/>
  <c r="K20" i="201" s="1"/>
  <c r="K29" i="201" s="1"/>
  <c r="K31" i="201" s="1"/>
  <c r="L20" i="201" s="1"/>
  <c r="L29" i="201" s="1"/>
  <c r="L31" i="201" s="1"/>
  <c r="M20" i="201" s="1"/>
  <c r="M29" i="201" s="1"/>
  <c r="M31" i="201" s="1"/>
  <c r="M14" i="172"/>
  <c r="M16" i="172" s="1"/>
  <c r="E9" i="71"/>
  <c r="E18" i="71" s="1"/>
  <c r="D20" i="71"/>
  <c r="C20" i="71"/>
  <c r="D16" i="206"/>
  <c r="E5" i="206" s="1"/>
  <c r="E14" i="206" s="1"/>
  <c r="E16" i="206" s="1"/>
  <c r="F5" i="206" s="1"/>
  <c r="F14" i="206" s="1"/>
  <c r="F16" i="206" s="1"/>
  <c r="G5" i="206" s="1"/>
  <c r="G14" i="206" s="1"/>
  <c r="G16" i="206" s="1"/>
  <c r="H5" i="206" s="1"/>
  <c r="H14" i="206" s="1"/>
  <c r="H16" i="206" s="1"/>
  <c r="I5" i="206" s="1"/>
  <c r="I14" i="206" s="1"/>
  <c r="I16" i="206" s="1"/>
  <c r="J5" i="206" s="1"/>
  <c r="J14" i="206" s="1"/>
  <c r="J16" i="206" s="1"/>
  <c r="K5" i="206" s="1"/>
  <c r="K14" i="206" s="1"/>
  <c r="K16" i="206" s="1"/>
  <c r="L5" i="206" s="1"/>
  <c r="L14" i="206" s="1"/>
  <c r="L16" i="206" s="1"/>
  <c r="M5" i="206" s="1"/>
  <c r="M14" i="206" s="1"/>
  <c r="M16" i="206" s="1"/>
  <c r="C35" i="56"/>
  <c r="C37" i="56" s="1"/>
  <c r="B70" i="73"/>
  <c r="C57" i="73"/>
  <c r="C66" i="73" s="1"/>
  <c r="C68" i="73" s="1"/>
  <c r="E17" i="170"/>
  <c r="F6" i="170" s="1"/>
  <c r="F15" i="170" s="1"/>
  <c r="F17" i="170" s="1"/>
  <c r="G6" i="170" s="1"/>
  <c r="G15" i="170" s="1"/>
  <c r="G17" i="170" s="1"/>
  <c r="H6" i="170" s="1"/>
  <c r="H15" i="170" s="1"/>
  <c r="H17" i="170" s="1"/>
  <c r="I6" i="170" s="1"/>
  <c r="I15" i="170" s="1"/>
  <c r="I17" i="170" s="1"/>
  <c r="J6" i="170" s="1"/>
  <c r="J15" i="170" s="1"/>
  <c r="J17" i="170" s="1"/>
  <c r="K6" i="170" s="1"/>
  <c r="K15" i="170" s="1"/>
  <c r="K17" i="170" s="1"/>
  <c r="L6" i="170" s="1"/>
  <c r="L15" i="170" s="1"/>
  <c r="L17" i="170" s="1"/>
  <c r="M6" i="170" s="1"/>
  <c r="M15" i="170" s="1"/>
  <c r="M17" i="170" s="1"/>
  <c r="C35" i="40"/>
  <c r="D24" i="40"/>
  <c r="D32" i="40" s="1"/>
  <c r="D34" i="40" s="1"/>
  <c r="E24" i="40" s="1"/>
  <c r="E32" i="40" s="1"/>
  <c r="E34" i="40" s="1"/>
  <c r="F24" i="40" s="1"/>
  <c r="F32" i="40" s="1"/>
  <c r="F34" i="40" s="1"/>
  <c r="G24" i="40" s="1"/>
  <c r="G32" i="40" s="1"/>
  <c r="G35" i="39"/>
  <c r="G37" i="39" s="1"/>
  <c r="H26" i="39" s="1"/>
  <c r="H35" i="39" s="1"/>
  <c r="H37" i="39" s="1"/>
  <c r="I26" i="39" s="1"/>
  <c r="I35" i="39" s="1"/>
  <c r="I37" i="39" s="1"/>
  <c r="J26" i="39" s="1"/>
  <c r="J35" i="39" s="1"/>
  <c r="J37" i="39" s="1"/>
  <c r="K26" i="39" s="1"/>
  <c r="K35" i="39" s="1"/>
  <c r="K37" i="39" s="1"/>
  <c r="L26" i="39" s="1"/>
  <c r="L35" i="39" s="1"/>
  <c r="L37" i="39" s="1"/>
  <c r="M26" i="39" s="1"/>
  <c r="M35" i="39" s="1"/>
  <c r="M37" i="39" s="1"/>
  <c r="C38" i="138"/>
  <c r="C40" i="138"/>
  <c r="C42" i="138" s="1"/>
  <c r="D16" i="40"/>
  <c r="E16" i="40" s="1"/>
  <c r="F16" i="40" s="1"/>
  <c r="G16" i="40" s="1"/>
  <c r="H16" i="40" s="1"/>
  <c r="I16" i="40" s="1"/>
  <c r="J16" i="40" s="1"/>
  <c r="K16" i="40" s="1"/>
  <c r="L16" i="40" s="1"/>
  <c r="M16" i="40" s="1"/>
  <c r="D15" i="217"/>
  <c r="E4" i="217" s="1"/>
  <c r="E13" i="217" s="1"/>
  <c r="E15" i="217" s="1"/>
  <c r="F4" i="217" s="1"/>
  <c r="F13" i="217" s="1"/>
  <c r="F15" i="217" s="1"/>
  <c r="G4" i="217" s="1"/>
  <c r="G13" i="217" s="1"/>
  <c r="G15" i="217" s="1"/>
  <c r="H4" i="217" s="1"/>
  <c r="H13" i="217" s="1"/>
  <c r="H15" i="217" s="1"/>
  <c r="I4" i="217" s="1"/>
  <c r="I13" i="217" s="1"/>
  <c r="I15" i="217" s="1"/>
  <c r="J4" i="217" s="1"/>
  <c r="J13" i="217" s="1"/>
  <c r="J15" i="217" s="1"/>
  <c r="K4" i="217" s="1"/>
  <c r="K13" i="217" s="1"/>
  <c r="K15" i="217" s="1"/>
  <c r="L4" i="217" s="1"/>
  <c r="L13" i="217" s="1"/>
  <c r="L15" i="217" s="1"/>
  <c r="M4" i="217" s="1"/>
  <c r="M13" i="217" s="1"/>
  <c r="M15" i="217" s="1"/>
  <c r="J35" i="40"/>
  <c r="K35" i="40" s="1"/>
  <c r="L35" i="40" s="1"/>
  <c r="M35" i="40" s="1"/>
  <c r="B53" i="20"/>
  <c r="C42" i="20" s="1"/>
  <c r="C51" i="20" s="1"/>
  <c r="C53" i="20" s="1"/>
  <c r="D42" i="20" s="1"/>
  <c r="D51" i="20" s="1"/>
  <c r="D53" i="20" s="1"/>
  <c r="E42" i="20" s="1"/>
  <c r="E51" i="20" s="1"/>
  <c r="E53" i="20" s="1"/>
  <c r="F42" i="20" s="1"/>
  <c r="F51" i="20" s="1"/>
  <c r="F53" i="20" s="1"/>
  <c r="G42" i="20" s="1"/>
  <c r="G51" i="20" s="1"/>
  <c r="G53" i="20" s="1"/>
  <c r="H42" i="20" s="1"/>
  <c r="H51" i="20" s="1"/>
  <c r="H53" i="20" s="1"/>
  <c r="I42" i="20" s="1"/>
  <c r="I51" i="20" s="1"/>
  <c r="I53" i="20" s="1"/>
  <c r="J42" i="20" s="1"/>
  <c r="J51" i="20" s="1"/>
  <c r="J53" i="20" s="1"/>
  <c r="K42" i="20" s="1"/>
  <c r="K51" i="20" s="1"/>
  <c r="K53" i="20" s="1"/>
  <c r="L42" i="20" s="1"/>
  <c r="L51" i="20" s="1"/>
  <c r="L53" i="20" s="1"/>
  <c r="M42" i="20" s="1"/>
  <c r="M51" i="20" s="1"/>
  <c r="M53" i="20" s="1"/>
  <c r="I51" i="26"/>
  <c r="J40" i="26" s="1"/>
  <c r="J49" i="26" s="1"/>
  <c r="J51" i="26" s="1"/>
  <c r="K40" i="26" s="1"/>
  <c r="K49" i="26" s="1"/>
  <c r="K51" i="26" s="1"/>
  <c r="L40" i="26" s="1"/>
  <c r="L49" i="26" s="1"/>
  <c r="L51" i="26" s="1"/>
  <c r="M40" i="26" s="1"/>
  <c r="M49" i="26" s="1"/>
  <c r="M51" i="26" s="1"/>
  <c r="F9" i="71" l="1"/>
  <c r="F18" i="71" s="1"/>
  <c r="E20" i="71"/>
  <c r="C70" i="73"/>
  <c r="D57" i="73"/>
  <c r="D66" i="73" s="1"/>
  <c r="D68" i="73" s="1"/>
  <c r="D26" i="56"/>
  <c r="D35" i="56" s="1"/>
  <c r="D37" i="56" s="1"/>
  <c r="E26" i="56" s="1"/>
  <c r="E35" i="56" s="1"/>
  <c r="E37" i="56" s="1"/>
  <c r="F26" i="56" s="1"/>
  <c r="F35" i="56" s="1"/>
  <c r="F37" i="56" s="1"/>
  <c r="G26" i="56" s="1"/>
  <c r="G35" i="56" s="1"/>
  <c r="G37" i="56" s="1"/>
  <c r="H26" i="56" s="1"/>
  <c r="H35" i="56" s="1"/>
  <c r="H37" i="56" s="1"/>
  <c r="I26" i="56" s="1"/>
  <c r="I35" i="56" s="1"/>
  <c r="I37" i="56" s="1"/>
  <c r="J26" i="56" s="1"/>
  <c r="J35" i="56" s="1"/>
  <c r="J37" i="56" s="1"/>
  <c r="K26" i="56" s="1"/>
  <c r="K35" i="56" s="1"/>
  <c r="K37" i="56" s="1"/>
  <c r="L26" i="56" s="1"/>
  <c r="L35" i="56" s="1"/>
  <c r="L37" i="56" s="1"/>
  <c r="M26" i="56" s="1"/>
  <c r="M35" i="56" s="1"/>
  <c r="M37" i="56" s="1"/>
  <c r="C47" i="56"/>
  <c r="C48" i="56" s="1"/>
  <c r="F20" i="71" l="1"/>
  <c r="G9" i="71"/>
  <c r="G18" i="71" s="1"/>
  <c r="D70" i="73"/>
  <c r="E57" i="73"/>
  <c r="E66" i="73" s="1"/>
  <c r="E68" i="73" s="1"/>
  <c r="G20" i="71" l="1"/>
  <c r="H9" i="71"/>
  <c r="H18" i="71" s="1"/>
  <c r="F57" i="73"/>
  <c r="F66" i="73" s="1"/>
  <c r="F68" i="73" s="1"/>
  <c r="E70" i="73"/>
  <c r="G57" i="73" l="1"/>
  <c r="G66" i="73" s="1"/>
  <c r="G68" i="73" s="1"/>
  <c r="F70" i="73"/>
  <c r="H20" i="71"/>
  <c r="I9" i="71"/>
  <c r="I18" i="71" s="1"/>
  <c r="I20" i="71" l="1"/>
  <c r="J9" i="71"/>
  <c r="J18" i="71" s="1"/>
  <c r="H57" i="73"/>
  <c r="H66" i="73" s="1"/>
  <c r="H68" i="73" s="1"/>
  <c r="G70" i="73"/>
  <c r="I57" i="73" l="1"/>
  <c r="I66" i="73" s="1"/>
  <c r="I68" i="73" s="1"/>
  <c r="H70" i="73"/>
  <c r="J20" i="71"/>
  <c r="K9" i="71"/>
  <c r="K18" i="71" s="1"/>
  <c r="K20" i="71" s="1"/>
  <c r="L9" i="71" s="1"/>
  <c r="L18" i="71" s="1"/>
  <c r="J57" i="73" l="1"/>
  <c r="J66" i="73" s="1"/>
  <c r="J68" i="73" s="1"/>
  <c r="I70" i="73"/>
  <c r="M9" i="71"/>
  <c r="M18" i="71" s="1"/>
  <c r="M20" i="71" s="1"/>
  <c r="L20" i="71"/>
  <c r="J70" i="73" l="1"/>
  <c r="K57" i="73"/>
  <c r="K66" i="73" s="1"/>
  <c r="K68" i="73" s="1"/>
  <c r="K70" i="73" l="1"/>
  <c r="L57" i="73"/>
  <c r="L66" i="73" s="1"/>
  <c r="L68" i="73" s="1"/>
  <c r="L70" i="73" l="1"/>
  <c r="M57" i="73"/>
  <c r="M66" i="73" s="1"/>
  <c r="M68" i="73" s="1"/>
  <c r="M70" i="73" s="1"/>
</calcChain>
</file>

<file path=xl/sharedStrings.xml><?xml version="1.0" encoding="utf-8"?>
<sst xmlns="http://schemas.openxmlformats.org/spreadsheetml/2006/main" count="7985" uniqueCount="807">
  <si>
    <t xml:space="preserve">Conceptos </t>
  </si>
  <si>
    <t>Meses</t>
  </si>
  <si>
    <t>Monotributo</t>
  </si>
  <si>
    <t>Ingresos Brutos/Prof.Liberales</t>
  </si>
  <si>
    <t>Municipalidad</t>
  </si>
  <si>
    <t>Honorarios</t>
  </si>
  <si>
    <t>Total</t>
  </si>
  <si>
    <t xml:space="preserve">Entrega </t>
  </si>
  <si>
    <t>Saldo</t>
  </si>
  <si>
    <t>Bienes Personales</t>
  </si>
  <si>
    <t>Acumulado</t>
  </si>
  <si>
    <t>Cliente:</t>
  </si>
  <si>
    <t>Arevalo Hilda y Arévalo María</t>
  </si>
  <si>
    <t>Alvarez Vanina</t>
  </si>
  <si>
    <t>Barreto Adela</t>
  </si>
  <si>
    <t>Barreto Claudio</t>
  </si>
  <si>
    <t>Bellingueri Elbio</t>
  </si>
  <si>
    <t>Bourband Raquel</t>
  </si>
  <si>
    <t>Canela Manuel</t>
  </si>
  <si>
    <t>Echeverría Osvaldo</t>
  </si>
  <si>
    <t>Ferreyra Reinaldo</t>
  </si>
  <si>
    <t>Garrigue José</t>
  </si>
  <si>
    <t>Gerber Dante</t>
  </si>
  <si>
    <t>Gonzalez Viviana</t>
  </si>
  <si>
    <t>Hecker Meliton</t>
  </si>
  <si>
    <t>Hernandez Alba</t>
  </si>
  <si>
    <t>Moreno Gladys</t>
  </si>
  <si>
    <t>Pioli Hugo</t>
  </si>
  <si>
    <t>Pioli Luis</t>
  </si>
  <si>
    <t>Pioli Norma</t>
  </si>
  <si>
    <t>Alfaro Juan Carlos</t>
  </si>
  <si>
    <t>Cruz Jose</t>
  </si>
  <si>
    <t>Debus Ricardo</t>
  </si>
  <si>
    <t>Delfino Hugo Alejandro</t>
  </si>
  <si>
    <t>Golub David</t>
  </si>
  <si>
    <t>Grané Alejandro</t>
  </si>
  <si>
    <t>Herman Sergio</t>
  </si>
  <si>
    <t>Hornus Irene y Schild Omar</t>
  </si>
  <si>
    <t>Hornus Pedro</t>
  </si>
  <si>
    <t>Huck Leopoldo</t>
  </si>
  <si>
    <t>Huck Natan</t>
  </si>
  <si>
    <t>Huck Oscar</t>
  </si>
  <si>
    <t>Kinderknech SH</t>
  </si>
  <si>
    <t>Obispo Ariel</t>
  </si>
  <si>
    <t>Ormeño Verónica</t>
  </si>
  <si>
    <t>Pena Juan Carlos</t>
  </si>
  <si>
    <t>Perez Fabián</t>
  </si>
  <si>
    <t>Raffo Juan Carlos</t>
  </si>
  <si>
    <t>Riedel Walter</t>
  </si>
  <si>
    <t>Savornin Josefina</t>
  </si>
  <si>
    <t>Schild Elbio</t>
  </si>
  <si>
    <t>Schwab Victor</t>
  </si>
  <si>
    <t>Soirifman Isidoro</t>
  </si>
  <si>
    <t>Temon Maria</t>
  </si>
  <si>
    <t>Pioli Orlando</t>
  </si>
  <si>
    <t>Riello Susana</t>
  </si>
  <si>
    <t>Rodriguez Alicia</t>
  </si>
  <si>
    <t>Savornin Mabel</t>
  </si>
  <si>
    <t>Schlegel Pablo</t>
  </si>
  <si>
    <t>Schwarz Diego</t>
  </si>
  <si>
    <t>Schwarz Ricardo</t>
  </si>
  <si>
    <t>Schwarz Judit</t>
  </si>
  <si>
    <t>Scharton Leticia</t>
  </si>
  <si>
    <t>Schwartz Hugo</t>
  </si>
  <si>
    <t>Silva Guillermo</t>
  </si>
  <si>
    <t>Soifer Marta</t>
  </si>
  <si>
    <t>Strauch Norma</t>
  </si>
  <si>
    <t>Villarreal Laura</t>
  </si>
  <si>
    <t>Ziegler Lidia y Sack Osvaldo</t>
  </si>
  <si>
    <t>Tomassi Eriberto Bautista</t>
  </si>
  <si>
    <t>Scharton Roberto</t>
  </si>
  <si>
    <t>Scharton Orlando</t>
  </si>
  <si>
    <t>LISTADO DE CLIENTES</t>
  </si>
  <si>
    <t>Ganancias</t>
  </si>
  <si>
    <t>Leyes Sociales</t>
  </si>
  <si>
    <t>Otros</t>
  </si>
  <si>
    <t>IVA</t>
  </si>
  <si>
    <t>Virrareal Laura</t>
  </si>
  <si>
    <t>Azcurrain Hugo</t>
  </si>
  <si>
    <t>Boujon Danilo</t>
  </si>
  <si>
    <t>Cettour Jorge</t>
  </si>
  <si>
    <t>Cardozo Flores</t>
  </si>
  <si>
    <t>Corrales Miguel</t>
  </si>
  <si>
    <t>Dorn Héctor</t>
  </si>
  <si>
    <t>Dus Roberto</t>
  </si>
  <si>
    <t>Gerber Adolfo</t>
  </si>
  <si>
    <t>Herman Jacobo</t>
  </si>
  <si>
    <t>Heyde Milton</t>
  </si>
  <si>
    <t>Hamm Hilda</t>
  </si>
  <si>
    <t>Iselli Ricardo</t>
  </si>
  <si>
    <t>Muñiz Julio</t>
  </si>
  <si>
    <t>Nuñez Ernesto</t>
  </si>
  <si>
    <t>Magno S.A.</t>
  </si>
  <si>
    <t>Pitura Miguel</t>
  </si>
  <si>
    <t>Portillo Jose</t>
  </si>
  <si>
    <t>Preisz Sergio</t>
  </si>
  <si>
    <t>Rozich Ines</t>
  </si>
  <si>
    <t>Scolamieri - Peccin</t>
  </si>
  <si>
    <t>Slootmans Humberto</t>
  </si>
  <si>
    <t>Wagner Nestor</t>
  </si>
  <si>
    <t xml:space="preserve">Ziegler Juan </t>
  </si>
  <si>
    <t xml:space="preserve">AZCURRAIN Hugo </t>
  </si>
  <si>
    <t>Volver</t>
  </si>
  <si>
    <t>SAVORNIN Josefina María</t>
  </si>
  <si>
    <t>Gonzalez Ivan Andrés</t>
  </si>
  <si>
    <t>Ingresos Brutos</t>
  </si>
  <si>
    <t>Heyde Mario y Perez Leticia</t>
  </si>
  <si>
    <t>GONZALEZ Viviana</t>
  </si>
  <si>
    <t>Empleada Domestica</t>
  </si>
  <si>
    <t>Canela Manuel Horacio</t>
  </si>
  <si>
    <t>Saldo Pendiente Inicio</t>
  </si>
  <si>
    <t>Saldo Pendiente Acumulado</t>
  </si>
  <si>
    <t>Saldo pendiente al inicio</t>
  </si>
  <si>
    <t>Saldo Acumulado</t>
  </si>
  <si>
    <t>Saldo al inicio</t>
  </si>
  <si>
    <t>Saldo acumulado</t>
  </si>
  <si>
    <t>FERREYRA Reynaldo</t>
  </si>
  <si>
    <t>Cardozo- Flores</t>
  </si>
  <si>
    <t>Cruz jose</t>
  </si>
  <si>
    <t>Dorn Hector</t>
  </si>
  <si>
    <t>Gonzalez Andres</t>
  </si>
  <si>
    <t>Monotibuto</t>
  </si>
  <si>
    <t>Hornus Marcelo</t>
  </si>
  <si>
    <t>Huck Oscar Juan G</t>
  </si>
  <si>
    <t>Magno S. A.</t>
  </si>
  <si>
    <t>Certificaciones contables y Bces</t>
  </si>
  <si>
    <t>Remis a parana Perez</t>
  </si>
  <si>
    <t>IVA/ Monotributo</t>
  </si>
  <si>
    <t>GRANE ALEJANDRO</t>
  </si>
  <si>
    <t>Huck Poli</t>
  </si>
  <si>
    <t>Cettuor Jorge</t>
  </si>
  <si>
    <t>Perez Fabian</t>
  </si>
  <si>
    <t>Gerber  Dante</t>
  </si>
  <si>
    <t>Otros Saldo mes anterior</t>
  </si>
  <si>
    <t>Pena Patricia</t>
  </si>
  <si>
    <t>Tommasi Eriberto</t>
  </si>
  <si>
    <t>Schild Elvio</t>
  </si>
  <si>
    <t>Otros:Contratos Hector</t>
  </si>
  <si>
    <t>Fumigacion 22 Has</t>
  </si>
  <si>
    <t>Rielo Susana</t>
  </si>
  <si>
    <t>Scolamieri-Peccin</t>
  </si>
  <si>
    <t>pago el 29 de diciembre con cheque Nacion 3236 hasta el mes de noviembre</t>
  </si>
  <si>
    <t>Talonario e inscripción</t>
  </si>
  <si>
    <t>Manifestación de Bs B.N.A.</t>
  </si>
  <si>
    <t>I.V.A.</t>
  </si>
  <si>
    <t>Michel Alejandro</t>
  </si>
  <si>
    <t>VOLVER</t>
  </si>
  <si>
    <t>Entrega</t>
  </si>
  <si>
    <t>Empleada doméstica</t>
  </si>
  <si>
    <t>Remis perez a uruguay</t>
  </si>
  <si>
    <t>Magno y Bhaler año 2008</t>
  </si>
  <si>
    <t>Grane alejandro año 2008</t>
  </si>
  <si>
    <t>Jub Autonomo</t>
  </si>
  <si>
    <t>GUILLO</t>
  </si>
  <si>
    <t>NESTOR WAGNER</t>
  </si>
  <si>
    <t>ZIEGLER JUAN</t>
  </si>
  <si>
    <t>Pago de Certificacion de manifest</t>
  </si>
  <si>
    <t>pago interes a osecac</t>
  </si>
  <si>
    <t>Chamillard Daniel</t>
  </si>
  <si>
    <t>NAIBERT YANINA</t>
  </si>
  <si>
    <t>Pago con Flete de guillermo jauk  35720 Kg*11,90</t>
  </si>
  <si>
    <t>Otros Ganancias</t>
  </si>
  <si>
    <t>Certif. Balances</t>
  </si>
  <si>
    <t>Bs Personales</t>
  </si>
  <si>
    <t>Abril 08 pagado con cheque Bersa 1820 $ 1566,67</t>
  </si>
  <si>
    <t>Ganancias mas anticipo Nº1</t>
  </si>
  <si>
    <t>Celular 156256833</t>
  </si>
  <si>
    <t xml:space="preserve">Dispenser de agua </t>
  </si>
  <si>
    <t>Saldo debo</t>
  </si>
  <si>
    <t>I.V.A</t>
  </si>
  <si>
    <t>SALVATORI</t>
  </si>
  <si>
    <t>pagado a Ricardo</t>
  </si>
  <si>
    <t>saldo arreglado</t>
  </si>
  <si>
    <t>Entrega lechon de 9 Kg por 11 igual  $ 99</t>
  </si>
  <si>
    <t>Entrega con iva y con iva de adolfo 600</t>
  </si>
  <si>
    <t>OJO FALTA PAGAR EL MES 09/2008 3810,96 YO PUSE PARA SABER CUANTO DEBE DEL MES 10/2008</t>
  </si>
  <si>
    <t>HUCK LUCIANO Y JAVIER</t>
  </si>
  <si>
    <t>Sack Osvaldo y Ziegler Lidia</t>
  </si>
  <si>
    <t>retiro los ticket</t>
  </si>
  <si>
    <t>Jubilación de Autonomo</t>
  </si>
  <si>
    <t>Transf y boleto</t>
  </si>
  <si>
    <t xml:space="preserve"> </t>
  </si>
  <si>
    <t>pago el 16 de febrero de 2009 cheque naion Nº 593</t>
  </si>
  <si>
    <t>Bienes Personales Ajsute obra s</t>
  </si>
  <si>
    <t>Cartas de porte</t>
  </si>
  <si>
    <t>Carta de porte</t>
  </si>
  <si>
    <t xml:space="preserve">Entrega 3 cheques Citibank </t>
  </si>
  <si>
    <t>Bisel</t>
  </si>
  <si>
    <t>Comafi</t>
  </si>
  <si>
    <t>Entregue a Héctor por honorarios</t>
  </si>
  <si>
    <t xml:space="preserve">Para mi  </t>
  </si>
  <si>
    <t>Corresp. Al Iva 12 y 09/08 mas interes</t>
  </si>
  <si>
    <t>Entrega con Rollos  169 a 06/09</t>
  </si>
  <si>
    <t xml:space="preserve">Debe vaquilla </t>
  </si>
  <si>
    <t>Dominguez Debe a oscar</t>
  </si>
  <si>
    <t>Garcia Jorge</t>
  </si>
  <si>
    <t>Magno y Bhaler año 2009</t>
  </si>
  <si>
    <t>Grane alejandro año 2009</t>
  </si>
  <si>
    <t>Entrega de 2919,30 el pago en banco comafi hecho por martin</t>
  </si>
  <si>
    <t>Vannier y Frank</t>
  </si>
  <si>
    <t>Cliente :Fries</t>
  </si>
  <si>
    <t xml:space="preserve">Defensa causa concordia </t>
  </si>
  <si>
    <t>Cartas de portes</t>
  </si>
  <si>
    <t>Cliente: Pioli Lisandro</t>
  </si>
  <si>
    <t>MONOTRIBUTO</t>
  </si>
  <si>
    <t>Leyes Sociales ART</t>
  </si>
  <si>
    <t>Scharton Enrique</t>
  </si>
  <si>
    <t>Scharton Hugo</t>
  </si>
  <si>
    <t>CLAUDIO MARCHAND</t>
  </si>
  <si>
    <t>Empleada domestica</t>
  </si>
  <si>
    <t>Anticipo Gcia</t>
  </si>
  <si>
    <t xml:space="preserve">soifer jose       </t>
  </si>
  <si>
    <t>RAMOUNAT JUAN</t>
  </si>
  <si>
    <t>Monotributo Juan</t>
  </si>
  <si>
    <t xml:space="preserve">S.A.S. CLAVE </t>
  </si>
  <si>
    <t>USUARIO: 2435</t>
  </si>
  <si>
    <t>CLAVE: kxtp</t>
  </si>
  <si>
    <t>Dif de Municipalidad</t>
  </si>
  <si>
    <t>Kirderknech Mariela y Dario Tel. -497055</t>
  </si>
  <si>
    <t>Cheque devuelto</t>
  </si>
  <si>
    <t>Cheques de 300 y 622,91</t>
  </si>
  <si>
    <t>Tomo 900 por los gastos</t>
  </si>
  <si>
    <t>Manisfest certi</t>
  </si>
  <si>
    <t xml:space="preserve">Schwab Victor           </t>
  </si>
  <si>
    <t>Informe de ingresos</t>
  </si>
  <si>
    <t xml:space="preserve">Trámite de compensación </t>
  </si>
  <si>
    <t>Entrega 3800 con Cheque de ART</t>
  </si>
  <si>
    <t>Monotributo Romii</t>
  </si>
  <si>
    <t>Renta Romi</t>
  </si>
  <si>
    <t>Cheque super de banco francés</t>
  </si>
  <si>
    <t>Arcusin rosa</t>
  </si>
  <si>
    <t>Renta</t>
  </si>
  <si>
    <t>SCHWARZ RICARDO</t>
  </si>
  <si>
    <t>ALFARO</t>
  </si>
  <si>
    <t>Hornus  Javier</t>
  </si>
  <si>
    <t>Sociedad</t>
  </si>
  <si>
    <t>HERMAN</t>
  </si>
  <si>
    <t>HORNUS JAVIER</t>
  </si>
  <si>
    <t>A COBRAR</t>
  </si>
  <si>
    <t>COBRADO</t>
  </si>
  <si>
    <t>Percepciones</t>
  </si>
  <si>
    <t>Monotributo Romi</t>
  </si>
  <si>
    <t>Hornus José</t>
  </si>
  <si>
    <t>Monot  Lisandro</t>
  </si>
  <si>
    <t>Mnotributo empleado</t>
  </si>
  <si>
    <t>Intereses resarcitorios</t>
  </si>
  <si>
    <t>Intereses Punitorios</t>
  </si>
  <si>
    <t>Alfredo</t>
  </si>
  <si>
    <t>Osmar Fecha de Demanda 5/12/2011</t>
  </si>
  <si>
    <t>Anticipos</t>
  </si>
  <si>
    <t xml:space="preserve">Repuesto camion </t>
  </si>
  <si>
    <t>JUBILACION AUTONOMO</t>
  </si>
  <si>
    <t>Declaracion Jurada</t>
  </si>
  <si>
    <t>Intereses resarcitorios DDJ</t>
  </si>
  <si>
    <t>ganancias</t>
  </si>
  <si>
    <t>intereses</t>
  </si>
  <si>
    <t>Anticipo Ganancias</t>
  </si>
  <si>
    <t>IRIGOITE JULIO</t>
  </si>
  <si>
    <t>ARIEL</t>
  </si>
  <si>
    <t>Ley 4035</t>
  </si>
  <si>
    <t>Sindicato</t>
  </si>
  <si>
    <t>Efectivo</t>
  </si>
  <si>
    <t>Agustea</t>
  </si>
  <si>
    <t>Pena Juan</t>
  </si>
  <si>
    <t xml:space="preserve">Preisz </t>
  </si>
  <si>
    <t>Weber</t>
  </si>
  <si>
    <t>Zitterkopf</t>
  </si>
  <si>
    <t>Raffo</t>
  </si>
  <si>
    <t>Soifer José</t>
  </si>
  <si>
    <t>SCHARTON  Roberto</t>
  </si>
  <si>
    <t>SCHARTON Orlando</t>
  </si>
  <si>
    <t>Salvatori</t>
  </si>
  <si>
    <t>Schild elvio</t>
  </si>
  <si>
    <t>Schwarz Hugo</t>
  </si>
  <si>
    <t>Entregado a sil</t>
  </si>
  <si>
    <t>Jauck Cesar</t>
  </si>
  <si>
    <t>Ramirez</t>
  </si>
  <si>
    <t>Alfaro</t>
  </si>
  <si>
    <t>falta entregar</t>
  </si>
  <si>
    <t>Cardozo Roberto</t>
  </si>
  <si>
    <t>Garcilazo</t>
  </si>
  <si>
    <t>SCHWARZ HNOS y SCHWAR Nestor</t>
  </si>
  <si>
    <t>Lohner</t>
  </si>
  <si>
    <t>Hornus irene</t>
  </si>
  <si>
    <t>Jubilacion</t>
  </si>
  <si>
    <t>Aizaga pago Septiembre</t>
  </si>
  <si>
    <t>Entre Efectivo</t>
  </si>
  <si>
    <t>Entrega  Viajes</t>
  </si>
  <si>
    <t>Anticipos de ganancias</t>
  </si>
  <si>
    <t>Iva</t>
  </si>
  <si>
    <t>Parodi Luis</t>
  </si>
  <si>
    <t>Parodi Abel y Sergio</t>
  </si>
  <si>
    <t>Sack Marcela</t>
  </si>
  <si>
    <t>Leyes Sociales Empleada dom</t>
  </si>
  <si>
    <t>Susana</t>
  </si>
  <si>
    <t>impuesto</t>
  </si>
  <si>
    <t>Monotributo padre</t>
  </si>
  <si>
    <t>Entrega 5400 Con Rollos</t>
  </si>
  <si>
    <t>pago con las trilla de trigo y soja</t>
  </si>
  <si>
    <t>Renta de Berta Pitman</t>
  </si>
  <si>
    <t>Vinoteca</t>
  </si>
  <si>
    <t>Trillas</t>
  </si>
  <si>
    <t>Autonomo</t>
  </si>
  <si>
    <t>Dif monotributo</t>
  </si>
  <si>
    <t>entregado 9485,50</t>
  </si>
  <si>
    <t>mes de febrero</t>
  </si>
  <si>
    <t>Ingresos brutos Madre</t>
  </si>
  <si>
    <t>Municipalidad Tarabini</t>
  </si>
  <si>
    <t>iva</t>
  </si>
  <si>
    <t>Gcia</t>
  </si>
  <si>
    <t>Otros Jubilación</t>
  </si>
  <si>
    <t>Entrega con viaje a Gchu</t>
  </si>
  <si>
    <t>saldo</t>
  </si>
  <si>
    <t>Saldo 1405</t>
  </si>
  <si>
    <t>4300 Cheque Wagner miguel</t>
  </si>
  <si>
    <t>Ingresos brutos</t>
  </si>
  <si>
    <t>Diferencia de municipalidad</t>
  </si>
  <si>
    <t>Monotributo hija</t>
  </si>
  <si>
    <t>PAGO DE ARRENDAMIENTO</t>
  </si>
  <si>
    <t>2000 de fumigada 100 Ha</t>
  </si>
  <si>
    <t>Municipalidad esposa</t>
  </si>
  <si>
    <t>Viajes</t>
  </si>
  <si>
    <t>Flete 1589</t>
  </si>
  <si>
    <t>sociedad</t>
  </si>
  <si>
    <t>Pago 28/01/2015</t>
  </si>
  <si>
    <t>Pago Monotributo viejo</t>
  </si>
  <si>
    <t xml:space="preserve">monotributo </t>
  </si>
  <si>
    <t>pago</t>
  </si>
  <si>
    <t>Anticipos Bienes Personales</t>
  </si>
  <si>
    <t>Anticipos Ganancias</t>
  </si>
  <si>
    <t>Talonario</t>
  </si>
  <si>
    <t>Dorn Omar</t>
  </si>
  <si>
    <t>Profes liberales laura</t>
  </si>
  <si>
    <t>Otros telf</t>
  </si>
  <si>
    <t>entrega</t>
  </si>
  <si>
    <t>Saldo Pendiente Inicio     Ver?</t>
  </si>
  <si>
    <t>entrega el 05/02 2164 ver</t>
  </si>
  <si>
    <t>laura</t>
  </si>
  <si>
    <t>Laura Prof</t>
  </si>
  <si>
    <t>Entrega Efectivo</t>
  </si>
  <si>
    <t>mas bienes personales 2014</t>
  </si>
  <si>
    <t>honorarios abogados</t>
  </si>
  <si>
    <t xml:space="preserve">municipalidad hermano </t>
  </si>
  <si>
    <t>Jubilaciones</t>
  </si>
  <si>
    <t>monotributo</t>
  </si>
  <si>
    <t>seguros Empleada domestica</t>
  </si>
  <si>
    <t>entrega semilla de soja epa</t>
  </si>
  <si>
    <t>Ranta de Jose</t>
  </si>
  <si>
    <t>Monotributo Jose</t>
  </si>
  <si>
    <t>MUNI NEGOCIO</t>
  </si>
  <si>
    <t>BEKER oscar</t>
  </si>
  <si>
    <t>I.V.A Javier</t>
  </si>
  <si>
    <t>Ingresos Brutos Javier</t>
  </si>
  <si>
    <t>IVA Luciano</t>
  </si>
  <si>
    <t>Ingresos Brutos Luciano</t>
  </si>
  <si>
    <t>jubilaciones</t>
  </si>
  <si>
    <t>Total ingresos Brutos</t>
  </si>
  <si>
    <t>moni javi</t>
  </si>
  <si>
    <t>renta</t>
  </si>
  <si>
    <t>renta negocio</t>
  </si>
  <si>
    <t>Gas</t>
  </si>
  <si>
    <t>Muni</t>
  </si>
  <si>
    <t>monotributo mario</t>
  </si>
  <si>
    <t>Monotributo Hugo</t>
  </si>
  <si>
    <t>Pago Flete</t>
  </si>
  <si>
    <t>Ganancias monotrib hermano</t>
  </si>
  <si>
    <t>Dejo</t>
  </si>
  <si>
    <t>Empleada domestica (Rubrica)</t>
  </si>
  <si>
    <t>Evelin</t>
  </si>
  <si>
    <t>Mono</t>
  </si>
  <si>
    <t>monotributo Sra</t>
  </si>
  <si>
    <t xml:space="preserve">Renta </t>
  </si>
  <si>
    <t xml:space="preserve">cbu </t>
  </si>
  <si>
    <t>trajo 29/6/17</t>
  </si>
  <si>
    <t xml:space="preserve">monotributo suegro </t>
  </si>
  <si>
    <t>Municipalidad suegro</t>
  </si>
  <si>
    <t>Renta suegro</t>
  </si>
  <si>
    <t>muni javi</t>
  </si>
  <si>
    <t>MUÑIZ MARIO</t>
  </si>
  <si>
    <t xml:space="preserve">savornin </t>
  </si>
  <si>
    <t/>
  </si>
  <si>
    <t>Alcides Renta</t>
  </si>
  <si>
    <t>alcides Munici</t>
  </si>
  <si>
    <t>Gerosa daniela</t>
  </si>
  <si>
    <t>monotributo rito</t>
  </si>
  <si>
    <t>WILHEM</t>
  </si>
  <si>
    <t>U$ 6600</t>
  </si>
  <si>
    <t>1225 el 16/01/2018</t>
  </si>
  <si>
    <t>entrego enero</t>
  </si>
  <si>
    <t>Alcides Munic</t>
  </si>
  <si>
    <t>Alcides rentas</t>
  </si>
  <si>
    <t>Ezequiel Rentas</t>
  </si>
  <si>
    <t>pago cheque</t>
  </si>
  <si>
    <t>Otros Tel</t>
  </si>
  <si>
    <t>Renta Javi</t>
  </si>
  <si>
    <t>Leyes Sociales empleada domestica</t>
  </si>
  <si>
    <t>Rentas señora</t>
  </si>
  <si>
    <t>Municipalidad Renta atrazado</t>
  </si>
  <si>
    <t>muni suegro</t>
  </si>
  <si>
    <t>renta suegro</t>
  </si>
  <si>
    <t>mono suegro</t>
  </si>
  <si>
    <t>monotributo Mauro</t>
  </si>
  <si>
    <t xml:space="preserve">entrega </t>
  </si>
  <si>
    <t>Lenciza Daiana</t>
  </si>
  <si>
    <t>Ezequiel muni</t>
  </si>
  <si>
    <t>Leyes sociales</t>
  </si>
  <si>
    <t>Tramite de la casa</t>
  </si>
  <si>
    <t>Sellado de Renta</t>
  </si>
  <si>
    <t>Pago a cuenta plan de pagos</t>
  </si>
  <si>
    <t>Efectivo a torres</t>
  </si>
  <si>
    <t>Pago el 11/12</t>
  </si>
  <si>
    <t>Diciembre de 2018 pago con 530 Has Fumig  a 150 y 15000 de Corporiflos</t>
  </si>
  <si>
    <t>PLAN DE PAGOS</t>
  </si>
  <si>
    <t>Debo 103157 de la soja semilla</t>
  </si>
  <si>
    <t xml:space="preserve">Ingresos brutos luciano </t>
  </si>
  <si>
    <t>Renta hugo</t>
  </si>
  <si>
    <t>rentas Cesi</t>
  </si>
  <si>
    <t>Lenciza Daiana Monotributo</t>
  </si>
  <si>
    <t>Renta Daiana</t>
  </si>
  <si>
    <t>Retencion</t>
  </si>
  <si>
    <t>300 Dol</t>
  </si>
  <si>
    <t>250 Dol</t>
  </si>
  <si>
    <t>Sueldo</t>
  </si>
  <si>
    <t>Enero</t>
  </si>
  <si>
    <t>Febrero</t>
  </si>
  <si>
    <t>Dif pago de inmobiliario</t>
  </si>
  <si>
    <t>Entrega con flete 6200</t>
  </si>
  <si>
    <t>Otros Saldo mes anterior arreglo ia</t>
  </si>
  <si>
    <t>Otros plan de pagos</t>
  </si>
  <si>
    <t>Cheque de Granja</t>
  </si>
  <si>
    <t xml:space="preserve">CHEQUE </t>
  </si>
  <si>
    <t>cheque</t>
  </si>
  <si>
    <t>Guias</t>
  </si>
  <si>
    <t>4877 entrega el 18/09</t>
  </si>
  <si>
    <t>tina 17000</t>
  </si>
  <si>
    <t>Orcajo</t>
  </si>
  <si>
    <t>cobro 4877</t>
  </si>
  <si>
    <t>paga 16/10</t>
  </si>
  <si>
    <t>Honorarios Nidia</t>
  </si>
  <si>
    <t>Arba de Nidia</t>
  </si>
  <si>
    <t>ENTREGA DE PARTE DE</t>
  </si>
  <si>
    <t>Florencia Aizaga!!!!</t>
  </si>
  <si>
    <t>Jubilacion autonomo</t>
  </si>
  <si>
    <t>Monotributo rito</t>
  </si>
  <si>
    <t>Seguro victoria</t>
  </si>
  <si>
    <t>16500 Cheque mario Rhil</t>
  </si>
  <si>
    <t>Otros Certf. Contable ART</t>
  </si>
  <si>
    <t>Renta michel</t>
  </si>
  <si>
    <t>Monotributo michel</t>
  </si>
  <si>
    <t>Otros MONO Renta Muni Sra</t>
  </si>
  <si>
    <t>otros</t>
  </si>
  <si>
    <t>Otros Miguel</t>
  </si>
  <si>
    <t>telefono y guias</t>
  </si>
  <si>
    <t>ver flete de 23 a basso</t>
  </si>
  <si>
    <t>Otros: cholo</t>
  </si>
  <si>
    <t>Otros Martin</t>
  </si>
  <si>
    <t>Renta cholo</t>
  </si>
  <si>
    <t>-</t>
  </si>
  <si>
    <t>Monotributo sanchez</t>
  </si>
  <si>
    <t>IIBB Sanchez</t>
  </si>
  <si>
    <t xml:space="preserve">no pago </t>
  </si>
  <si>
    <t>Clave danilo  rentas corrientes</t>
  </si>
  <si>
    <t>b0202787</t>
  </si>
  <si>
    <t>Cheque de Salvatori y cheque de pascal</t>
  </si>
  <si>
    <t>Renas 06/20</t>
  </si>
  <si>
    <t>Munic 06/20</t>
  </si>
  <si>
    <t>Ezequiel 8832</t>
  </si>
  <si>
    <t>Jubilacion inmobiliario Luz</t>
  </si>
  <si>
    <t>CHULE</t>
  </si>
  <si>
    <t>MUNI ALCIDE</t>
  </si>
  <si>
    <t>RENTAS ALCIDES</t>
  </si>
  <si>
    <t>Maria</t>
  </si>
  <si>
    <t>UDS</t>
  </si>
  <si>
    <t>Son 1200 dolares por año al 31/12020</t>
  </si>
  <si>
    <t>Hon 07/2020</t>
  </si>
  <si>
    <t>Entrego 16344</t>
  </si>
  <si>
    <t>con los fletes</t>
  </si>
  <si>
    <t>Monotributo Anabella</t>
  </si>
  <si>
    <t>Luis Yaquemes</t>
  </si>
  <si>
    <t>Muñiz Julian</t>
  </si>
  <si>
    <t>Otros tarjeta</t>
  </si>
  <si>
    <t>Monotributo Alej</t>
  </si>
  <si>
    <t>con flete 5500</t>
  </si>
  <si>
    <t>Bienes Personales Elisa</t>
  </si>
  <si>
    <t>Bienes personales de enrique</t>
  </si>
  <si>
    <t xml:space="preserve">Convenio Multilateral </t>
  </si>
  <si>
    <t>Municip Raul</t>
  </si>
  <si>
    <t>Municipalidad Milton</t>
  </si>
  <si>
    <t xml:space="preserve">Patente </t>
  </si>
  <si>
    <t>luz</t>
  </si>
  <si>
    <t>Savornin Ofelia</t>
  </si>
  <si>
    <t>inmobliliario y patente</t>
  </si>
  <si>
    <t>andrea</t>
  </si>
  <si>
    <t xml:space="preserve">Entre con el flete a tala </t>
  </si>
  <si>
    <t>31,66Kg*440TT</t>
  </si>
  <si>
    <t>mas iva</t>
  </si>
  <si>
    <t>monotributo  Sanchez</t>
  </si>
  <si>
    <t>renta Sanchez</t>
  </si>
  <si>
    <t>Minic</t>
  </si>
  <si>
    <t>monotributo ale</t>
  </si>
  <si>
    <t>Mono Xiomara</t>
  </si>
  <si>
    <t>renta cholo</t>
  </si>
  <si>
    <t>Jubilacion - Luz Tel</t>
  </si>
  <si>
    <t>ticket</t>
  </si>
  <si>
    <t>Mono michel</t>
  </si>
  <si>
    <t>Evequoz</t>
  </si>
  <si>
    <t>mono Anabella</t>
  </si>
  <si>
    <t>tina</t>
  </si>
  <si>
    <t>Mono Altamirano</t>
  </si>
  <si>
    <t>Bienes PLEs Inmobiliario Patentes</t>
  </si>
  <si>
    <t>Leyes Sociales encode</t>
  </si>
  <si>
    <t xml:space="preserve">IVA DEBE </t>
  </si>
  <si>
    <t>MONOTRIBUTO MARTINEZ</t>
  </si>
  <si>
    <t>iva 17000</t>
  </si>
  <si>
    <t>IIBB sociedad</t>
  </si>
  <si>
    <t>debe Tarjeta de credito</t>
  </si>
  <si>
    <t>ugon</t>
  </si>
  <si>
    <t>morales</t>
  </si>
  <si>
    <t>rios</t>
  </si>
  <si>
    <t>Entrego</t>
  </si>
  <si>
    <t xml:space="preserve">Municipalidad </t>
  </si>
  <si>
    <t>Tel</t>
  </si>
  <si>
    <t>tarjeta</t>
  </si>
  <si>
    <t>total</t>
  </si>
  <si>
    <t>Kg</t>
  </si>
  <si>
    <t>$</t>
  </si>
  <si>
    <t>Deja 56230</t>
  </si>
  <si>
    <t>tel</t>
  </si>
  <si>
    <t>entrgo</t>
  </si>
  <si>
    <t>iva Milton Herman</t>
  </si>
  <si>
    <t>Autonomo monotributo</t>
  </si>
  <si>
    <t>monotributo renta</t>
  </si>
  <si>
    <t>Deja el</t>
  </si>
  <si>
    <t>monotributo Stella</t>
  </si>
  <si>
    <t>inmobiliario</t>
  </si>
  <si>
    <t>arendamiento</t>
  </si>
  <si>
    <t>mande con marcos+ liq, hacienda</t>
  </si>
  <si>
    <t>Factura</t>
  </si>
  <si>
    <t>Pioli Ramiro</t>
  </si>
  <si>
    <t>Otros monotributo angeloni</t>
  </si>
  <si>
    <t>monotr ariel</t>
  </si>
  <si>
    <t>Monotributo estela</t>
  </si>
  <si>
    <t>Ingresos Brutos ariel y estell</t>
  </si>
  <si>
    <t>Junio y Julio sin IIBB</t>
  </si>
  <si>
    <t>DEGRACIA</t>
  </si>
  <si>
    <t>CARGA CONTRATO CITIK Y PEDRO</t>
  </si>
  <si>
    <t>Otros Tarjeta</t>
  </si>
  <si>
    <t>Monotributo ramiro</t>
  </si>
  <si>
    <t>monotributo Hugo</t>
  </si>
  <si>
    <t>Deja 23/09</t>
  </si>
  <si>
    <t>deja cheque el 27/09</t>
  </si>
  <si>
    <t>,</t>
  </si>
  <si>
    <t>Entrega efectivo a roberto</t>
  </si>
  <si>
    <t>Ver si esta bien</t>
  </si>
  <si>
    <t>Ojo</t>
  </si>
  <si>
    <t>Flete</t>
  </si>
  <si>
    <t>mono fernando</t>
  </si>
  <si>
    <t>el monotributo se va a 14176</t>
  </si>
  <si>
    <t>TINA</t>
  </si>
  <si>
    <t>mono stlla</t>
  </si>
  <si>
    <t>monotributo hugo</t>
  </si>
  <si>
    <t xml:space="preserve">monotributo gabriel </t>
  </si>
  <si>
    <t>municiplaidad</t>
  </si>
  <si>
    <t>efect</t>
  </si>
  <si>
    <t>Monotributo altamirano</t>
  </si>
  <si>
    <t>Monotributo Niño y castillo</t>
  </si>
  <si>
    <t>Honorarios Jonathan</t>
  </si>
  <si>
    <t>Otros Honorarios diciembre</t>
  </si>
  <si>
    <t>Pago monotributo angeloni</t>
  </si>
  <si>
    <t xml:space="preserve">Helmer </t>
  </si>
  <si>
    <t>Monotributo Fede</t>
  </si>
  <si>
    <t>tel tarjeta</t>
  </si>
  <si>
    <t>mono xiomara</t>
  </si>
  <si>
    <t xml:space="preserve">Rodriguez </t>
  </si>
  <si>
    <t>monotributo sra</t>
  </si>
  <si>
    <t>mono de federico</t>
  </si>
  <si>
    <t>iva de marzo</t>
  </si>
  <si>
    <t>Monotributo Viviana</t>
  </si>
  <si>
    <t>Conv chara</t>
  </si>
  <si>
    <t>entrega a patry 31400 correspodiente al saldo hasta abril</t>
  </si>
  <si>
    <t>Monotributo fernanda</t>
  </si>
  <si>
    <t>Otros Honorarios Fer</t>
  </si>
  <si>
    <t>Munic urdinarrain</t>
  </si>
  <si>
    <t>Raffo Carlos Charlis</t>
  </si>
  <si>
    <t>Te deja 4400</t>
  </si>
  <si>
    <t>Mas lo de las leyes</t>
  </si>
  <si>
    <t>IVA/ Monotributo martinez</t>
  </si>
  <si>
    <t>Monotriuto albano</t>
  </si>
  <si>
    <t>Monotributo ponchi</t>
  </si>
  <si>
    <t>Cheque mando 2000</t>
  </si>
  <si>
    <t>Otros Imp Inmobiliario</t>
  </si>
  <si>
    <t>Monotributo empleado</t>
  </si>
  <si>
    <t>Leyes Sociales mono empleado</t>
  </si>
  <si>
    <t xml:space="preserve">Plus obra social </t>
  </si>
  <si>
    <t>Monotributo fernanda e ingresos brutos</t>
  </si>
  <si>
    <t>monotributo gabriel</t>
  </si>
  <si>
    <t>ezequil    10000+3500</t>
  </si>
  <si>
    <t>muni urdinarrain</t>
  </si>
  <si>
    <t>Mono niño y Castillo</t>
  </si>
  <si>
    <t>Mono Albano</t>
  </si>
  <si>
    <t>mono Marita</t>
  </si>
  <si>
    <t>mono vivi</t>
  </si>
  <si>
    <t>Otros empleada domestica</t>
  </si>
  <si>
    <t>mono carlos</t>
  </si>
  <si>
    <t>mono Charli</t>
  </si>
  <si>
    <t>paga carlos</t>
  </si>
  <si>
    <t>Haas Jose</t>
  </si>
  <si>
    <t>Otros Monotributo sra</t>
  </si>
  <si>
    <t>MONOTRIBUO HERNAN</t>
  </si>
  <si>
    <t>MONOTRIBUTO GABRIEL</t>
  </si>
  <si>
    <t>MONOTRIBURO GUSTAVO</t>
  </si>
  <si>
    <t>Leyes Sociales DOMESTICA FORN</t>
  </si>
  <si>
    <t>entrega 8,000 el 01/03</t>
  </si>
  <si>
    <t>ART</t>
  </si>
  <si>
    <t>Eze</t>
  </si>
  <si>
    <t>Sergio</t>
  </si>
  <si>
    <t>Monotributo de Santiago</t>
  </si>
  <si>
    <t>Monotributo de Carmen</t>
  </si>
  <si>
    <t>Marzo pago Carkis Padre lo de charli</t>
  </si>
  <si>
    <t>Abril pago charli</t>
  </si>
  <si>
    <t xml:space="preserve">Otros monotributo salomon </t>
  </si>
  <si>
    <t>Herman Ezequiel</t>
  </si>
  <si>
    <t>el 12/05</t>
  </si>
  <si>
    <t>informe ingresos</t>
  </si>
  <si>
    <t>Leyes Sociales domestica</t>
  </si>
  <si>
    <t xml:space="preserve">entrega 95 postes en marzo 2023 </t>
  </si>
  <si>
    <t>iva arreglo</t>
  </si>
  <si>
    <t>colegio veterinario</t>
  </si>
  <si>
    <t>desconto</t>
  </si>
  <si>
    <t>deja</t>
  </si>
  <si>
    <t>REPETTUR</t>
  </si>
  <si>
    <t>erico</t>
  </si>
  <si>
    <t>Erico</t>
  </si>
  <si>
    <t>Municipio san jose</t>
  </si>
  <si>
    <t>116500 faltan</t>
  </si>
  <si>
    <t>10/08 Extraccion</t>
  </si>
  <si>
    <t>monotributo Alan</t>
  </si>
  <si>
    <t>Municipalidad Alan</t>
  </si>
  <si>
    <t>Constitucion sociedad</t>
  </si>
  <si>
    <t>Erbes Silvio</t>
  </si>
  <si>
    <t>Areglar meses anteriores</t>
  </si>
  <si>
    <t>Celular</t>
  </si>
  <si>
    <t>domestica</t>
  </si>
  <si>
    <t>Schaff Nelson</t>
  </si>
  <si>
    <t>Transfirió 14/09</t>
  </si>
  <si>
    <t xml:space="preserve">Ganancias </t>
  </si>
  <si>
    <t>SUEL115500+115500+AUMENTO15000</t>
  </si>
  <si>
    <t>Monotributo salomon</t>
  </si>
  <si>
    <t>Otros monotributo sra</t>
  </si>
  <si>
    <t>iIIBB matias</t>
  </si>
  <si>
    <t>Honorarios flavia</t>
  </si>
  <si>
    <t>Honorarios Flavia</t>
  </si>
  <si>
    <t>Leyes Sociales empleada domes</t>
  </si>
  <si>
    <t>Municipalidad Alam</t>
  </si>
  <si>
    <t>Monotributo Alam</t>
  </si>
  <si>
    <t>otros dif municipalidad</t>
  </si>
  <si>
    <t xml:space="preserve">monotributo carmen </t>
  </si>
  <si>
    <t>monotributo santiago</t>
  </si>
  <si>
    <t xml:space="preserve">Otros Monotributo Sra </t>
  </si>
  <si>
    <t>Monotributo empleado casal</t>
  </si>
  <si>
    <t>Municipalidad Jonathan</t>
  </si>
  <si>
    <t>Honorarios sofi</t>
  </si>
  <si>
    <t>Honorarios Laura</t>
  </si>
  <si>
    <t>Ver si esta mas o menos bien los 57</t>
  </si>
  <si>
    <t>entrega a maxi</t>
  </si>
  <si>
    <t>monotributo salomon</t>
  </si>
  <si>
    <t>gas oil</t>
  </si>
  <si>
    <t>moha</t>
  </si>
  <si>
    <t>autonomo</t>
  </si>
  <si>
    <t>Monotributo Sra</t>
  </si>
  <si>
    <t>MARZO</t>
  </si>
  <si>
    <t>ABRIL</t>
  </si>
  <si>
    <t>pago rentas aguet</t>
  </si>
  <si>
    <t>cheque 300680</t>
  </si>
  <si>
    <t>Otros Ganancias Moratoria Renta</t>
  </si>
  <si>
    <t>Transferencia</t>
  </si>
  <si>
    <t>Portillo Daniela</t>
  </si>
  <si>
    <t>Moratoria Renta</t>
  </si>
  <si>
    <t>Cheque 1311736</t>
  </si>
  <si>
    <t>Entregue 32000 para la luz</t>
  </si>
  <si>
    <t>Entrego 30/05/2024</t>
  </si>
  <si>
    <t>100KG de moha</t>
  </si>
  <si>
    <t>Otros renta de Vero</t>
  </si>
  <si>
    <t>Leyes Sociales DOMESTICA</t>
  </si>
  <si>
    <t>Diferencia mes anteriores</t>
  </si>
  <si>
    <t>informe</t>
  </si>
  <si>
    <t>Entrega Moha</t>
  </si>
  <si>
    <t>Ver Cheque</t>
  </si>
  <si>
    <t>Entrego 41000 que era lo que estaba faltando a Mayo</t>
  </si>
  <si>
    <t>BENITEZ PABLO</t>
  </si>
  <si>
    <t xml:space="preserve">Cheque </t>
  </si>
  <si>
    <t>Bco Galicia</t>
  </si>
  <si>
    <t>Leyes Sociales Empleada domes</t>
  </si>
  <si>
    <t>Monotriburo rito</t>
  </si>
  <si>
    <t>municipalidad Sofi</t>
  </si>
  <si>
    <t>Pasada de rastron en los mogotes</t>
  </si>
  <si>
    <t>38Has/27,14= 1030</t>
  </si>
  <si>
    <t>1030000-200 listros gas oil= 830000</t>
  </si>
  <si>
    <t>800 Dolares a 1235</t>
  </si>
  <si>
    <t>Entrega Agosto 2024</t>
  </si>
  <si>
    <t>bonificado</t>
  </si>
  <si>
    <t>|</t>
  </si>
  <si>
    <t>llevo en efectivo</t>
  </si>
  <si>
    <t>Vacunacion</t>
  </si>
  <si>
    <t>Monotributo silviana Perez empleada</t>
  </si>
  <si>
    <t>Extraccion e.r.servicios</t>
  </si>
  <si>
    <t>37860 el 14/11</t>
  </si>
  <si>
    <t xml:space="preserve">Otros marca </t>
  </si>
  <si>
    <t>pago el 27/11/2024</t>
  </si>
  <si>
    <t>Por Extracción</t>
  </si>
  <si>
    <t>monotributo silvina perez empleada</t>
  </si>
  <si>
    <t>Cheque de Ronconi 200000+680000</t>
  </si>
  <si>
    <t>monotirbuto Empliado Rabina</t>
  </si>
  <si>
    <t>Otros Jubi</t>
  </si>
  <si>
    <t>Honorarios Joni</t>
  </si>
  <si>
    <t>dani: pagina.rodeo.motor</t>
  </si>
  <si>
    <t>Municipalidad colo</t>
  </si>
  <si>
    <t>Sofi</t>
  </si>
  <si>
    <t>Jona</t>
  </si>
  <si>
    <t>Laura</t>
  </si>
  <si>
    <t>monotributo isaurrelde</t>
  </si>
  <si>
    <t>Cheque 548428,57</t>
  </si>
  <si>
    <t xml:space="preserve">monot niño </t>
  </si>
  <si>
    <t>Monoti Castillo</t>
  </si>
  <si>
    <t>El resto transfiere</t>
  </si>
  <si>
    <t>Ganancias monotributo orcajo</t>
  </si>
  <si>
    <t>Monotributo de Corales</t>
  </si>
  <si>
    <t>moratoria</t>
  </si>
  <si>
    <t>200.000 trajo el 30/04</t>
  </si>
  <si>
    <t>monotributo Julian</t>
  </si>
  <si>
    <t>pago griselda</t>
  </si>
  <si>
    <t>Monotributo abel</t>
  </si>
  <si>
    <t xml:space="preserve">Monotributo </t>
  </si>
  <si>
    <t>Otros &gt;Monotributo de thiago</t>
  </si>
  <si>
    <t xml:space="preserve">Otros: </t>
  </si>
  <si>
    <t>Otros silvio</t>
  </si>
  <si>
    <t>monotributo bello</t>
  </si>
  <si>
    <t>Boujon Tomas</t>
  </si>
  <si>
    <t>colo trajo 261400 el 22/08</t>
  </si>
  <si>
    <t>Pago el 22/08</t>
  </si>
  <si>
    <t>Trtanf 22/08</t>
  </si>
  <si>
    <t>Sofi transf 20/08</t>
  </si>
  <si>
    <t xml:space="preserve">falta laura </t>
  </si>
  <si>
    <t>Tranf 26/12/2024</t>
  </si>
  <si>
    <t>200 a 1350</t>
  </si>
  <si>
    <t>sin mov</t>
  </si>
  <si>
    <t>Entrega el 02-09</t>
  </si>
  <si>
    <t>Ganancias adrian</t>
  </si>
  <si>
    <t xml:space="preserve">400 daolares </t>
  </si>
  <si>
    <t>a 1400</t>
  </si>
  <si>
    <t>monotributo y seguro murguia Araceli</t>
  </si>
  <si>
    <t xml:space="preserve">Honorarios </t>
  </si>
  <si>
    <t xml:space="preserve">marca </t>
  </si>
  <si>
    <t>monotributo Barreto</t>
  </si>
  <si>
    <t>20-36</t>
  </si>
  <si>
    <t>entrego el lunes 27/10 200000</t>
  </si>
  <si>
    <t>Faltaba anotar lo de octubre</t>
  </si>
  <si>
    <t xml:space="preserve">                                                                                             </t>
  </si>
  <si>
    <t>Corales Alberto</t>
  </si>
  <si>
    <t>Cheque colo</t>
  </si>
  <si>
    <t>Entrego el 01/12</t>
  </si>
  <si>
    <t>Cheque a 1-26</t>
  </si>
  <si>
    <t>javier</t>
  </si>
  <si>
    <t>Otros Inmobiliario</t>
  </si>
  <si>
    <t>Cheque 2902000</t>
  </si>
  <si>
    <t>dep baco e rios</t>
  </si>
  <si>
    <t>mono de Ara</t>
  </si>
  <si>
    <t>Entrego 20000</t>
  </si>
  <si>
    <t>Cheque de Roberto</t>
  </si>
  <si>
    <t>Monotributo orcajo</t>
  </si>
  <si>
    <t>Renta Fernanda</t>
  </si>
  <si>
    <t>Monotributo Ernesto</t>
  </si>
  <si>
    <t>monotributo rabina</t>
  </si>
  <si>
    <t>monotributo Corales</t>
  </si>
  <si>
    <t>Monotributo Barreto</t>
  </si>
  <si>
    <t>monotributo abel</t>
  </si>
  <si>
    <t>VUELVE EN MARZO</t>
  </si>
  <si>
    <t>ENTREGA</t>
  </si>
  <si>
    <t>Monotributo laura recategorización</t>
  </si>
  <si>
    <t>Adrian</t>
  </si>
  <si>
    <t>400 dolares a 1450</t>
  </si>
  <si>
    <t>300 Euros a 1685</t>
  </si>
  <si>
    <t>impuesto inmobiliario</t>
  </si>
  <si>
    <t>prestamo</t>
  </si>
  <si>
    <t>Entrega el 05/03</t>
  </si>
  <si>
    <t>Otros monotributo Franco Lozano</t>
  </si>
  <si>
    <t>Otros Saldo PATENTES</t>
  </si>
  <si>
    <t>Monotributo izaguirre</t>
  </si>
  <si>
    <t>Monotributo caetano</t>
  </si>
  <si>
    <t>Vep</t>
  </si>
  <si>
    <t>Leyes Sociales mono schwindt</t>
  </si>
  <si>
    <t>patente automotor</t>
  </si>
  <si>
    <t>26000 Cpra</t>
  </si>
  <si>
    <t xml:space="preserve"> Rentas</t>
  </si>
  <si>
    <t>monotributo luisana</t>
  </si>
  <si>
    <t xml:space="preserve">pagado por </t>
  </si>
  <si>
    <t>Adelantado</t>
  </si>
  <si>
    <t>100 Dolares</t>
  </si>
  <si>
    <t>monoributo victoria</t>
  </si>
  <si>
    <t>monotributo hector</t>
  </si>
  <si>
    <t>Hornus Victoria y hector</t>
  </si>
  <si>
    <t>Rito</t>
  </si>
  <si>
    <t>Pago hasta septiembre</t>
  </si>
  <si>
    <t>Sellado</t>
  </si>
  <si>
    <t>marce eliseo</t>
  </si>
  <si>
    <t>monotributo victoria</t>
  </si>
  <si>
    <t>pago monotributo 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</si>
</sst>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##\-########\-#"/>
    <numFmt numFmtId="167" formatCode="&quot;$&quot;\ #,##0.00"/>
    <numFmt numFmtId="168" formatCode="&quot;$&quot;#,##0.00"/>
  </numFmts>
  <fonts count="34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sz val="16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22"/>
      <color indexed="12"/>
      <name val="Arial"/>
      <family val="2"/>
    </font>
    <font>
      <sz val="12"/>
      <name val="Arial"/>
      <family val="2"/>
    </font>
    <font>
      <u/>
      <sz val="12"/>
      <color indexed="12"/>
      <name val="Arial"/>
      <family val="2"/>
    </font>
    <font>
      <sz val="20"/>
      <name val="Arial"/>
      <family val="2"/>
    </font>
    <font>
      <u/>
      <sz val="16"/>
      <name val="Arial"/>
      <family val="2"/>
    </font>
    <font>
      <u/>
      <sz val="20"/>
      <color indexed="12"/>
      <name val="Arial"/>
      <family val="2"/>
    </font>
    <font>
      <u/>
      <sz val="26"/>
      <color indexed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u/>
      <sz val="12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u/>
      <sz val="11"/>
      <name val="Arial"/>
      <family val="2"/>
    </font>
    <font>
      <u/>
      <sz val="11"/>
      <color indexed="12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1" xfId="2" applyFont="1" applyBorder="1"/>
    <xf numFmtId="0" fontId="3" fillId="0" borderId="1" xfId="0" applyFont="1" applyBorder="1"/>
    <xf numFmtId="17" fontId="2" fillId="0" borderId="2" xfId="0" applyNumberFormat="1" applyFont="1" applyBorder="1"/>
    <xf numFmtId="0" fontId="3" fillId="0" borderId="2" xfId="0" applyFont="1" applyBorder="1"/>
    <xf numFmtId="0" fontId="6" fillId="0" borderId="0" xfId="1" applyFont="1" applyAlignment="1" applyProtection="1"/>
    <xf numFmtId="0" fontId="7" fillId="0" borderId="0" xfId="0" applyFont="1"/>
    <xf numFmtId="0" fontId="8" fillId="0" borderId="0" xfId="1" applyFont="1" applyAlignment="1" applyProtection="1"/>
    <xf numFmtId="0" fontId="9" fillId="0" borderId="0" xfId="0" applyFont="1"/>
    <xf numFmtId="0" fontId="10" fillId="0" borderId="0" xfId="0" applyFont="1" applyAlignment="1">
      <alignment horizontal="right"/>
    </xf>
    <xf numFmtId="0" fontId="5" fillId="0" borderId="0" xfId="1" applyAlignment="1" applyProtection="1"/>
    <xf numFmtId="0" fontId="11" fillId="0" borderId="0" xfId="1" applyFont="1" applyAlignment="1" applyProtection="1"/>
    <xf numFmtId="0" fontId="12" fillId="0" borderId="0" xfId="1" applyFont="1" applyAlignment="1" applyProtection="1"/>
    <xf numFmtId="17" fontId="13" fillId="0" borderId="2" xfId="0" applyNumberFormat="1" applyFont="1" applyBorder="1"/>
    <xf numFmtId="165" fontId="7" fillId="0" borderId="1" xfId="2" applyFont="1" applyBorder="1"/>
    <xf numFmtId="0" fontId="15" fillId="0" borderId="0" xfId="0" applyFont="1"/>
    <xf numFmtId="17" fontId="16" fillId="0" borderId="2" xfId="0" applyNumberFormat="1" applyFont="1" applyBorder="1"/>
    <xf numFmtId="0" fontId="15" fillId="0" borderId="2" xfId="0" applyFont="1" applyBorder="1"/>
    <xf numFmtId="165" fontId="15" fillId="0" borderId="1" xfId="2" applyFont="1" applyBorder="1"/>
    <xf numFmtId="0" fontId="15" fillId="0" borderId="1" xfId="0" applyFont="1" applyBorder="1"/>
    <xf numFmtId="165" fontId="7" fillId="0" borderId="2" xfId="2" applyFont="1" applyBorder="1"/>
    <xf numFmtId="165" fontId="7" fillId="0" borderId="0" xfId="2" applyFont="1"/>
    <xf numFmtId="165" fontId="15" fillId="0" borderId="1" xfId="0" applyNumberFormat="1" applyFont="1" applyBorder="1"/>
    <xf numFmtId="165" fontId="3" fillId="0" borderId="0" xfId="2" applyFont="1" applyBorder="1"/>
    <xf numFmtId="2" fontId="15" fillId="0" borderId="1" xfId="2" applyNumberFormat="1" applyFont="1" applyBorder="1"/>
    <xf numFmtId="165" fontId="16" fillId="0" borderId="2" xfId="0" applyNumberFormat="1" applyFont="1" applyBorder="1"/>
    <xf numFmtId="165" fontId="17" fillId="0" borderId="2" xfId="2" applyFont="1" applyBorder="1"/>
    <xf numFmtId="165" fontId="17" fillId="0" borderId="1" xfId="2" applyFont="1" applyBorder="1"/>
    <xf numFmtId="165" fontId="17" fillId="0" borderId="0" xfId="2" applyFont="1"/>
    <xf numFmtId="0" fontId="13" fillId="0" borderId="0" xfId="0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" fontId="13" fillId="0" borderId="2" xfId="0" applyNumberFormat="1" applyFont="1" applyBorder="1" applyAlignment="1">
      <alignment horizontal="center"/>
    </xf>
    <xf numFmtId="165" fontId="17" fillId="0" borderId="3" xfId="2" applyFont="1" applyBorder="1"/>
    <xf numFmtId="165" fontId="17" fillId="0" borderId="4" xfId="2" applyFont="1" applyBorder="1"/>
    <xf numFmtId="165" fontId="17" fillId="0" borderId="5" xfId="2" applyFont="1" applyBorder="1"/>
    <xf numFmtId="0" fontId="3" fillId="0" borderId="0" xfId="0" applyFont="1" applyBorder="1"/>
    <xf numFmtId="0" fontId="3" fillId="0" borderId="0" xfId="0" applyFont="1" applyAlignment="1"/>
    <xf numFmtId="0" fontId="7" fillId="0" borderId="0" xfId="0" applyFont="1" applyFill="1" applyBorder="1"/>
    <xf numFmtId="165" fontId="7" fillId="2" borderId="2" xfId="2" applyFont="1" applyFill="1" applyBorder="1"/>
    <xf numFmtId="165" fontId="19" fillId="0" borderId="2" xfId="2" applyFont="1" applyBorder="1"/>
    <xf numFmtId="165" fontId="19" fillId="0" borderId="1" xfId="2" applyFont="1" applyBorder="1"/>
    <xf numFmtId="165" fontId="19" fillId="0" borderId="0" xfId="2" applyFont="1"/>
    <xf numFmtId="165" fontId="19" fillId="0" borderId="3" xfId="2" applyFont="1" applyBorder="1"/>
    <xf numFmtId="165" fontId="19" fillId="0" borderId="4" xfId="2" applyFont="1" applyBorder="1"/>
    <xf numFmtId="165" fontId="19" fillId="0" borderId="5" xfId="2" applyFont="1" applyBorder="1"/>
    <xf numFmtId="0" fontId="14" fillId="0" borderId="0" xfId="0" applyFont="1" applyFill="1" applyBorder="1"/>
    <xf numFmtId="0" fontId="20" fillId="0" borderId="0" xfId="0" applyFont="1"/>
    <xf numFmtId="0" fontId="21" fillId="0" borderId="0" xfId="0" applyFont="1"/>
    <xf numFmtId="165" fontId="17" fillId="0" borderId="0" xfId="2" applyFont="1" applyFill="1" applyBorder="1"/>
    <xf numFmtId="2" fontId="3" fillId="0" borderId="0" xfId="0" applyNumberFormat="1" applyFont="1"/>
    <xf numFmtId="2" fontId="3" fillId="0" borderId="6" xfId="0" applyNumberFormat="1" applyFont="1" applyBorder="1"/>
    <xf numFmtId="0" fontId="2" fillId="0" borderId="0" xfId="0" applyFont="1" applyBorder="1"/>
    <xf numFmtId="165" fontId="0" fillId="0" borderId="0" xfId="0" applyNumberFormat="1"/>
    <xf numFmtId="165" fontId="17" fillId="0" borderId="7" xfId="2" applyFont="1" applyFill="1" applyBorder="1"/>
    <xf numFmtId="1" fontId="3" fillId="0" borderId="0" xfId="0" applyNumberFormat="1" applyFont="1"/>
    <xf numFmtId="165" fontId="7" fillId="0" borderId="0" xfId="2" applyFont="1" applyBorder="1"/>
    <xf numFmtId="17" fontId="0" fillId="0" borderId="0" xfId="0" applyNumberFormat="1"/>
    <xf numFmtId="0" fontId="4" fillId="0" borderId="0" xfId="0" applyFont="1"/>
    <xf numFmtId="0" fontId="22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right"/>
    </xf>
    <xf numFmtId="0" fontId="27" fillId="0" borderId="0" xfId="0" applyFont="1"/>
    <xf numFmtId="17" fontId="27" fillId="0" borderId="2" xfId="0" applyNumberFormat="1" applyFont="1" applyBorder="1"/>
    <xf numFmtId="165" fontId="25" fillId="0" borderId="2" xfId="2" applyFont="1" applyBorder="1"/>
    <xf numFmtId="165" fontId="25" fillId="0" borderId="1" xfId="2" applyFont="1" applyBorder="1"/>
    <xf numFmtId="165" fontId="25" fillId="0" borderId="0" xfId="2" applyFont="1"/>
    <xf numFmtId="0" fontId="2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7" fontId="27" fillId="0" borderId="2" xfId="0" applyNumberFormat="1" applyFont="1" applyBorder="1" applyAlignment="1">
      <alignment horizontal="center"/>
    </xf>
    <xf numFmtId="165" fontId="25" fillId="0" borderId="3" xfId="2" applyFont="1" applyBorder="1"/>
    <xf numFmtId="165" fontId="25" fillId="0" borderId="4" xfId="2" applyFont="1" applyBorder="1"/>
    <xf numFmtId="165" fontId="25" fillId="0" borderId="5" xfId="2" applyFont="1" applyBorder="1"/>
    <xf numFmtId="0" fontId="19" fillId="0" borderId="0" xfId="0" applyFont="1"/>
    <xf numFmtId="17" fontId="21" fillId="0" borderId="2" xfId="0" applyNumberFormat="1" applyFont="1" applyBorder="1"/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7" fontId="21" fillId="0" borderId="2" xfId="0" applyNumberFormat="1" applyFont="1" applyBorder="1" applyAlignment="1">
      <alignment horizontal="center"/>
    </xf>
    <xf numFmtId="0" fontId="28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9" fillId="0" borderId="2" xfId="0" applyFont="1" applyBorder="1"/>
    <xf numFmtId="165" fontId="25" fillId="0" borderId="0" xfId="2" applyFont="1" applyBorder="1"/>
    <xf numFmtId="165" fontId="24" fillId="0" borderId="2" xfId="2" applyFont="1" applyBorder="1"/>
    <xf numFmtId="165" fontId="24" fillId="0" borderId="1" xfId="2" applyFont="1" applyBorder="1"/>
    <xf numFmtId="165" fontId="24" fillId="0" borderId="0" xfId="2" applyFont="1"/>
    <xf numFmtId="165" fontId="19" fillId="0" borderId="0" xfId="2" applyFont="1" applyBorder="1"/>
    <xf numFmtId="2" fontId="19" fillId="0" borderId="0" xfId="0" applyNumberFormat="1" applyFont="1"/>
    <xf numFmtId="0" fontId="23" fillId="0" borderId="0" xfId="0" applyFont="1"/>
    <xf numFmtId="17" fontId="23" fillId="0" borderId="2" xfId="0" applyNumberFormat="1" applyFont="1" applyBorder="1"/>
    <xf numFmtId="165" fontId="4" fillId="0" borderId="2" xfId="2" applyFont="1" applyBorder="1"/>
    <xf numFmtId="165" fontId="4" fillId="0" borderId="1" xfId="2" applyFont="1" applyBorder="1"/>
    <xf numFmtId="165" fontId="4" fillId="0" borderId="0" xfId="2" applyFont="1"/>
    <xf numFmtId="17" fontId="23" fillId="0" borderId="2" xfId="0" applyNumberFormat="1" applyFont="1" applyBorder="1" applyAlignment="1">
      <alignment horizontal="center"/>
    </xf>
    <xf numFmtId="165" fontId="4" fillId="0" borderId="3" xfId="2" applyFont="1" applyBorder="1"/>
    <xf numFmtId="165" fontId="4" fillId="0" borderId="4" xfId="2" applyFont="1" applyBorder="1"/>
    <xf numFmtId="165" fontId="4" fillId="0" borderId="5" xfId="2" applyFont="1" applyBorder="1"/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29" fillId="0" borderId="0" xfId="0" applyFont="1"/>
    <xf numFmtId="17" fontId="29" fillId="0" borderId="2" xfId="0" applyNumberFormat="1" applyFont="1" applyBorder="1"/>
    <xf numFmtId="2" fontId="0" fillId="0" borderId="0" xfId="0" applyNumberFormat="1"/>
    <xf numFmtId="165" fontId="19" fillId="0" borderId="0" xfId="2" applyFont="1" applyFill="1" applyBorder="1"/>
    <xf numFmtId="2" fontId="4" fillId="0" borderId="0" xfId="0" applyNumberFormat="1" applyFont="1"/>
    <xf numFmtId="165" fontId="3" fillId="0" borderId="0" xfId="0" applyNumberFormat="1" applyFont="1"/>
    <xf numFmtId="165" fontId="19" fillId="3" borderId="2" xfId="2" applyFont="1" applyFill="1" applyBorder="1"/>
    <xf numFmtId="0" fontId="3" fillId="4" borderId="0" xfId="0" applyFont="1" applyFill="1"/>
    <xf numFmtId="165" fontId="7" fillId="0" borderId="3" xfId="2" applyFont="1" applyBorder="1"/>
    <xf numFmtId="165" fontId="7" fillId="0" borderId="4" xfId="2" applyFont="1" applyBorder="1"/>
    <xf numFmtId="2" fontId="19" fillId="0" borderId="2" xfId="0" applyNumberFormat="1" applyFont="1" applyBorder="1"/>
    <xf numFmtId="165" fontId="19" fillId="0" borderId="1" xfId="0" applyNumberFormat="1" applyFont="1" applyBorder="1"/>
    <xf numFmtId="0" fontId="4" fillId="0" borderId="2" xfId="0" applyFont="1" applyBorder="1"/>
    <xf numFmtId="165" fontId="4" fillId="0" borderId="8" xfId="2" applyFont="1" applyBorder="1"/>
    <xf numFmtId="165" fontId="19" fillId="0" borderId="2" xfId="2" applyFont="1" applyBorder="1" applyAlignment="1">
      <alignment horizontal="center"/>
    </xf>
    <xf numFmtId="165" fontId="19" fillId="0" borderId="2" xfId="2" applyFont="1" applyBorder="1" applyAlignment="1">
      <alignment horizontal="right"/>
    </xf>
    <xf numFmtId="0" fontId="16" fillId="0" borderId="0" xfId="0" applyFont="1"/>
    <xf numFmtId="165" fontId="24" fillId="0" borderId="3" xfId="2" applyFont="1" applyBorder="1"/>
    <xf numFmtId="165" fontId="24" fillId="0" borderId="4" xfId="2" applyFont="1" applyBorder="1"/>
    <xf numFmtId="165" fontId="24" fillId="0" borderId="5" xfId="2" applyFont="1" applyBorder="1"/>
    <xf numFmtId="165" fontId="4" fillId="0" borderId="0" xfId="0" applyNumberFormat="1" applyFont="1"/>
    <xf numFmtId="0" fontId="0" fillId="4" borderId="0" xfId="0" applyFill="1"/>
    <xf numFmtId="16" fontId="3" fillId="0" borderId="0" xfId="0" applyNumberFormat="1" applyFont="1"/>
    <xf numFmtId="165" fontId="19" fillId="0" borderId="9" xfId="2" applyFont="1" applyFill="1" applyBorder="1"/>
    <xf numFmtId="165" fontId="24" fillId="0" borderId="9" xfId="2" applyFont="1" applyFill="1" applyBorder="1"/>
    <xf numFmtId="16" fontId="0" fillId="0" borderId="0" xfId="0" applyNumberFormat="1"/>
    <xf numFmtId="165" fontId="19" fillId="4" borderId="0" xfId="2" applyFont="1" applyFill="1" applyBorder="1"/>
    <xf numFmtId="165" fontId="19" fillId="5" borderId="2" xfId="2" applyFont="1" applyFill="1" applyBorder="1"/>
    <xf numFmtId="0" fontId="32" fillId="0" borderId="0" xfId="1" applyFont="1" applyAlignment="1" applyProtection="1"/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7" fontId="29" fillId="0" borderId="2" xfId="0" applyNumberFormat="1" applyFont="1" applyBorder="1" applyAlignment="1">
      <alignment horizontal="center"/>
    </xf>
    <xf numFmtId="165" fontId="19" fillId="0" borderId="2" xfId="2" quotePrefix="1" applyFont="1" applyBorder="1"/>
    <xf numFmtId="17" fontId="21" fillId="0" borderId="8" xfId="0" applyNumberFormat="1" applyFont="1" applyBorder="1" applyAlignment="1">
      <alignment horizontal="center"/>
    </xf>
    <xf numFmtId="165" fontId="19" fillId="0" borderId="8" xfId="2" applyFont="1" applyBorder="1"/>
    <xf numFmtId="0" fontId="19" fillId="0" borderId="10" xfId="0" applyFont="1" applyBorder="1" applyAlignment="1">
      <alignment horizontal="center"/>
    </xf>
    <xf numFmtId="0" fontId="19" fillId="0" borderId="9" xfId="0" applyFont="1" applyBorder="1"/>
    <xf numFmtId="0" fontId="19" fillId="0" borderId="11" xfId="0" applyFont="1" applyBorder="1"/>
    <xf numFmtId="165" fontId="19" fillId="0" borderId="12" xfId="2" applyFont="1" applyBorder="1"/>
    <xf numFmtId="165" fontId="19" fillId="0" borderId="13" xfId="2" applyFont="1" applyBorder="1"/>
    <xf numFmtId="165" fontId="19" fillId="0" borderId="14" xfId="2" applyFont="1" applyBorder="1"/>
    <xf numFmtId="165" fontId="19" fillId="0" borderId="15" xfId="2" applyFont="1" applyBorder="1"/>
    <xf numFmtId="165" fontId="19" fillId="0" borderId="16" xfId="2" applyFont="1" applyBorder="1"/>
    <xf numFmtId="165" fontId="19" fillId="0" borderId="17" xfId="2" applyFont="1" applyBorder="1"/>
    <xf numFmtId="0" fontId="13" fillId="0" borderId="0" xfId="0" applyFont="1" applyBorder="1"/>
    <xf numFmtId="0" fontId="7" fillId="0" borderId="0" xfId="0" applyFont="1" applyBorder="1"/>
    <xf numFmtId="16" fontId="19" fillId="0" borderId="0" xfId="0" applyNumberFormat="1" applyFont="1"/>
    <xf numFmtId="165" fontId="19" fillId="2" borderId="2" xfId="2" applyFont="1" applyFill="1" applyBorder="1"/>
    <xf numFmtId="0" fontId="0" fillId="0" borderId="2" xfId="0" applyBorder="1"/>
    <xf numFmtId="0" fontId="19" fillId="0" borderId="0" xfId="0" applyFont="1" applyFill="1" applyBorder="1"/>
    <xf numFmtId="165" fontId="19" fillId="4" borderId="0" xfId="2" applyFont="1" applyFill="1"/>
    <xf numFmtId="0" fontId="0" fillId="5" borderId="0" xfId="0" applyFill="1"/>
    <xf numFmtId="165" fontId="33" fillId="0" borderId="2" xfId="2" applyFont="1" applyBorder="1"/>
    <xf numFmtId="165" fontId="19" fillId="0" borderId="2" xfId="0" applyNumberFormat="1" applyFont="1" applyBorder="1"/>
    <xf numFmtId="165" fontId="25" fillId="0" borderId="9" xfId="2" applyFont="1" applyFill="1" applyBorder="1"/>
    <xf numFmtId="165" fontId="33" fillId="0" borderId="0" xfId="2" applyFont="1"/>
    <xf numFmtId="0" fontId="33" fillId="0" borderId="0" xfId="0" applyFont="1"/>
    <xf numFmtId="165" fontId="25" fillId="2" borderId="2" xfId="2" applyFont="1" applyFill="1" applyBorder="1"/>
    <xf numFmtId="165" fontId="19" fillId="0" borderId="3" xfId="2" applyFont="1" applyBorder="1" applyAlignment="1"/>
    <xf numFmtId="0" fontId="27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17" fontId="27" fillId="0" borderId="0" xfId="0" applyNumberFormat="1" applyFont="1" applyBorder="1" applyAlignment="1">
      <alignment horizontal="center"/>
    </xf>
    <xf numFmtId="0" fontId="25" fillId="0" borderId="0" xfId="0" applyFont="1" applyBorder="1"/>
    <xf numFmtId="165" fontId="19" fillId="0" borderId="2" xfId="2" applyFont="1" applyBorder="1" applyAlignment="1">
      <alignment horizontal="left" indent="1"/>
    </xf>
    <xf numFmtId="0" fontId="0" fillId="0" borderId="18" xfId="0" applyBorder="1"/>
    <xf numFmtId="165" fontId="19" fillId="0" borderId="7" xfId="2" applyFont="1" applyBorder="1"/>
    <xf numFmtId="165" fontId="19" fillId="0" borderId="19" xfId="2" applyFont="1" applyBorder="1"/>
    <xf numFmtId="0" fontId="19" fillId="0" borderId="0" xfId="0" applyFont="1" applyBorder="1"/>
    <xf numFmtId="17" fontId="21" fillId="0" borderId="0" xfId="0" applyNumberFormat="1" applyFont="1" applyBorder="1"/>
    <xf numFmtId="17" fontId="13" fillId="0" borderId="0" xfId="0" applyNumberFormat="1" applyFont="1" applyBorder="1"/>
    <xf numFmtId="16" fontId="3" fillId="0" borderId="0" xfId="0" applyNumberFormat="1" applyFont="1" applyBorder="1"/>
    <xf numFmtId="164" fontId="0" fillId="0" borderId="0" xfId="0" applyNumberFormat="1"/>
    <xf numFmtId="165" fontId="7" fillId="0" borderId="0" xfId="2" applyFont="1" applyFill="1" applyBorder="1"/>
    <xf numFmtId="0" fontId="4" fillId="0" borderId="0" xfId="0" applyFont="1" applyAlignment="1">
      <alignment horizontal="right"/>
    </xf>
    <xf numFmtId="167" fontId="0" fillId="0" borderId="0" xfId="0" applyNumberFormat="1"/>
    <xf numFmtId="0" fontId="25" fillId="0" borderId="0" xfId="0" applyFont="1" applyAlignment="1">
      <alignment horizontal="right"/>
    </xf>
    <xf numFmtId="14" fontId="0" fillId="0" borderId="0" xfId="0" applyNumberFormat="1"/>
    <xf numFmtId="164" fontId="3" fillId="0" borderId="0" xfId="3" applyFont="1"/>
    <xf numFmtId="164" fontId="3" fillId="0" borderId="0" xfId="0" applyNumberFormat="1" applyFont="1"/>
    <xf numFmtId="16" fontId="25" fillId="0" borderId="0" xfId="0" applyNumberFormat="1" applyFont="1"/>
    <xf numFmtId="16" fontId="25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6" fontId="19" fillId="0" borderId="2" xfId="0" applyNumberFormat="1" applyFont="1" applyBorder="1" applyAlignment="1">
      <alignment horizontal="center" vertical="top"/>
    </xf>
    <xf numFmtId="0" fontId="3" fillId="5" borderId="0" xfId="0" applyFont="1" applyFill="1"/>
    <xf numFmtId="16" fontId="0" fillId="0" borderId="2" xfId="0" applyNumberFormat="1" applyBorder="1"/>
    <xf numFmtId="164" fontId="23" fillId="0" borderId="2" xfId="0" applyNumberFormat="1" applyFont="1" applyBorder="1"/>
    <xf numFmtId="164" fontId="4" fillId="0" borderId="2" xfId="0" applyNumberFormat="1" applyFont="1" applyBorder="1"/>
    <xf numFmtId="164" fontId="4" fillId="0" borderId="1" xfId="2" applyNumberFormat="1" applyFont="1" applyBorder="1"/>
    <xf numFmtId="164" fontId="4" fillId="0" borderId="0" xfId="0" applyNumberFormat="1" applyFont="1"/>
    <xf numFmtId="164" fontId="25" fillId="0" borderId="2" xfId="0" applyNumberFormat="1" applyFont="1" applyBorder="1"/>
    <xf numFmtId="0" fontId="25" fillId="0" borderId="0" xfId="0" applyFont="1" applyFill="1" applyBorder="1"/>
    <xf numFmtId="168" fontId="0" fillId="0" borderId="0" xfId="0" applyNumberFormat="1"/>
    <xf numFmtId="164" fontId="0" fillId="0" borderId="0" xfId="3" applyFont="1"/>
    <xf numFmtId="166" fontId="19" fillId="5" borderId="2" xfId="0" applyNumberFormat="1" applyFont="1" applyFill="1" applyBorder="1" applyAlignment="1">
      <alignment horizontal="center" vertical="top"/>
    </xf>
    <xf numFmtId="2" fontId="3" fillId="4" borderId="0" xfId="0" applyNumberFormat="1" applyFont="1" applyFill="1"/>
    <xf numFmtId="165" fontId="25" fillId="5" borderId="2" xfId="2" applyFont="1" applyFill="1" applyBorder="1"/>
    <xf numFmtId="165" fontId="4" fillId="0" borderId="2" xfId="2" applyFont="1" applyBorder="1" applyAlignment="1">
      <alignment horizontal="center"/>
    </xf>
    <xf numFmtId="43" fontId="19" fillId="5" borderId="2" xfId="0" applyNumberFormat="1" applyFont="1" applyFill="1" applyBorder="1" applyAlignment="1">
      <alignment horizontal="right" vertical="top"/>
    </xf>
    <xf numFmtId="0" fontId="19" fillId="4" borderId="0" xfId="0" applyFont="1" applyFill="1"/>
    <xf numFmtId="165" fontId="25" fillId="4" borderId="0" xfId="2" applyFont="1" applyFill="1"/>
    <xf numFmtId="168" fontId="0" fillId="4" borderId="0" xfId="0" applyNumberFormat="1" applyFill="1"/>
    <xf numFmtId="165" fontId="25" fillId="0" borderId="2" xfId="2" applyFont="1" applyBorder="1" applyAlignment="1">
      <alignment horizontal="center"/>
    </xf>
    <xf numFmtId="44" fontId="0" fillId="0" borderId="0" xfId="0" applyNumberFormat="1"/>
    <xf numFmtId="43" fontId="0" fillId="0" borderId="0" xfId="0" applyNumberFormat="1"/>
    <xf numFmtId="14" fontId="4" fillId="0" borderId="0" xfId="2" applyNumberFormat="1" applyFont="1" applyBorder="1"/>
    <xf numFmtId="0" fontId="25" fillId="0" borderId="4" xfId="2" applyNumberFormat="1" applyFont="1" applyBorder="1"/>
    <xf numFmtId="165" fontId="4" fillId="0" borderId="14" xfId="2" applyFont="1" applyBorder="1"/>
    <xf numFmtId="165" fontId="4" fillId="0" borderId="7" xfId="2" applyFont="1" applyBorder="1"/>
    <xf numFmtId="165" fontId="4" fillId="0" borderId="19" xfId="2" applyFont="1" applyBorder="1"/>
    <xf numFmtId="44" fontId="19" fillId="0" borderId="0" xfId="0" applyNumberFormat="1" applyFont="1"/>
    <xf numFmtId="17" fontId="27" fillId="0" borderId="14" xfId="0" applyNumberFormat="1" applyFont="1" applyBorder="1"/>
    <xf numFmtId="165" fontId="25" fillId="0" borderId="14" xfId="2" applyFont="1" applyBorder="1"/>
    <xf numFmtId="165" fontId="25" fillId="4" borderId="14" xfId="2" applyFont="1" applyFill="1" applyBorder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worksheet" Target="worksheets/sheet197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sharedStrings" Target="sharedString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calcChain" Target="calcChain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87"/>
  <sheetViews>
    <sheetView showGridLines="0" tabSelected="1" workbookViewId="0">
      <selection activeCell="B3" sqref="B3"/>
    </sheetView>
  </sheetViews>
  <sheetFormatPr baseColWidth="10" defaultRowHeight="15" x14ac:dyDescent="0.2"/>
  <cols>
    <col min="1" max="16384" width="11.42578125" style="8"/>
  </cols>
  <sheetData>
    <row r="1" spans="1:2" ht="25.5" x14ac:dyDescent="0.35">
      <c r="A1" s="10" t="s">
        <v>72</v>
      </c>
    </row>
    <row r="3" spans="1:2" x14ac:dyDescent="0.2">
      <c r="A3" s="8">
        <v>1</v>
      </c>
      <c r="B3" s="9" t="s">
        <v>30</v>
      </c>
    </row>
    <row r="4" spans="1:2" x14ac:dyDescent="0.2">
      <c r="A4" s="8">
        <v>2</v>
      </c>
      <c r="B4" s="8" t="s">
        <v>13</v>
      </c>
    </row>
    <row r="5" spans="1:2" x14ac:dyDescent="0.2">
      <c r="A5" s="8">
        <v>3</v>
      </c>
      <c r="B5" s="9" t="s">
        <v>12</v>
      </c>
    </row>
    <row r="6" spans="1:2" x14ac:dyDescent="0.2">
      <c r="A6" s="8">
        <v>4</v>
      </c>
      <c r="B6" s="9" t="s">
        <v>78</v>
      </c>
    </row>
    <row r="7" spans="1:2" x14ac:dyDescent="0.2">
      <c r="A7" s="8">
        <v>5</v>
      </c>
      <c r="B7" s="8" t="s">
        <v>14</v>
      </c>
    </row>
    <row r="8" spans="1:2" x14ac:dyDescent="0.2">
      <c r="A8" s="8">
        <v>6</v>
      </c>
      <c r="B8" s="8" t="s">
        <v>15</v>
      </c>
    </row>
    <row r="9" spans="1:2" x14ac:dyDescent="0.2">
      <c r="A9" s="8">
        <v>7</v>
      </c>
      <c r="B9" s="8" t="s">
        <v>16</v>
      </c>
    </row>
    <row r="10" spans="1:2" x14ac:dyDescent="0.2">
      <c r="A10" s="8">
        <v>8</v>
      </c>
      <c r="B10" s="8" t="s">
        <v>79</v>
      </c>
    </row>
    <row r="11" spans="1:2" x14ac:dyDescent="0.2">
      <c r="A11" s="8">
        <v>9</v>
      </c>
      <c r="B11" s="8" t="s">
        <v>17</v>
      </c>
    </row>
    <row r="12" spans="1:2" x14ac:dyDescent="0.2">
      <c r="A12" s="8">
        <v>10</v>
      </c>
      <c r="B12" s="8" t="s">
        <v>18</v>
      </c>
    </row>
    <row r="13" spans="1:2" x14ac:dyDescent="0.2">
      <c r="A13" s="8">
        <v>11</v>
      </c>
      <c r="B13" s="8" t="s">
        <v>81</v>
      </c>
    </row>
    <row r="14" spans="1:2" x14ac:dyDescent="0.2">
      <c r="A14" s="8">
        <v>12</v>
      </c>
      <c r="B14" s="8" t="s">
        <v>80</v>
      </c>
    </row>
    <row r="15" spans="1:2" x14ac:dyDescent="0.2">
      <c r="A15" s="8">
        <v>13</v>
      </c>
      <c r="B15" s="8" t="s">
        <v>82</v>
      </c>
    </row>
    <row r="16" spans="1:2" x14ac:dyDescent="0.2">
      <c r="A16" s="8">
        <v>14</v>
      </c>
      <c r="B16" s="8" t="s">
        <v>31</v>
      </c>
    </row>
    <row r="17" spans="1:2" x14ac:dyDescent="0.2">
      <c r="A17" s="8">
        <v>15</v>
      </c>
      <c r="B17" s="8" t="s">
        <v>32</v>
      </c>
    </row>
    <row r="18" spans="1:2" x14ac:dyDescent="0.2">
      <c r="A18" s="8">
        <v>16</v>
      </c>
      <c r="B18" s="8" t="s">
        <v>33</v>
      </c>
    </row>
    <row r="19" spans="1:2" x14ac:dyDescent="0.2">
      <c r="A19" s="8">
        <v>17</v>
      </c>
      <c r="B19" s="8" t="s">
        <v>83</v>
      </c>
    </row>
    <row r="20" spans="1:2" x14ac:dyDescent="0.2">
      <c r="A20" s="8">
        <v>18</v>
      </c>
      <c r="B20" s="8" t="s">
        <v>84</v>
      </c>
    </row>
    <row r="21" spans="1:2" x14ac:dyDescent="0.2">
      <c r="A21" s="8">
        <v>19</v>
      </c>
      <c r="B21" s="9" t="s">
        <v>19</v>
      </c>
    </row>
    <row r="22" spans="1:2" x14ac:dyDescent="0.2">
      <c r="A22" s="8">
        <v>20</v>
      </c>
      <c r="B22" s="9" t="s">
        <v>20</v>
      </c>
    </row>
    <row r="23" spans="1:2" x14ac:dyDescent="0.2">
      <c r="A23" s="8">
        <v>21</v>
      </c>
      <c r="B23" s="8" t="s">
        <v>21</v>
      </c>
    </row>
    <row r="24" spans="1:2" x14ac:dyDescent="0.2">
      <c r="A24" s="8">
        <v>22</v>
      </c>
      <c r="B24" s="8" t="s">
        <v>85</v>
      </c>
    </row>
    <row r="25" spans="1:2" x14ac:dyDescent="0.2">
      <c r="A25" s="8">
        <v>23</v>
      </c>
      <c r="B25" s="8" t="s">
        <v>22</v>
      </c>
    </row>
    <row r="26" spans="1:2" x14ac:dyDescent="0.2">
      <c r="A26" s="8">
        <v>24</v>
      </c>
      <c r="B26" s="8" t="s">
        <v>34</v>
      </c>
    </row>
    <row r="27" spans="1:2" x14ac:dyDescent="0.2">
      <c r="A27" s="8">
        <v>25</v>
      </c>
      <c r="B27" s="9" t="s">
        <v>104</v>
      </c>
    </row>
    <row r="28" spans="1:2" x14ac:dyDescent="0.2">
      <c r="A28" s="8">
        <v>26</v>
      </c>
      <c r="B28" s="8" t="s">
        <v>23</v>
      </c>
    </row>
    <row r="29" spans="1:2" x14ac:dyDescent="0.2">
      <c r="A29" s="8">
        <v>27</v>
      </c>
      <c r="B29" s="8" t="s">
        <v>35</v>
      </c>
    </row>
    <row r="30" spans="1:2" x14ac:dyDescent="0.2">
      <c r="A30" s="8">
        <v>28</v>
      </c>
      <c r="B30" s="9" t="s">
        <v>24</v>
      </c>
    </row>
    <row r="31" spans="1:2" x14ac:dyDescent="0.2">
      <c r="A31" s="8">
        <v>29</v>
      </c>
      <c r="B31" s="8" t="s">
        <v>88</v>
      </c>
    </row>
    <row r="32" spans="1:2" x14ac:dyDescent="0.2">
      <c r="A32" s="8">
        <v>30</v>
      </c>
      <c r="B32" s="8" t="s">
        <v>86</v>
      </c>
    </row>
    <row r="33" spans="1:2" x14ac:dyDescent="0.2">
      <c r="A33" s="8">
        <v>31</v>
      </c>
      <c r="B33" s="8" t="s">
        <v>36</v>
      </c>
    </row>
    <row r="34" spans="1:2" x14ac:dyDescent="0.2">
      <c r="A34" s="8">
        <v>32</v>
      </c>
      <c r="B34" s="8" t="s">
        <v>25</v>
      </c>
    </row>
    <row r="35" spans="1:2" x14ac:dyDescent="0.2">
      <c r="A35" s="8">
        <v>33</v>
      </c>
      <c r="B35" s="8" t="s">
        <v>87</v>
      </c>
    </row>
    <row r="36" spans="1:2" x14ac:dyDescent="0.2">
      <c r="A36" s="8">
        <v>34</v>
      </c>
      <c r="B36" s="9" t="s">
        <v>106</v>
      </c>
    </row>
    <row r="37" spans="1:2" x14ac:dyDescent="0.2">
      <c r="A37" s="8">
        <v>35</v>
      </c>
      <c r="B37" s="8" t="s">
        <v>37</v>
      </c>
    </row>
    <row r="38" spans="1:2" x14ac:dyDescent="0.2">
      <c r="A38" s="8">
        <v>36</v>
      </c>
      <c r="B38" s="8" t="s">
        <v>38</v>
      </c>
    </row>
    <row r="39" spans="1:2" x14ac:dyDescent="0.2">
      <c r="A39" s="8">
        <v>37</v>
      </c>
      <c r="B39" s="8" t="s">
        <v>39</v>
      </c>
    </row>
    <row r="40" spans="1:2" x14ac:dyDescent="0.2">
      <c r="A40" s="8">
        <v>38</v>
      </c>
      <c r="B40" s="8" t="s">
        <v>40</v>
      </c>
    </row>
    <row r="41" spans="1:2" x14ac:dyDescent="0.2">
      <c r="A41" s="8">
        <v>39</v>
      </c>
      <c r="B41" s="9" t="s">
        <v>41</v>
      </c>
    </row>
    <row r="42" spans="1:2" x14ac:dyDescent="0.2">
      <c r="A42" s="8">
        <v>40</v>
      </c>
      <c r="B42" s="8" t="s">
        <v>89</v>
      </c>
    </row>
    <row r="43" spans="1:2" x14ac:dyDescent="0.2">
      <c r="A43" s="8">
        <v>41</v>
      </c>
      <c r="B43" s="8" t="s">
        <v>42</v>
      </c>
    </row>
    <row r="44" spans="1:2" x14ac:dyDescent="0.2">
      <c r="A44" s="8">
        <v>42</v>
      </c>
      <c r="B44" s="9" t="s">
        <v>92</v>
      </c>
    </row>
    <row r="45" spans="1:2" x14ac:dyDescent="0.2">
      <c r="A45" s="8">
        <v>43</v>
      </c>
      <c r="B45" s="8" t="s">
        <v>26</v>
      </c>
    </row>
    <row r="46" spans="1:2" x14ac:dyDescent="0.2">
      <c r="A46" s="8">
        <v>44</v>
      </c>
      <c r="B46" s="9" t="s">
        <v>90</v>
      </c>
    </row>
    <row r="47" spans="1:2" x14ac:dyDescent="0.2">
      <c r="A47" s="8">
        <v>45</v>
      </c>
      <c r="B47" s="8" t="s">
        <v>91</v>
      </c>
    </row>
    <row r="48" spans="1:2" x14ac:dyDescent="0.2">
      <c r="A48" s="8">
        <v>46</v>
      </c>
      <c r="B48" s="8" t="s">
        <v>43</v>
      </c>
    </row>
    <row r="49" spans="1:2" x14ac:dyDescent="0.2">
      <c r="A49" s="8">
        <v>47</v>
      </c>
      <c r="B49" s="8" t="s">
        <v>44</v>
      </c>
    </row>
    <row r="50" spans="1:2" x14ac:dyDescent="0.2">
      <c r="A50" s="8">
        <v>48</v>
      </c>
      <c r="B50" s="8" t="s">
        <v>45</v>
      </c>
    </row>
    <row r="51" spans="1:2" x14ac:dyDescent="0.2">
      <c r="A51" s="8">
        <v>49</v>
      </c>
      <c r="B51" s="8" t="s">
        <v>46</v>
      </c>
    </row>
    <row r="52" spans="1:2" x14ac:dyDescent="0.2">
      <c r="A52" s="8">
        <v>50</v>
      </c>
      <c r="B52" s="8" t="s">
        <v>27</v>
      </c>
    </row>
    <row r="53" spans="1:2" x14ac:dyDescent="0.2">
      <c r="A53" s="8">
        <v>51</v>
      </c>
      <c r="B53" s="8" t="s">
        <v>28</v>
      </c>
    </row>
    <row r="54" spans="1:2" x14ac:dyDescent="0.2">
      <c r="A54" s="8">
        <v>52</v>
      </c>
      <c r="B54" s="8" t="s">
        <v>29</v>
      </c>
    </row>
    <row r="55" spans="1:2" x14ac:dyDescent="0.2">
      <c r="A55" s="8">
        <v>53</v>
      </c>
      <c r="B55" s="8" t="s">
        <v>54</v>
      </c>
    </row>
    <row r="56" spans="1:2" x14ac:dyDescent="0.2">
      <c r="A56" s="8">
        <v>54</v>
      </c>
      <c r="B56" s="8" t="s">
        <v>93</v>
      </c>
    </row>
    <row r="57" spans="1:2" x14ac:dyDescent="0.2">
      <c r="A57" s="8">
        <v>55</v>
      </c>
      <c r="B57" s="8" t="s">
        <v>94</v>
      </c>
    </row>
    <row r="58" spans="1:2" x14ac:dyDescent="0.2">
      <c r="A58" s="8">
        <v>56</v>
      </c>
      <c r="B58" s="8" t="s">
        <v>95</v>
      </c>
    </row>
    <row r="59" spans="1:2" x14ac:dyDescent="0.2">
      <c r="A59" s="8">
        <v>57</v>
      </c>
      <c r="B59" s="8" t="s">
        <v>47</v>
      </c>
    </row>
    <row r="60" spans="1:2" x14ac:dyDescent="0.2">
      <c r="A60" s="8">
        <v>58</v>
      </c>
      <c r="B60" s="8" t="s">
        <v>48</v>
      </c>
    </row>
    <row r="61" spans="1:2" x14ac:dyDescent="0.2">
      <c r="A61" s="8">
        <v>59</v>
      </c>
      <c r="B61" s="8" t="s">
        <v>55</v>
      </c>
    </row>
    <row r="62" spans="1:2" x14ac:dyDescent="0.2">
      <c r="A62" s="8">
        <v>60</v>
      </c>
      <c r="B62" s="8" t="s">
        <v>56</v>
      </c>
    </row>
    <row r="63" spans="1:2" x14ac:dyDescent="0.2">
      <c r="A63" s="8">
        <v>61</v>
      </c>
      <c r="B63" s="8" t="s">
        <v>96</v>
      </c>
    </row>
    <row r="64" spans="1:2" x14ac:dyDescent="0.2">
      <c r="A64" s="8">
        <v>62</v>
      </c>
      <c r="B64" s="12" t="s">
        <v>49</v>
      </c>
    </row>
    <row r="65" spans="1:2" x14ac:dyDescent="0.2">
      <c r="A65" s="8">
        <v>63</v>
      </c>
      <c r="B65" s="8" t="s">
        <v>57</v>
      </c>
    </row>
    <row r="66" spans="1:2" x14ac:dyDescent="0.2">
      <c r="A66" s="8">
        <v>64</v>
      </c>
      <c r="B66" s="8" t="s">
        <v>62</v>
      </c>
    </row>
    <row r="67" spans="1:2" x14ac:dyDescent="0.2">
      <c r="A67" s="8">
        <v>65</v>
      </c>
      <c r="B67" s="8" t="s">
        <v>70</v>
      </c>
    </row>
    <row r="68" spans="1:2" x14ac:dyDescent="0.2">
      <c r="A68" s="8">
        <v>66</v>
      </c>
      <c r="B68" s="8" t="s">
        <v>71</v>
      </c>
    </row>
    <row r="69" spans="1:2" x14ac:dyDescent="0.2">
      <c r="A69" s="8">
        <v>67</v>
      </c>
      <c r="B69" s="8" t="s">
        <v>50</v>
      </c>
    </row>
    <row r="70" spans="1:2" x14ac:dyDescent="0.2">
      <c r="A70" s="8">
        <v>68</v>
      </c>
      <c r="B70" s="8" t="s">
        <v>58</v>
      </c>
    </row>
    <row r="71" spans="1:2" x14ac:dyDescent="0.2">
      <c r="A71" s="8">
        <v>69</v>
      </c>
      <c r="B71" s="12" t="s">
        <v>51</v>
      </c>
    </row>
    <row r="72" spans="1:2" x14ac:dyDescent="0.2">
      <c r="A72" s="8">
        <v>70</v>
      </c>
      <c r="B72" s="8" t="s">
        <v>63</v>
      </c>
    </row>
    <row r="73" spans="1:2" x14ac:dyDescent="0.2">
      <c r="A73" s="8">
        <v>71</v>
      </c>
      <c r="B73" s="8" t="s">
        <v>59</v>
      </c>
    </row>
    <row r="74" spans="1:2" x14ac:dyDescent="0.2">
      <c r="A74" s="8">
        <v>72</v>
      </c>
      <c r="B74" s="8" t="s">
        <v>61</v>
      </c>
    </row>
    <row r="75" spans="1:2" x14ac:dyDescent="0.2">
      <c r="A75" s="8">
        <v>73</v>
      </c>
      <c r="B75" s="8" t="s">
        <v>60</v>
      </c>
    </row>
    <row r="76" spans="1:2" x14ac:dyDescent="0.2">
      <c r="A76" s="8">
        <v>74</v>
      </c>
      <c r="B76" s="8" t="s">
        <v>64</v>
      </c>
    </row>
    <row r="77" spans="1:2" x14ac:dyDescent="0.2">
      <c r="A77" s="8">
        <v>75</v>
      </c>
      <c r="B77" s="8" t="s">
        <v>97</v>
      </c>
    </row>
    <row r="78" spans="1:2" x14ac:dyDescent="0.2">
      <c r="A78" s="8">
        <v>76</v>
      </c>
      <c r="B78" s="8" t="s">
        <v>98</v>
      </c>
    </row>
    <row r="79" spans="1:2" x14ac:dyDescent="0.2">
      <c r="A79" s="8">
        <v>77</v>
      </c>
      <c r="B79" s="8" t="s">
        <v>65</v>
      </c>
    </row>
    <row r="80" spans="1:2" x14ac:dyDescent="0.2">
      <c r="A80" s="8">
        <v>78</v>
      </c>
      <c r="B80" s="8" t="s">
        <v>52</v>
      </c>
    </row>
    <row r="81" spans="1:2" x14ac:dyDescent="0.2">
      <c r="A81" s="8">
        <v>79</v>
      </c>
      <c r="B81" s="8" t="s">
        <v>66</v>
      </c>
    </row>
    <row r="82" spans="1:2" x14ac:dyDescent="0.2">
      <c r="A82" s="8">
        <v>80</v>
      </c>
      <c r="B82" s="8" t="s">
        <v>53</v>
      </c>
    </row>
    <row r="83" spans="1:2" x14ac:dyDescent="0.2">
      <c r="A83" s="8">
        <v>81</v>
      </c>
      <c r="B83" s="8" t="s">
        <v>69</v>
      </c>
    </row>
    <row r="84" spans="1:2" x14ac:dyDescent="0.2">
      <c r="A84" s="8">
        <v>82</v>
      </c>
      <c r="B84" s="8" t="s">
        <v>67</v>
      </c>
    </row>
    <row r="85" spans="1:2" x14ac:dyDescent="0.2">
      <c r="A85" s="8">
        <v>83</v>
      </c>
      <c r="B85" s="8" t="s">
        <v>99</v>
      </c>
    </row>
    <row r="86" spans="1:2" x14ac:dyDescent="0.2">
      <c r="A86" s="8">
        <v>84</v>
      </c>
      <c r="B86" s="8" t="s">
        <v>100</v>
      </c>
    </row>
    <row r="87" spans="1:2" x14ac:dyDescent="0.2">
      <c r="A87" s="8">
        <v>85</v>
      </c>
      <c r="B87" s="8" t="s">
        <v>68</v>
      </c>
    </row>
  </sheetData>
  <phoneticPr fontId="4" type="noConversion"/>
  <hyperlinks>
    <hyperlink ref="B5" location="Arevalo!A1" display="Arevalo Hilda y Arévalo María"/>
    <hyperlink ref="B64" location="'Savornin Josefina'!A1" display="Savornin Josefina"/>
    <hyperlink ref="B21" location="Echeverria!A1" display="Echeverría Osvaldo"/>
    <hyperlink ref="B3" location="Alfaro!A1" display="Alfaro Juan Carlos"/>
    <hyperlink ref="B27" location="'Gonzalez A'!A1" display="Gonzalez Ivan Andrés"/>
    <hyperlink ref="B30" location="'Hecker M.'!A1" display="Hecker Meliton"/>
    <hyperlink ref="B36" location="'Heyde Mario'!A1" display="Heyde Mario y Perez Leticia"/>
    <hyperlink ref="B46" location="'Muñiz J.'!A1" display="Muñiz Julio"/>
    <hyperlink ref="B41" location="'Huck O.J.'!A1" display="Huck Oscar"/>
    <hyperlink ref="B22" location="Ferreyra!A1" display="Ferreyra Reinaldo"/>
    <hyperlink ref="B44" location="'Magno S.A.'!A1" display="Magno S.A."/>
    <hyperlink ref="B71" location="'Schwab Victor'!A1" display="Schwab Victor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M51"/>
  <sheetViews>
    <sheetView showGridLines="0" workbookViewId="0">
      <selection activeCell="A54" sqref="A54"/>
    </sheetView>
  </sheetViews>
  <sheetFormatPr baseColWidth="10" defaultRowHeight="20.25" x14ac:dyDescent="0.3"/>
  <cols>
    <col min="1" max="1" width="35.140625" style="2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0.85546875" style="2" bestFit="1" customWidth="1"/>
    <col min="6" max="6" width="11.42578125" style="2"/>
    <col min="7" max="7" width="11.140625" style="2" bestFit="1" customWidth="1"/>
    <col min="8" max="8" width="10" style="2" bestFit="1" customWidth="1"/>
    <col min="9" max="9" width="11.5703125" style="2" bestFit="1" customWidth="1"/>
    <col min="10" max="10" width="11.28515625" style="2" bestFit="1" customWidth="1"/>
    <col min="11" max="11" width="11.42578125" style="2"/>
    <col min="12" max="12" width="12" style="2" customWidth="1"/>
    <col min="13" max="13" width="12.42578125" style="2" customWidth="1"/>
    <col min="14" max="14" width="20.5703125" style="2" customWidth="1"/>
    <col min="15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230</v>
      </c>
      <c r="C2" s="216"/>
      <c r="D2" s="216"/>
      <c r="E2" s="216"/>
      <c r="F2" s="216"/>
      <c r="G2" s="216"/>
    </row>
    <row r="4" spans="1:13" x14ac:dyDescent="0.3">
      <c r="A4" s="1" t="s">
        <v>0</v>
      </c>
      <c r="B4" s="1" t="s">
        <v>1</v>
      </c>
    </row>
    <row r="5" spans="1:13" x14ac:dyDescent="0.3">
      <c r="A5" s="17"/>
      <c r="B5" s="18">
        <v>39083</v>
      </c>
      <c r="C5" s="18">
        <v>39114</v>
      </c>
      <c r="D5" s="18">
        <v>39142</v>
      </c>
      <c r="E5" s="18">
        <v>39173</v>
      </c>
      <c r="F5" s="18">
        <v>39203</v>
      </c>
      <c r="G5" s="18">
        <v>39234</v>
      </c>
      <c r="H5" s="18">
        <v>39264</v>
      </c>
      <c r="I5" s="18">
        <v>39295</v>
      </c>
      <c r="J5" s="18">
        <v>39326</v>
      </c>
      <c r="K5" s="18">
        <v>39356</v>
      </c>
      <c r="L5" s="18">
        <v>39387</v>
      </c>
      <c r="M5" s="18">
        <v>39417</v>
      </c>
    </row>
    <row r="6" spans="1:13" x14ac:dyDescent="0.3">
      <c r="A6" s="17" t="s">
        <v>112</v>
      </c>
      <c r="B6" s="18"/>
      <c r="C6" s="27">
        <f>B17</f>
        <v>0</v>
      </c>
      <c r="D6" s="27">
        <f t="shared" ref="D6:M6" si="0">C17</f>
        <v>0</v>
      </c>
      <c r="E6" s="27">
        <f t="shared" si="0"/>
        <v>0</v>
      </c>
      <c r="F6" s="27">
        <f t="shared" si="0"/>
        <v>0</v>
      </c>
      <c r="G6" s="27">
        <f t="shared" si="0"/>
        <v>0</v>
      </c>
      <c r="H6" s="27">
        <f t="shared" si="0"/>
        <v>0</v>
      </c>
      <c r="I6" s="27">
        <f t="shared" si="0"/>
        <v>0</v>
      </c>
      <c r="J6" s="27">
        <f t="shared" si="0"/>
        <v>0</v>
      </c>
      <c r="K6" s="27">
        <f t="shared" si="0"/>
        <v>0</v>
      </c>
      <c r="L6" s="27">
        <f t="shared" si="0"/>
        <v>0</v>
      </c>
      <c r="M6" s="27">
        <f t="shared" si="0"/>
        <v>0</v>
      </c>
    </row>
    <row r="7" spans="1:13" x14ac:dyDescent="0.3">
      <c r="A7" s="17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>
        <v>390.48</v>
      </c>
      <c r="L7" s="19">
        <v>390.48</v>
      </c>
      <c r="M7" s="19">
        <v>390.48</v>
      </c>
    </row>
    <row r="8" spans="1:13" x14ac:dyDescent="0.3">
      <c r="A8" s="17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>
        <v>45</v>
      </c>
      <c r="L8" s="19">
        <v>45</v>
      </c>
      <c r="M8" s="19">
        <v>45</v>
      </c>
    </row>
    <row r="9" spans="1:13" x14ac:dyDescent="0.3">
      <c r="A9" s="17" t="s">
        <v>4</v>
      </c>
      <c r="B9" s="19"/>
      <c r="C9" s="19"/>
      <c r="D9" s="19"/>
      <c r="E9" s="19"/>
      <c r="F9" s="19"/>
      <c r="G9" s="19"/>
      <c r="H9" s="19"/>
      <c r="I9" s="19"/>
      <c r="J9" s="19"/>
      <c r="K9" s="19">
        <v>34</v>
      </c>
      <c r="L9" s="19">
        <v>34</v>
      </c>
      <c r="M9" s="19">
        <v>34</v>
      </c>
    </row>
    <row r="10" spans="1:13" x14ac:dyDescent="0.3">
      <c r="A10" s="17" t="s">
        <v>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3">
      <c r="A11" s="17" t="s">
        <v>73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3">
      <c r="A12" s="17" t="s">
        <v>74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3">
      <c r="A13" s="17" t="s">
        <v>75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3">
      <c r="A14" s="17" t="s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>
        <v>50</v>
      </c>
      <c r="L14" s="19">
        <v>50</v>
      </c>
      <c r="M14" s="19">
        <v>50</v>
      </c>
    </row>
    <row r="15" spans="1:13" x14ac:dyDescent="0.3">
      <c r="A15" s="17" t="s">
        <v>6</v>
      </c>
      <c r="B15" s="26">
        <f>SUM(B6:B14)</f>
        <v>0</v>
      </c>
      <c r="C15" s="26">
        <f t="shared" ref="C15:M15" si="1">SUM(C6:C14)</f>
        <v>0</v>
      </c>
      <c r="D15" s="26">
        <f t="shared" si="1"/>
        <v>0</v>
      </c>
      <c r="E15" s="26">
        <f t="shared" si="1"/>
        <v>0</v>
      </c>
      <c r="F15" s="26">
        <f t="shared" si="1"/>
        <v>0</v>
      </c>
      <c r="G15" s="26">
        <f t="shared" si="1"/>
        <v>0</v>
      </c>
      <c r="H15" s="26">
        <f t="shared" si="1"/>
        <v>0</v>
      </c>
      <c r="I15" s="26">
        <f t="shared" si="1"/>
        <v>0</v>
      </c>
      <c r="J15" s="26">
        <f t="shared" si="1"/>
        <v>0</v>
      </c>
      <c r="K15" s="26">
        <f t="shared" si="1"/>
        <v>519.48</v>
      </c>
      <c r="L15" s="26">
        <f t="shared" si="1"/>
        <v>519.48</v>
      </c>
      <c r="M15" s="26">
        <f t="shared" si="1"/>
        <v>519.48</v>
      </c>
    </row>
    <row r="16" spans="1:13" x14ac:dyDescent="0.3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  <c r="K16" s="17">
        <v>519.48</v>
      </c>
      <c r="L16" s="17">
        <v>519.48</v>
      </c>
      <c r="M16" s="17">
        <v>519.48</v>
      </c>
    </row>
    <row r="17" spans="1:13" x14ac:dyDescent="0.3">
      <c r="A17" s="17" t="s">
        <v>113</v>
      </c>
      <c r="B17" s="20">
        <f>B15-B16</f>
        <v>0</v>
      </c>
      <c r="C17" s="20">
        <f t="shared" ref="C17:M17" si="2">C15-C16</f>
        <v>0</v>
      </c>
      <c r="D17" s="20">
        <f t="shared" si="2"/>
        <v>0</v>
      </c>
      <c r="E17" s="20">
        <f t="shared" si="2"/>
        <v>0</v>
      </c>
      <c r="F17" s="20">
        <f t="shared" si="2"/>
        <v>0</v>
      </c>
      <c r="G17" s="20">
        <f t="shared" si="2"/>
        <v>0</v>
      </c>
      <c r="H17" s="20">
        <f t="shared" si="2"/>
        <v>0</v>
      </c>
      <c r="I17" s="20">
        <f t="shared" si="2"/>
        <v>0</v>
      </c>
      <c r="J17" s="20">
        <f t="shared" si="2"/>
        <v>0</v>
      </c>
      <c r="K17" s="20">
        <f t="shared" si="2"/>
        <v>0</v>
      </c>
      <c r="L17" s="20">
        <f t="shared" si="2"/>
        <v>0</v>
      </c>
      <c r="M17" s="20">
        <f t="shared" si="2"/>
        <v>0</v>
      </c>
    </row>
    <row r="21" spans="1:13" x14ac:dyDescent="0.3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3">
      <c r="A22" s="33"/>
      <c r="B22" s="34">
        <v>41640</v>
      </c>
      <c r="C22" s="34">
        <v>41671</v>
      </c>
      <c r="D22" s="34">
        <v>41699</v>
      </c>
      <c r="E22" s="34">
        <v>41730</v>
      </c>
      <c r="F22" s="34">
        <v>41760</v>
      </c>
      <c r="G22" s="34">
        <v>41791</v>
      </c>
      <c r="H22" s="34">
        <v>41821</v>
      </c>
      <c r="I22" s="34">
        <v>41852</v>
      </c>
      <c r="J22" s="34">
        <v>41883</v>
      </c>
      <c r="K22" s="34">
        <v>41913</v>
      </c>
      <c r="L22" s="34">
        <v>41944</v>
      </c>
      <c r="M22" s="34">
        <v>41974</v>
      </c>
    </row>
    <row r="23" spans="1:13" x14ac:dyDescent="0.3">
      <c r="A23" s="8" t="s">
        <v>110</v>
      </c>
      <c r="B23" s="28"/>
      <c r="C23" s="28">
        <f t="shared" ref="C23:M23" si="3">B34</f>
        <v>18</v>
      </c>
      <c r="D23" s="28">
        <f t="shared" si="3"/>
        <v>0</v>
      </c>
      <c r="E23" s="28">
        <f t="shared" si="3"/>
        <v>0</v>
      </c>
      <c r="F23" s="28">
        <f t="shared" si="3"/>
        <v>0</v>
      </c>
      <c r="G23" s="28">
        <f t="shared" si="3"/>
        <v>0</v>
      </c>
      <c r="H23" s="28">
        <f t="shared" si="3"/>
        <v>0</v>
      </c>
      <c r="I23" s="28">
        <f t="shared" si="3"/>
        <v>0</v>
      </c>
      <c r="J23" s="28">
        <f t="shared" si="3"/>
        <v>0</v>
      </c>
      <c r="K23" s="28">
        <f t="shared" si="3"/>
        <v>0</v>
      </c>
      <c r="L23" s="28">
        <f t="shared" si="3"/>
        <v>0</v>
      </c>
      <c r="M23" s="28">
        <f t="shared" si="3"/>
        <v>0</v>
      </c>
    </row>
    <row r="24" spans="1:13" x14ac:dyDescent="0.3">
      <c r="A24" s="8" t="s">
        <v>2</v>
      </c>
      <c r="B24" s="28">
        <v>342</v>
      </c>
      <c r="C24" s="28">
        <v>342</v>
      </c>
      <c r="D24" s="28">
        <v>342</v>
      </c>
      <c r="E24" s="28">
        <v>342</v>
      </c>
      <c r="F24" s="28">
        <v>342</v>
      </c>
      <c r="G24" s="28">
        <v>342</v>
      </c>
      <c r="H24" s="28">
        <v>342</v>
      </c>
      <c r="I24" s="28">
        <v>342</v>
      </c>
      <c r="J24" s="28">
        <v>429</v>
      </c>
      <c r="K24" s="28">
        <v>429</v>
      </c>
      <c r="L24" s="28">
        <v>429</v>
      </c>
      <c r="M24" s="28">
        <v>429</v>
      </c>
    </row>
    <row r="25" spans="1:13" x14ac:dyDescent="0.3">
      <c r="A25" s="8" t="s">
        <v>3</v>
      </c>
      <c r="B25" s="28">
        <v>95</v>
      </c>
      <c r="C25" s="28">
        <v>95</v>
      </c>
      <c r="D25" s="28">
        <v>95</v>
      </c>
      <c r="E25" s="28">
        <v>95</v>
      </c>
      <c r="F25" s="28">
        <v>95</v>
      </c>
      <c r="G25" s="28">
        <v>95</v>
      </c>
      <c r="H25" s="28">
        <v>95</v>
      </c>
      <c r="I25" s="28">
        <v>95</v>
      </c>
      <c r="J25" s="28">
        <v>95</v>
      </c>
      <c r="K25" s="28">
        <v>95</v>
      </c>
      <c r="L25" s="28">
        <v>95</v>
      </c>
      <c r="M25" s="28">
        <v>95</v>
      </c>
    </row>
    <row r="26" spans="1:13" x14ac:dyDescent="0.3">
      <c r="A26" s="8" t="s">
        <v>4</v>
      </c>
      <c r="B26" s="28">
        <v>100.8</v>
      </c>
      <c r="C26" s="28">
        <v>100.8</v>
      </c>
      <c r="D26" s="28">
        <v>102.8</v>
      </c>
      <c r="E26" s="28">
        <v>102.8</v>
      </c>
      <c r="F26" s="28">
        <v>102.8</v>
      </c>
      <c r="G26" s="28">
        <v>142</v>
      </c>
      <c r="H26" s="28">
        <v>142</v>
      </c>
      <c r="I26" s="28">
        <v>142</v>
      </c>
      <c r="J26" s="28">
        <v>142</v>
      </c>
      <c r="K26" s="28">
        <v>142</v>
      </c>
      <c r="L26" s="28">
        <v>142</v>
      </c>
      <c r="M26" s="28">
        <v>142</v>
      </c>
    </row>
    <row r="27" spans="1:13" x14ac:dyDescent="0.3">
      <c r="A27" s="8" t="s">
        <v>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x14ac:dyDescent="0.3">
      <c r="A28" s="8" t="s">
        <v>73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x14ac:dyDescent="0.3">
      <c r="A29" s="8" t="s">
        <v>74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x14ac:dyDescent="0.3">
      <c r="A30" s="8" t="s">
        <v>75</v>
      </c>
      <c r="B30" s="28">
        <v>0.2</v>
      </c>
      <c r="C30" s="28">
        <v>0.2</v>
      </c>
      <c r="D30" s="28">
        <v>0.2</v>
      </c>
      <c r="E30" s="28">
        <v>0.2</v>
      </c>
      <c r="F30" s="28">
        <v>0.2</v>
      </c>
      <c r="G30" s="28"/>
      <c r="H30" s="28"/>
      <c r="I30" s="28"/>
      <c r="J30" s="28"/>
      <c r="K30" s="28"/>
      <c r="L30" s="28"/>
      <c r="M30" s="28"/>
    </row>
    <row r="31" spans="1:13" x14ac:dyDescent="0.3">
      <c r="A31" s="8" t="s">
        <v>5</v>
      </c>
      <c r="B31" s="28">
        <v>180</v>
      </c>
      <c r="C31" s="28">
        <v>180</v>
      </c>
      <c r="D31" s="28">
        <v>180</v>
      </c>
      <c r="E31" s="28">
        <v>180</v>
      </c>
      <c r="F31" s="28">
        <v>180</v>
      </c>
      <c r="G31" s="28">
        <v>171</v>
      </c>
      <c r="H31" s="28">
        <v>171</v>
      </c>
      <c r="I31" s="28">
        <v>171</v>
      </c>
      <c r="J31" s="28">
        <v>174</v>
      </c>
      <c r="K31" s="28">
        <v>174</v>
      </c>
      <c r="L31" s="28">
        <v>174</v>
      </c>
      <c r="M31" s="28">
        <v>174</v>
      </c>
    </row>
    <row r="32" spans="1:13" x14ac:dyDescent="0.3">
      <c r="A32" s="8" t="s">
        <v>6</v>
      </c>
      <c r="B32" s="29">
        <f t="shared" ref="B32:M32" si="4">SUM(B23:B31)</f>
        <v>718</v>
      </c>
      <c r="C32" s="29">
        <f t="shared" si="4"/>
        <v>736</v>
      </c>
      <c r="D32" s="29">
        <f t="shared" si="4"/>
        <v>720</v>
      </c>
      <c r="E32" s="29">
        <f t="shared" si="4"/>
        <v>720</v>
      </c>
      <c r="F32" s="29">
        <f t="shared" si="4"/>
        <v>720</v>
      </c>
      <c r="G32" s="29">
        <f t="shared" si="4"/>
        <v>750</v>
      </c>
      <c r="H32" s="29">
        <f t="shared" si="4"/>
        <v>750</v>
      </c>
      <c r="I32" s="29">
        <f t="shared" si="4"/>
        <v>750</v>
      </c>
      <c r="J32" s="29">
        <f t="shared" si="4"/>
        <v>840</v>
      </c>
      <c r="K32" s="29">
        <f t="shared" si="4"/>
        <v>840</v>
      </c>
      <c r="L32" s="29">
        <f t="shared" si="4"/>
        <v>840</v>
      </c>
      <c r="M32" s="29">
        <f t="shared" si="4"/>
        <v>840</v>
      </c>
    </row>
    <row r="33" spans="1:13" ht="21" thickBot="1" x14ac:dyDescent="0.35">
      <c r="A33" s="8" t="s">
        <v>7</v>
      </c>
      <c r="B33" s="30">
        <v>700</v>
      </c>
      <c r="C33" s="30">
        <v>736</v>
      </c>
      <c r="D33" s="30">
        <v>720</v>
      </c>
      <c r="E33" s="30">
        <v>720</v>
      </c>
      <c r="F33" s="30">
        <v>720</v>
      </c>
      <c r="G33" s="30">
        <v>750</v>
      </c>
      <c r="H33" s="30">
        <v>750</v>
      </c>
      <c r="I33" s="30">
        <v>750</v>
      </c>
      <c r="J33" s="30">
        <v>840</v>
      </c>
      <c r="K33" s="30">
        <v>840</v>
      </c>
      <c r="L33" s="30">
        <v>840</v>
      </c>
      <c r="M33" s="30">
        <v>840</v>
      </c>
    </row>
    <row r="34" spans="1:13" ht="21" thickBot="1" x14ac:dyDescent="0.35">
      <c r="A34" s="8" t="s">
        <v>111</v>
      </c>
      <c r="B34" s="35">
        <f t="shared" ref="B34:M34" si="5">B32-B33</f>
        <v>18</v>
      </c>
      <c r="C34" s="36">
        <f t="shared" si="5"/>
        <v>0</v>
      </c>
      <c r="D34" s="36">
        <f t="shared" si="5"/>
        <v>0</v>
      </c>
      <c r="E34" s="36">
        <f t="shared" si="5"/>
        <v>0</v>
      </c>
      <c r="F34" s="36">
        <f t="shared" si="5"/>
        <v>0</v>
      </c>
      <c r="G34" s="36">
        <f t="shared" si="5"/>
        <v>0</v>
      </c>
      <c r="H34" s="36">
        <f t="shared" si="5"/>
        <v>0</v>
      </c>
      <c r="I34" s="36">
        <f t="shared" si="5"/>
        <v>0</v>
      </c>
      <c r="J34" s="36">
        <f t="shared" si="5"/>
        <v>0</v>
      </c>
      <c r="K34" s="36">
        <f t="shared" si="5"/>
        <v>0</v>
      </c>
      <c r="L34" s="36">
        <f t="shared" si="5"/>
        <v>0</v>
      </c>
      <c r="M34" s="37">
        <f t="shared" si="5"/>
        <v>0</v>
      </c>
    </row>
    <row r="38" spans="1:13" x14ac:dyDescent="0.3">
      <c r="A38" s="32" t="s">
        <v>0</v>
      </c>
      <c r="B38" s="32" t="s">
        <v>1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x14ac:dyDescent="0.3">
      <c r="A39" s="33"/>
      <c r="B39" s="34">
        <v>42005</v>
      </c>
      <c r="C39" s="34">
        <v>42036</v>
      </c>
      <c r="D39" s="34">
        <v>42064</v>
      </c>
      <c r="E39" s="34">
        <v>42095</v>
      </c>
      <c r="F39" s="34">
        <v>42125</v>
      </c>
      <c r="G39" s="34">
        <v>42156</v>
      </c>
      <c r="H39" s="34">
        <v>42186</v>
      </c>
      <c r="I39" s="34">
        <v>42217</v>
      </c>
      <c r="J39" s="34">
        <v>42248</v>
      </c>
      <c r="K39" s="34">
        <v>42278</v>
      </c>
      <c r="L39" s="34">
        <v>42309</v>
      </c>
      <c r="M39" s="34">
        <v>42339</v>
      </c>
    </row>
    <row r="40" spans="1:13" x14ac:dyDescent="0.3">
      <c r="A40" s="8" t="s">
        <v>110</v>
      </c>
      <c r="B40" s="28"/>
      <c r="C40" s="28">
        <f t="shared" ref="C40:M40" si="6">B51</f>
        <v>0</v>
      </c>
      <c r="D40" s="28">
        <f t="shared" si="6"/>
        <v>0</v>
      </c>
      <c r="E40" s="28">
        <f t="shared" si="6"/>
        <v>0</v>
      </c>
      <c r="F40" s="28">
        <f t="shared" si="6"/>
        <v>0</v>
      </c>
      <c r="G40" s="28">
        <f t="shared" si="6"/>
        <v>0</v>
      </c>
      <c r="H40" s="28">
        <f t="shared" si="6"/>
        <v>0</v>
      </c>
      <c r="I40" s="28">
        <f t="shared" si="6"/>
        <v>0</v>
      </c>
      <c r="J40" s="28">
        <f t="shared" si="6"/>
        <v>0</v>
      </c>
      <c r="K40" s="28">
        <f t="shared" si="6"/>
        <v>0</v>
      </c>
      <c r="L40" s="28">
        <f t="shared" si="6"/>
        <v>0</v>
      </c>
      <c r="M40" s="28">
        <f t="shared" si="6"/>
        <v>0</v>
      </c>
    </row>
    <row r="41" spans="1:13" x14ac:dyDescent="0.3">
      <c r="A41" s="8" t="s">
        <v>2</v>
      </c>
      <c r="B41" s="28">
        <v>429</v>
      </c>
      <c r="C41" s="28">
        <v>429</v>
      </c>
      <c r="D41" s="28">
        <v>429</v>
      </c>
      <c r="E41" s="28"/>
      <c r="F41" s="28"/>
      <c r="G41" s="28"/>
      <c r="H41" s="28"/>
      <c r="I41" s="28"/>
      <c r="J41" s="28"/>
      <c r="K41" s="28"/>
      <c r="L41" s="28"/>
      <c r="M41" s="28"/>
    </row>
    <row r="42" spans="1:13" x14ac:dyDescent="0.3">
      <c r="A42" s="8" t="s">
        <v>3</v>
      </c>
      <c r="B42" s="28">
        <v>95</v>
      </c>
      <c r="C42" s="28">
        <v>95</v>
      </c>
      <c r="D42" s="28">
        <v>95</v>
      </c>
      <c r="E42" s="28"/>
      <c r="F42" s="28"/>
      <c r="G42" s="28"/>
      <c r="H42" s="28"/>
      <c r="I42" s="28"/>
      <c r="J42" s="28"/>
      <c r="K42" s="28"/>
      <c r="L42" s="28"/>
      <c r="M42" s="28"/>
    </row>
    <row r="43" spans="1:13" x14ac:dyDescent="0.3">
      <c r="A43" s="8" t="s">
        <v>4</v>
      </c>
      <c r="B43" s="28">
        <v>142</v>
      </c>
      <c r="C43" s="28">
        <v>142</v>
      </c>
      <c r="D43" s="28">
        <v>142</v>
      </c>
      <c r="E43" s="28"/>
      <c r="F43" s="28"/>
      <c r="G43" s="28"/>
      <c r="H43" s="28"/>
      <c r="I43" s="28"/>
      <c r="J43" s="28"/>
      <c r="K43" s="28"/>
      <c r="L43" s="28"/>
      <c r="M43" s="28"/>
    </row>
    <row r="44" spans="1:13" x14ac:dyDescent="0.3">
      <c r="A44" s="8" t="s">
        <v>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x14ac:dyDescent="0.3">
      <c r="A45" s="8" t="s">
        <v>73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x14ac:dyDescent="0.3">
      <c r="A46" s="8" t="s">
        <v>299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x14ac:dyDescent="0.3">
      <c r="A47" s="8" t="s">
        <v>75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x14ac:dyDescent="0.3">
      <c r="A48" s="8" t="s">
        <v>5</v>
      </c>
      <c r="B48" s="28">
        <v>174</v>
      </c>
      <c r="C48" s="28">
        <v>174</v>
      </c>
      <c r="D48" s="28">
        <v>174</v>
      </c>
      <c r="E48" s="28"/>
      <c r="F48" s="28"/>
      <c r="G48" s="28"/>
      <c r="H48" s="28"/>
      <c r="I48" s="28"/>
      <c r="J48" s="28"/>
      <c r="K48" s="28"/>
      <c r="L48" s="28"/>
      <c r="M48" s="28"/>
    </row>
    <row r="49" spans="1:13" x14ac:dyDescent="0.3">
      <c r="A49" s="8" t="s">
        <v>6</v>
      </c>
      <c r="B49" s="29">
        <f t="shared" ref="B49:M49" si="7">SUM(B40:B48)</f>
        <v>840</v>
      </c>
      <c r="C49" s="29">
        <f t="shared" si="7"/>
        <v>840</v>
      </c>
      <c r="D49" s="29">
        <f t="shared" si="7"/>
        <v>840</v>
      </c>
      <c r="E49" s="29">
        <f t="shared" si="7"/>
        <v>0</v>
      </c>
      <c r="F49" s="29">
        <f t="shared" si="7"/>
        <v>0</v>
      </c>
      <c r="G49" s="29">
        <f t="shared" si="7"/>
        <v>0</v>
      </c>
      <c r="H49" s="29">
        <f t="shared" si="7"/>
        <v>0</v>
      </c>
      <c r="I49" s="29">
        <f t="shared" si="7"/>
        <v>0</v>
      </c>
      <c r="J49" s="29">
        <f t="shared" si="7"/>
        <v>0</v>
      </c>
      <c r="K49" s="29">
        <f t="shared" si="7"/>
        <v>0</v>
      </c>
      <c r="L49" s="29">
        <f t="shared" si="7"/>
        <v>0</v>
      </c>
      <c r="M49" s="29">
        <f t="shared" si="7"/>
        <v>0</v>
      </c>
    </row>
    <row r="50" spans="1:13" ht="21" thickBot="1" x14ac:dyDescent="0.35">
      <c r="A50" s="8" t="s">
        <v>7</v>
      </c>
      <c r="B50" s="30">
        <v>840</v>
      </c>
      <c r="C50" s="30">
        <v>840</v>
      </c>
      <c r="D50" s="30">
        <v>840</v>
      </c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21" thickBot="1" x14ac:dyDescent="0.35">
      <c r="A51" s="8" t="s">
        <v>111</v>
      </c>
      <c r="B51" s="35">
        <f t="shared" ref="B51:M51" si="8">B49-B50</f>
        <v>0</v>
      </c>
      <c r="C51" s="36">
        <f t="shared" si="8"/>
        <v>0</v>
      </c>
      <c r="D51" s="36">
        <f t="shared" si="8"/>
        <v>0</v>
      </c>
      <c r="E51" s="36">
        <f t="shared" si="8"/>
        <v>0</v>
      </c>
      <c r="F51" s="36">
        <f t="shared" si="8"/>
        <v>0</v>
      </c>
      <c r="G51" s="36">
        <f t="shared" si="8"/>
        <v>0</v>
      </c>
      <c r="H51" s="36">
        <f t="shared" si="8"/>
        <v>0</v>
      </c>
      <c r="I51" s="36">
        <f t="shared" si="8"/>
        <v>0</v>
      </c>
      <c r="J51" s="36">
        <f t="shared" si="8"/>
        <v>0</v>
      </c>
      <c r="K51" s="36">
        <f t="shared" si="8"/>
        <v>0</v>
      </c>
      <c r="L51" s="36">
        <f t="shared" si="8"/>
        <v>0</v>
      </c>
      <c r="M51" s="37">
        <f t="shared" si="8"/>
        <v>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  <ignoredErrors>
    <ignoredError sqref="B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M34"/>
  <sheetViews>
    <sheetView showGridLines="0" topLeftCell="A7" workbookViewId="0">
      <selection activeCell="F16" sqref="F16"/>
    </sheetView>
  </sheetViews>
  <sheetFormatPr baseColWidth="10" defaultRowHeight="20.25" x14ac:dyDescent="0.3"/>
  <cols>
    <col min="1" max="1" width="33.42578125" style="2" customWidth="1"/>
    <col min="2" max="2" width="11.28515625" style="2" bestFit="1" customWidth="1"/>
    <col min="3" max="3" width="11.140625" style="2" bestFit="1" customWidth="1"/>
    <col min="4" max="4" width="11.28515625" style="2" bestFit="1" customWidth="1"/>
    <col min="5" max="5" width="12.42578125" style="2" customWidth="1"/>
    <col min="6" max="6" width="11.42578125" style="2"/>
    <col min="7" max="7" width="11.140625" style="2" bestFit="1" customWidth="1"/>
    <col min="8" max="8" width="11.28515625" style="2" customWidth="1"/>
    <col min="9" max="9" width="11.5703125" style="2" bestFit="1" customWidth="1"/>
    <col min="10" max="10" width="11.28515625" style="2" bestFit="1" customWidth="1"/>
    <col min="11" max="11" width="12.140625" style="2" customWidth="1"/>
    <col min="12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13</v>
      </c>
      <c r="C2" s="216"/>
      <c r="D2" s="216"/>
      <c r="E2" s="216"/>
      <c r="F2" s="216"/>
      <c r="G2" s="216"/>
    </row>
    <row r="4" spans="1:13" x14ac:dyDescent="0.3">
      <c r="A4" s="147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</row>
    <row r="5" spans="1:13" x14ac:dyDescent="0.3">
      <c r="A5" s="33"/>
      <c r="B5" s="82">
        <v>46023</v>
      </c>
      <c r="C5" s="82">
        <v>46054</v>
      </c>
      <c r="D5" s="82">
        <v>46082</v>
      </c>
      <c r="E5" s="82">
        <v>46113</v>
      </c>
      <c r="F5" s="82">
        <v>46143</v>
      </c>
      <c r="G5" s="82">
        <v>46174</v>
      </c>
      <c r="H5" s="82">
        <v>46204</v>
      </c>
      <c r="I5" s="82">
        <v>46235</v>
      </c>
      <c r="J5" s="82">
        <v>46266</v>
      </c>
      <c r="K5" s="82">
        <v>46296</v>
      </c>
      <c r="L5" s="82">
        <v>46327</v>
      </c>
      <c r="M5" s="82">
        <v>46357</v>
      </c>
    </row>
    <row r="6" spans="1:13" x14ac:dyDescent="0.3">
      <c r="A6" s="8" t="s">
        <v>110</v>
      </c>
      <c r="B6" s="42">
        <v>53000</v>
      </c>
      <c r="C6" s="42">
        <f t="shared" ref="C6:M6" si="0">B17</f>
        <v>91000</v>
      </c>
      <c r="D6" s="42">
        <f t="shared" si="0"/>
        <v>0</v>
      </c>
      <c r="E6" s="42">
        <f t="shared" si="0"/>
        <v>38000</v>
      </c>
      <c r="F6" s="42">
        <f t="shared" si="0"/>
        <v>76640</v>
      </c>
      <c r="G6" s="42">
        <f t="shared" si="0"/>
        <v>114640</v>
      </c>
      <c r="H6" s="42">
        <f t="shared" si="0"/>
        <v>114640</v>
      </c>
      <c r="I6" s="42">
        <f t="shared" si="0"/>
        <v>114640</v>
      </c>
      <c r="J6" s="42">
        <f t="shared" si="0"/>
        <v>114640</v>
      </c>
      <c r="K6" s="42">
        <f t="shared" si="0"/>
        <v>114640</v>
      </c>
      <c r="L6" s="42">
        <f t="shared" si="0"/>
        <v>114640</v>
      </c>
      <c r="M6" s="42">
        <f t="shared" si="0"/>
        <v>114640</v>
      </c>
    </row>
    <row r="7" spans="1:13" x14ac:dyDescent="0.3">
      <c r="A7" s="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3">
      <c r="A8" s="8" t="s">
        <v>3</v>
      </c>
      <c r="B8" s="42">
        <v>8000</v>
      </c>
      <c r="C8" s="42">
        <v>8000</v>
      </c>
      <c r="D8" s="42">
        <v>8000</v>
      </c>
      <c r="E8" s="42">
        <v>8000</v>
      </c>
      <c r="F8" s="42">
        <v>8000</v>
      </c>
      <c r="G8" s="42"/>
      <c r="H8" s="42"/>
      <c r="I8" s="42"/>
      <c r="J8" s="42"/>
      <c r="K8" s="42"/>
      <c r="L8" s="42"/>
      <c r="M8" s="42"/>
    </row>
    <row r="9" spans="1:13" x14ac:dyDescent="0.3">
      <c r="A9" s="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8" t="s">
        <v>803</v>
      </c>
      <c r="B13" s="42"/>
      <c r="C13" s="42"/>
      <c r="D13" s="42"/>
      <c r="E13" s="42">
        <v>640</v>
      </c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8" t="s">
        <v>5</v>
      </c>
      <c r="B14" s="42">
        <v>30000</v>
      </c>
      <c r="C14" s="42">
        <v>30000</v>
      </c>
      <c r="D14" s="42">
        <v>30000</v>
      </c>
      <c r="E14" s="42">
        <v>30000</v>
      </c>
      <c r="F14" s="42">
        <v>30000</v>
      </c>
      <c r="G14" s="42"/>
      <c r="H14" s="42"/>
      <c r="I14" s="42"/>
      <c r="J14" s="42"/>
      <c r="K14" s="42"/>
      <c r="L14" s="42"/>
      <c r="M14" s="42"/>
    </row>
    <row r="15" spans="1:13" x14ac:dyDescent="0.3">
      <c r="A15" s="8" t="s">
        <v>6</v>
      </c>
      <c r="B15" s="43">
        <f t="shared" ref="B15:M15" si="1">SUM(B6:B14)</f>
        <v>91000</v>
      </c>
      <c r="C15" s="43">
        <f t="shared" si="1"/>
        <v>129000</v>
      </c>
      <c r="D15" s="43">
        <f t="shared" si="1"/>
        <v>38000</v>
      </c>
      <c r="E15" s="43">
        <f t="shared" si="1"/>
        <v>76640</v>
      </c>
      <c r="F15" s="43">
        <f t="shared" si="1"/>
        <v>114640</v>
      </c>
      <c r="G15" s="43">
        <f t="shared" si="1"/>
        <v>114640</v>
      </c>
      <c r="H15" s="43">
        <f t="shared" si="1"/>
        <v>114640</v>
      </c>
      <c r="I15" s="43">
        <f t="shared" si="1"/>
        <v>114640</v>
      </c>
      <c r="J15" s="43">
        <f t="shared" si="1"/>
        <v>114640</v>
      </c>
      <c r="K15" s="43">
        <f t="shared" si="1"/>
        <v>114640</v>
      </c>
      <c r="L15" s="43">
        <f t="shared" si="1"/>
        <v>114640</v>
      </c>
      <c r="M15" s="43">
        <f t="shared" si="1"/>
        <v>114640</v>
      </c>
    </row>
    <row r="16" spans="1:13" ht="21" thickBot="1" x14ac:dyDescent="0.35">
      <c r="A16" s="8" t="s">
        <v>7</v>
      </c>
      <c r="B16" s="44"/>
      <c r="C16" s="44">
        <v>129000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ht="21" thickBot="1" x14ac:dyDescent="0.35">
      <c r="A17" s="8" t="s">
        <v>111</v>
      </c>
      <c r="B17" s="45">
        <f t="shared" ref="B17:M17" si="2">B15-B16</f>
        <v>91000</v>
      </c>
      <c r="C17" s="46">
        <f t="shared" si="2"/>
        <v>0</v>
      </c>
      <c r="D17" s="46">
        <f t="shared" si="2"/>
        <v>38000</v>
      </c>
      <c r="E17" s="46">
        <f t="shared" si="2"/>
        <v>76640</v>
      </c>
      <c r="F17" s="46">
        <f t="shared" si="2"/>
        <v>114640</v>
      </c>
      <c r="G17" s="46">
        <f t="shared" si="2"/>
        <v>114640</v>
      </c>
      <c r="H17" s="46">
        <f t="shared" si="2"/>
        <v>114640</v>
      </c>
      <c r="I17" s="46">
        <f t="shared" si="2"/>
        <v>114640</v>
      </c>
      <c r="J17" s="46">
        <f>J15-J16</f>
        <v>114640</v>
      </c>
      <c r="K17" s="46">
        <f t="shared" si="2"/>
        <v>114640</v>
      </c>
      <c r="L17" s="46">
        <f t="shared" si="2"/>
        <v>114640</v>
      </c>
      <c r="M17" s="46">
        <f t="shared" si="2"/>
        <v>114640</v>
      </c>
    </row>
    <row r="18" spans="1:13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173"/>
      <c r="L18" s="38"/>
      <c r="M18" s="38"/>
    </row>
    <row r="19" spans="1:1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1" spans="1:13" x14ac:dyDescent="0.3">
      <c r="A21" s="33"/>
      <c r="B21" s="82">
        <v>45658</v>
      </c>
      <c r="C21" s="82">
        <v>45689</v>
      </c>
      <c r="D21" s="82">
        <v>45717</v>
      </c>
      <c r="E21" s="82">
        <v>45748</v>
      </c>
      <c r="F21" s="82">
        <v>45778</v>
      </c>
      <c r="G21" s="82">
        <v>45809</v>
      </c>
      <c r="H21" s="82">
        <v>45839</v>
      </c>
      <c r="I21" s="82">
        <v>45870</v>
      </c>
      <c r="J21" s="82">
        <v>45901</v>
      </c>
      <c r="K21" s="82">
        <v>45931</v>
      </c>
      <c r="L21" s="82">
        <v>45962</v>
      </c>
      <c r="M21" s="82">
        <v>45992</v>
      </c>
    </row>
    <row r="22" spans="1:13" x14ac:dyDescent="0.3">
      <c r="A22" s="8" t="s">
        <v>110</v>
      </c>
      <c r="B22" s="42"/>
      <c r="C22" s="42">
        <f t="shared" ref="C22:M22" si="3">B33</f>
        <v>0</v>
      </c>
      <c r="D22" s="42">
        <f t="shared" si="3"/>
        <v>22315</v>
      </c>
      <c r="E22" s="42">
        <f t="shared" si="3"/>
        <v>0</v>
      </c>
      <c r="F22" s="42">
        <f t="shared" si="3"/>
        <v>25000</v>
      </c>
      <c r="G22" s="42">
        <f t="shared" si="3"/>
        <v>53000</v>
      </c>
      <c r="H22" s="42">
        <f t="shared" si="3"/>
        <v>81000</v>
      </c>
      <c r="I22" s="42">
        <f t="shared" si="3"/>
        <v>0</v>
      </c>
      <c r="J22" s="42">
        <f t="shared" si="3"/>
        <v>28000</v>
      </c>
      <c r="K22" s="42">
        <f t="shared" si="3"/>
        <v>56000</v>
      </c>
      <c r="L22" s="42">
        <f t="shared" si="3"/>
        <v>0</v>
      </c>
      <c r="M22" s="42">
        <f t="shared" si="3"/>
        <v>28000</v>
      </c>
    </row>
    <row r="23" spans="1:13" x14ac:dyDescent="0.3">
      <c r="A23" s="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8" t="s">
        <v>3</v>
      </c>
      <c r="B24" s="42">
        <v>6600</v>
      </c>
      <c r="C24" s="42">
        <v>2315</v>
      </c>
      <c r="D24" s="42">
        <v>5720</v>
      </c>
      <c r="E24" s="42">
        <v>5000</v>
      </c>
      <c r="F24" s="42">
        <v>8000</v>
      </c>
      <c r="G24" s="42">
        <v>8000</v>
      </c>
      <c r="H24" s="42">
        <v>8000</v>
      </c>
      <c r="I24" s="42">
        <v>8000</v>
      </c>
      <c r="J24" s="42">
        <v>8000</v>
      </c>
      <c r="K24" s="42">
        <v>8000</v>
      </c>
      <c r="L24" s="42">
        <v>8000</v>
      </c>
      <c r="M24" s="42">
        <v>5000</v>
      </c>
    </row>
    <row r="25" spans="1:13" x14ac:dyDescent="0.3">
      <c r="A25" s="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8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8" t="s">
        <v>5</v>
      </c>
      <c r="B30" s="42">
        <v>20000</v>
      </c>
      <c r="C30" s="42">
        <v>20000</v>
      </c>
      <c r="D30" s="42">
        <v>20000</v>
      </c>
      <c r="E30" s="42">
        <v>20000</v>
      </c>
      <c r="F30" s="42">
        <v>20000</v>
      </c>
      <c r="G30" s="42">
        <v>20000</v>
      </c>
      <c r="H30" s="42">
        <v>20000</v>
      </c>
      <c r="I30" s="42">
        <v>20000</v>
      </c>
      <c r="J30" s="42">
        <v>20000</v>
      </c>
      <c r="K30" s="42">
        <v>20000</v>
      </c>
      <c r="L30" s="42">
        <v>20000</v>
      </c>
      <c r="M30" s="42">
        <v>20000</v>
      </c>
    </row>
    <row r="31" spans="1:13" x14ac:dyDescent="0.3">
      <c r="A31" s="8" t="s">
        <v>6</v>
      </c>
      <c r="B31" s="43">
        <f t="shared" ref="B31:M31" si="4">SUM(B22:B30)</f>
        <v>26600</v>
      </c>
      <c r="C31" s="43">
        <f t="shared" si="4"/>
        <v>22315</v>
      </c>
      <c r="D31" s="43">
        <f t="shared" si="4"/>
        <v>48035</v>
      </c>
      <c r="E31" s="43">
        <f t="shared" si="4"/>
        <v>25000</v>
      </c>
      <c r="F31" s="43">
        <f t="shared" si="4"/>
        <v>53000</v>
      </c>
      <c r="G31" s="43">
        <f t="shared" si="4"/>
        <v>81000</v>
      </c>
      <c r="H31" s="43">
        <f t="shared" si="4"/>
        <v>109000</v>
      </c>
      <c r="I31" s="43">
        <f t="shared" si="4"/>
        <v>28000</v>
      </c>
      <c r="J31" s="43">
        <f t="shared" si="4"/>
        <v>56000</v>
      </c>
      <c r="K31" s="43">
        <f t="shared" si="4"/>
        <v>84000</v>
      </c>
      <c r="L31" s="43">
        <f t="shared" si="4"/>
        <v>28000</v>
      </c>
      <c r="M31" s="43">
        <f t="shared" si="4"/>
        <v>53000</v>
      </c>
    </row>
    <row r="32" spans="1:13" ht="21" thickBot="1" x14ac:dyDescent="0.35">
      <c r="A32" s="8" t="s">
        <v>7</v>
      </c>
      <c r="B32" s="44">
        <v>26600</v>
      </c>
      <c r="C32" s="44"/>
      <c r="D32" s="44">
        <v>48035</v>
      </c>
      <c r="E32" s="44"/>
      <c r="F32" s="44"/>
      <c r="G32" s="44"/>
      <c r="H32" s="44">
        <v>109000</v>
      </c>
      <c r="I32" s="44"/>
      <c r="J32" s="44"/>
      <c r="K32" s="44">
        <v>84000</v>
      </c>
      <c r="L32" s="44"/>
      <c r="M32" s="44"/>
    </row>
    <row r="33" spans="1:13" ht="21" thickBot="1" x14ac:dyDescent="0.35">
      <c r="A33" s="8" t="s">
        <v>111</v>
      </c>
      <c r="B33" s="45">
        <f t="shared" ref="B33:M33" si="5">B31-B32</f>
        <v>0</v>
      </c>
      <c r="C33" s="46">
        <f t="shared" si="5"/>
        <v>22315</v>
      </c>
      <c r="D33" s="46">
        <f t="shared" si="5"/>
        <v>0</v>
      </c>
      <c r="E33" s="46">
        <f t="shared" si="5"/>
        <v>25000</v>
      </c>
      <c r="F33" s="46">
        <f t="shared" si="5"/>
        <v>53000</v>
      </c>
      <c r="G33" s="46">
        <f t="shared" si="5"/>
        <v>81000</v>
      </c>
      <c r="H33" s="46">
        <f t="shared" si="5"/>
        <v>0</v>
      </c>
      <c r="I33" s="46">
        <f t="shared" si="5"/>
        <v>28000</v>
      </c>
      <c r="J33" s="46">
        <f t="shared" si="5"/>
        <v>56000</v>
      </c>
      <c r="K33" s="46">
        <f t="shared" si="5"/>
        <v>0</v>
      </c>
      <c r="L33" s="46">
        <f t="shared" si="5"/>
        <v>28000</v>
      </c>
      <c r="M33" s="47">
        <f t="shared" si="5"/>
        <v>53000</v>
      </c>
    </row>
    <row r="34" spans="1:13" x14ac:dyDescent="0.3">
      <c r="B34" s="125">
        <v>44959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5:M37"/>
  <sheetViews>
    <sheetView topLeftCell="A22" workbookViewId="0">
      <selection activeCell="E35" sqref="E35"/>
    </sheetView>
  </sheetViews>
  <sheetFormatPr baseColWidth="10" defaultRowHeight="12.75" x14ac:dyDescent="0.2"/>
  <cols>
    <col min="1" max="1" width="34" customWidth="1"/>
  </cols>
  <sheetData>
    <row r="5" spans="1:13" x14ac:dyDescent="0.2">
      <c r="A5" s="80" t="s">
        <v>0</v>
      </c>
      <c r="B5" s="80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x14ac:dyDescent="0.2">
      <c r="A6" s="81"/>
      <c r="B6" s="82">
        <v>45658</v>
      </c>
      <c r="C6" s="82">
        <v>45689</v>
      </c>
      <c r="D6" s="82">
        <v>45717</v>
      </c>
      <c r="E6" s="82">
        <v>45748</v>
      </c>
      <c r="F6" s="82">
        <v>45778</v>
      </c>
      <c r="G6" s="82">
        <v>45809</v>
      </c>
      <c r="H6" s="82">
        <v>45839</v>
      </c>
      <c r="I6" s="82">
        <v>45870</v>
      </c>
      <c r="J6" s="82">
        <v>45901</v>
      </c>
      <c r="K6" s="82">
        <v>45931</v>
      </c>
      <c r="L6" s="82">
        <v>45962</v>
      </c>
      <c r="M6" s="82">
        <v>45992</v>
      </c>
    </row>
    <row r="7" spans="1:13" x14ac:dyDescent="0.2">
      <c r="A7" s="78" t="s">
        <v>110</v>
      </c>
      <c r="B7" s="42">
        <v>0</v>
      </c>
      <c r="C7" s="42">
        <f t="shared" ref="C7:H7" si="0">B18</f>
        <v>37300</v>
      </c>
      <c r="D7" s="42">
        <f t="shared" si="0"/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>H18</f>
        <v>0</v>
      </c>
      <c r="J7" s="42">
        <f>I18</f>
        <v>0</v>
      </c>
      <c r="K7" s="42">
        <f>J18</f>
        <v>0</v>
      </c>
      <c r="L7" s="42">
        <f>K18</f>
        <v>-500</v>
      </c>
      <c r="M7" s="42">
        <f>L18</f>
        <v>0</v>
      </c>
    </row>
    <row r="8" spans="1:13" x14ac:dyDescent="0.2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>
        <v>22300</v>
      </c>
      <c r="C10" s="42">
        <v>22300</v>
      </c>
      <c r="D10" s="42">
        <v>22300</v>
      </c>
      <c r="E10" s="42">
        <v>22300</v>
      </c>
      <c r="F10" s="42">
        <v>22300</v>
      </c>
      <c r="G10" s="42">
        <v>22300</v>
      </c>
      <c r="H10" s="42">
        <v>25500</v>
      </c>
      <c r="I10" s="42">
        <v>25500</v>
      </c>
      <c r="J10" s="42">
        <v>25500</v>
      </c>
      <c r="K10" s="42">
        <v>25500</v>
      </c>
      <c r="L10" s="42">
        <v>25500</v>
      </c>
      <c r="M10" s="42">
        <v>25500</v>
      </c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299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15000</v>
      </c>
      <c r="C15" s="42">
        <v>15000</v>
      </c>
      <c r="D15" s="42">
        <v>15000</v>
      </c>
      <c r="E15" s="42">
        <v>15000</v>
      </c>
      <c r="F15" s="42">
        <v>15000</v>
      </c>
      <c r="G15" s="42">
        <v>15000</v>
      </c>
      <c r="H15" s="42">
        <v>15000</v>
      </c>
      <c r="I15" s="42">
        <v>20000</v>
      </c>
      <c r="J15" s="42">
        <v>20000</v>
      </c>
      <c r="K15" s="42">
        <v>20000</v>
      </c>
      <c r="L15" s="42">
        <v>20000</v>
      </c>
      <c r="M15" s="42">
        <v>20000</v>
      </c>
    </row>
    <row r="16" spans="1:13" x14ac:dyDescent="0.2">
      <c r="A16" s="78" t="s">
        <v>6</v>
      </c>
      <c r="B16" s="43">
        <f t="shared" ref="B16:M16" si="1">SUM(B7:B15)</f>
        <v>37300</v>
      </c>
      <c r="C16" s="43">
        <f t="shared" si="1"/>
        <v>74600</v>
      </c>
      <c r="D16" s="43">
        <f t="shared" si="1"/>
        <v>37300</v>
      </c>
      <c r="E16" s="43">
        <f t="shared" si="1"/>
        <v>37300</v>
      </c>
      <c r="F16" s="43">
        <f t="shared" si="1"/>
        <v>37300</v>
      </c>
      <c r="G16" s="43">
        <f t="shared" si="1"/>
        <v>37300</v>
      </c>
      <c r="H16" s="43">
        <f t="shared" si="1"/>
        <v>40500</v>
      </c>
      <c r="I16" s="43">
        <f t="shared" si="1"/>
        <v>45500</v>
      </c>
      <c r="J16" s="43">
        <f t="shared" si="1"/>
        <v>45500</v>
      </c>
      <c r="K16" s="43">
        <f t="shared" si="1"/>
        <v>45500</v>
      </c>
      <c r="L16" s="43">
        <f t="shared" si="1"/>
        <v>45000</v>
      </c>
      <c r="M16" s="43">
        <f t="shared" si="1"/>
        <v>45500</v>
      </c>
    </row>
    <row r="17" spans="1:13" ht="13.5" thickBot="1" x14ac:dyDescent="0.25">
      <c r="A17" s="78" t="s">
        <v>7</v>
      </c>
      <c r="B17" s="44"/>
      <c r="C17" s="44">
        <v>74600</v>
      </c>
      <c r="D17" s="44">
        <v>37300</v>
      </c>
      <c r="E17" s="44">
        <v>37300</v>
      </c>
      <c r="F17" s="44">
        <v>37300</v>
      </c>
      <c r="G17" s="44">
        <v>37300</v>
      </c>
      <c r="H17" s="44">
        <v>40500</v>
      </c>
      <c r="I17" s="44">
        <v>45500</v>
      </c>
      <c r="J17" s="44">
        <v>45500</v>
      </c>
      <c r="K17" s="44">
        <v>46000</v>
      </c>
      <c r="L17" s="44">
        <v>45000</v>
      </c>
      <c r="M17" s="44">
        <v>45500</v>
      </c>
    </row>
    <row r="18" spans="1:13" ht="13.5" thickBot="1" x14ac:dyDescent="0.25">
      <c r="A18" s="78" t="s">
        <v>111</v>
      </c>
      <c r="B18" s="45">
        <f t="shared" ref="B18:M18" si="2">B16-B17</f>
        <v>37300</v>
      </c>
      <c r="C18" s="46">
        <f t="shared" si="2"/>
        <v>0</v>
      </c>
      <c r="D18" s="46">
        <f t="shared" si="2"/>
        <v>0</v>
      </c>
      <c r="E18" s="46">
        <f t="shared" si="2"/>
        <v>0</v>
      </c>
      <c r="F18" s="46">
        <f t="shared" si="2"/>
        <v>0</v>
      </c>
      <c r="G18" s="46">
        <f t="shared" si="2"/>
        <v>0</v>
      </c>
      <c r="H18" s="46">
        <f t="shared" si="2"/>
        <v>0</v>
      </c>
      <c r="I18" s="46">
        <f t="shared" si="2"/>
        <v>0</v>
      </c>
      <c r="J18" s="46">
        <f t="shared" si="2"/>
        <v>0</v>
      </c>
      <c r="K18" s="46">
        <f t="shared" si="2"/>
        <v>-500</v>
      </c>
      <c r="L18" s="46">
        <f t="shared" si="2"/>
        <v>0</v>
      </c>
      <c r="M18" s="47">
        <f t="shared" si="2"/>
        <v>0</v>
      </c>
    </row>
    <row r="19" spans="1:13" x14ac:dyDescent="0.2">
      <c r="C19" s="128">
        <v>44250</v>
      </c>
    </row>
    <row r="20" spans="1:13" x14ac:dyDescent="0.2">
      <c r="G20" s="159"/>
    </row>
    <row r="22" spans="1:13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2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2">
      <c r="A24" s="78" t="s">
        <v>110</v>
      </c>
      <c r="B24" s="42"/>
      <c r="C24" s="42">
        <f t="shared" ref="C24:M24" si="3">B35</f>
        <v>60000</v>
      </c>
      <c r="D24" s="42">
        <f t="shared" si="3"/>
        <v>0</v>
      </c>
      <c r="E24" s="42">
        <f t="shared" si="3"/>
        <v>0</v>
      </c>
      <c r="F24" s="42">
        <f t="shared" si="3"/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 t="str">
        <f t="shared" si="3"/>
        <v>|</v>
      </c>
      <c r="M24" s="42">
        <f t="shared" si="3"/>
        <v>0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30000</v>
      </c>
      <c r="C27" s="42">
        <v>30000</v>
      </c>
      <c r="D27" s="42">
        <v>30000</v>
      </c>
      <c r="E27" s="42">
        <v>30000</v>
      </c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299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30000</v>
      </c>
      <c r="C32" s="42">
        <v>30000</v>
      </c>
      <c r="D32" s="42">
        <v>30000</v>
      </c>
      <c r="E32" s="42">
        <v>30000</v>
      </c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 t="shared" ref="B33:M33" si="4">SUM(B24:B32)</f>
        <v>60000</v>
      </c>
      <c r="C33" s="43">
        <f t="shared" si="4"/>
        <v>120000</v>
      </c>
      <c r="D33" s="43">
        <f t="shared" si="4"/>
        <v>60000</v>
      </c>
      <c r="E33" s="43">
        <f t="shared" si="4"/>
        <v>60000</v>
      </c>
      <c r="F33" s="43">
        <f t="shared" si="4"/>
        <v>0</v>
      </c>
      <c r="G33" s="43">
        <f t="shared" si="4"/>
        <v>0</v>
      </c>
      <c r="H33" s="43">
        <f t="shared" si="4"/>
        <v>0</v>
      </c>
      <c r="I33" s="43">
        <f t="shared" si="4"/>
        <v>0</v>
      </c>
      <c r="J33" s="43">
        <f t="shared" si="4"/>
        <v>0</v>
      </c>
      <c r="K33" s="43">
        <f t="shared" si="4"/>
        <v>0</v>
      </c>
      <c r="L33" s="43">
        <f t="shared" si="4"/>
        <v>0</v>
      </c>
      <c r="M33" s="43">
        <f t="shared" si="4"/>
        <v>0</v>
      </c>
    </row>
    <row r="34" spans="1:13" ht="13.5" thickBot="1" x14ac:dyDescent="0.25">
      <c r="A34" s="78" t="s">
        <v>7</v>
      </c>
      <c r="B34" s="44"/>
      <c r="C34" s="44">
        <v>120000</v>
      </c>
      <c r="D34" s="44">
        <v>60000</v>
      </c>
      <c r="E34" s="44">
        <v>60000</v>
      </c>
      <c r="F34" s="44"/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60000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 t="s">
        <v>701</v>
      </c>
      <c r="L35" s="46">
        <f t="shared" si="5"/>
        <v>0</v>
      </c>
      <c r="M35" s="47">
        <f t="shared" si="5"/>
        <v>0</v>
      </c>
    </row>
    <row r="37" spans="1:13" x14ac:dyDescent="0.2">
      <c r="E37" s="15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O40"/>
  <sheetViews>
    <sheetView showGridLines="0" workbookViewId="0"/>
  </sheetViews>
  <sheetFormatPr baseColWidth="10" defaultRowHeight="20.25" x14ac:dyDescent="0.3"/>
  <cols>
    <col min="1" max="1" width="23.28515625" style="2" customWidth="1"/>
    <col min="2" max="2" width="8.7109375" style="2" bestFit="1" customWidth="1"/>
    <col min="3" max="3" width="11.28515625" style="2" customWidth="1"/>
    <col min="4" max="4" width="11.42578125" style="2" customWidth="1"/>
    <col min="5" max="5" width="12.140625" style="2" customWidth="1"/>
    <col min="6" max="6" width="13" style="2" customWidth="1"/>
    <col min="7" max="7" width="11.140625" style="2" customWidth="1"/>
    <col min="8" max="8" width="12.42578125" style="2" customWidth="1"/>
    <col min="9" max="9" width="11.28515625" style="2" customWidth="1"/>
    <col min="10" max="10" width="13.140625" style="2" customWidth="1"/>
    <col min="11" max="11" width="12.7109375" style="2" customWidth="1"/>
    <col min="12" max="12" width="11.28515625" style="2" customWidth="1"/>
    <col min="13" max="13" width="11.5703125" style="2" customWidth="1"/>
    <col min="14" max="14" width="11.42578125" style="2"/>
    <col min="15" max="15" width="21.140625" style="2" bestFit="1" customWidth="1"/>
    <col min="16" max="16384" width="11.42578125" style="2"/>
  </cols>
  <sheetData>
    <row r="1" spans="1:13" ht="33" x14ac:dyDescent="0.45">
      <c r="A1" s="14" t="s">
        <v>233</v>
      </c>
    </row>
    <row r="2" spans="1:13" x14ac:dyDescent="0.3">
      <c r="A2" s="80" t="s">
        <v>0</v>
      </c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x14ac:dyDescent="0.3">
      <c r="A3" s="63"/>
      <c r="B3" s="97">
        <v>45658</v>
      </c>
      <c r="C3" s="97">
        <v>45689</v>
      </c>
      <c r="D3" s="97">
        <v>45717</v>
      </c>
      <c r="E3" s="97">
        <v>45748</v>
      </c>
      <c r="F3" s="97">
        <v>45778</v>
      </c>
      <c r="G3" s="97">
        <v>45809</v>
      </c>
      <c r="H3" s="97">
        <v>45839</v>
      </c>
      <c r="I3" s="97">
        <v>45870</v>
      </c>
      <c r="J3" s="97">
        <v>45901</v>
      </c>
      <c r="K3" s="97">
        <v>45931</v>
      </c>
      <c r="L3" s="97">
        <v>45962</v>
      </c>
      <c r="M3" s="97">
        <v>45992</v>
      </c>
    </row>
    <row r="4" spans="1:13" x14ac:dyDescent="0.3">
      <c r="A4" s="115" t="s">
        <v>110</v>
      </c>
      <c r="B4" s="116"/>
      <c r="C4" s="94">
        <f t="shared" ref="C4:M4" si="0">B15</f>
        <v>0</v>
      </c>
      <c r="D4" s="94">
        <f t="shared" si="0"/>
        <v>0</v>
      </c>
      <c r="E4" s="94">
        <f t="shared" si="0"/>
        <v>0</v>
      </c>
      <c r="F4" s="94">
        <f t="shared" si="0"/>
        <v>0</v>
      </c>
      <c r="G4" s="94">
        <f t="shared" si="0"/>
        <v>0</v>
      </c>
      <c r="H4" s="94">
        <f t="shared" si="0"/>
        <v>0</v>
      </c>
      <c r="I4" s="94">
        <f t="shared" si="0"/>
        <v>0</v>
      </c>
      <c r="J4" s="94">
        <f t="shared" si="0"/>
        <v>0</v>
      </c>
      <c r="K4" s="94">
        <f t="shared" si="0"/>
        <v>0</v>
      </c>
      <c r="L4" s="94">
        <f t="shared" si="0"/>
        <v>0</v>
      </c>
      <c r="M4" s="94">
        <f t="shared" si="0"/>
        <v>0</v>
      </c>
    </row>
    <row r="5" spans="1:13" x14ac:dyDescent="0.3">
      <c r="A5" s="115" t="s">
        <v>2</v>
      </c>
      <c r="B5" s="116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</row>
    <row r="6" spans="1:13" x14ac:dyDescent="0.3">
      <c r="A6" s="115" t="s">
        <v>3</v>
      </c>
      <c r="B6" s="116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</row>
    <row r="7" spans="1:13" x14ac:dyDescent="0.3">
      <c r="A7" s="115" t="s">
        <v>4</v>
      </c>
      <c r="B7" s="116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</row>
    <row r="8" spans="1:13" x14ac:dyDescent="0.3">
      <c r="A8" s="115" t="s">
        <v>9</v>
      </c>
      <c r="B8" s="116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</row>
    <row r="9" spans="1:13" x14ac:dyDescent="0.3">
      <c r="A9" s="115" t="s">
        <v>73</v>
      </c>
      <c r="B9" s="116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</row>
    <row r="10" spans="1:13" x14ac:dyDescent="0.3">
      <c r="A10" s="115" t="s">
        <v>74</v>
      </c>
      <c r="B10" s="116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</row>
    <row r="11" spans="1:13" x14ac:dyDescent="0.3">
      <c r="A11" s="115" t="s">
        <v>184</v>
      </c>
      <c r="B11" s="116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</row>
    <row r="12" spans="1:13" x14ac:dyDescent="0.3">
      <c r="A12" s="115" t="s">
        <v>5</v>
      </c>
      <c r="B12" s="116">
        <v>50000</v>
      </c>
      <c r="C12" s="116">
        <v>50000</v>
      </c>
      <c r="D12" s="116">
        <v>50000</v>
      </c>
      <c r="E12" s="116">
        <v>50000</v>
      </c>
      <c r="F12" s="116">
        <v>50000</v>
      </c>
      <c r="G12" s="116">
        <v>50000</v>
      </c>
      <c r="H12" s="116">
        <v>50000</v>
      </c>
      <c r="I12" s="116">
        <v>50000</v>
      </c>
      <c r="J12" s="116">
        <v>50000</v>
      </c>
      <c r="K12" s="116">
        <v>50000</v>
      </c>
      <c r="L12" s="116">
        <v>50000</v>
      </c>
      <c r="M12" s="116">
        <v>50000</v>
      </c>
    </row>
    <row r="13" spans="1:13" x14ac:dyDescent="0.3">
      <c r="A13" s="115" t="s">
        <v>6</v>
      </c>
      <c r="B13" s="95">
        <f t="shared" ref="B13:M13" si="1">SUM(B4:B12)</f>
        <v>50000</v>
      </c>
      <c r="C13" s="95">
        <f t="shared" si="1"/>
        <v>50000</v>
      </c>
      <c r="D13" s="95">
        <f t="shared" si="1"/>
        <v>50000</v>
      </c>
      <c r="E13" s="95">
        <f t="shared" si="1"/>
        <v>50000</v>
      </c>
      <c r="F13" s="95">
        <f t="shared" si="1"/>
        <v>50000</v>
      </c>
      <c r="G13" s="95">
        <f t="shared" si="1"/>
        <v>50000</v>
      </c>
      <c r="H13" s="95">
        <f t="shared" si="1"/>
        <v>50000</v>
      </c>
      <c r="I13" s="95">
        <f t="shared" si="1"/>
        <v>50000</v>
      </c>
      <c r="J13" s="95">
        <f t="shared" si="1"/>
        <v>50000</v>
      </c>
      <c r="K13" s="95">
        <f t="shared" si="1"/>
        <v>50000</v>
      </c>
      <c r="L13" s="95">
        <f t="shared" si="1"/>
        <v>50000</v>
      </c>
      <c r="M13" s="95">
        <f t="shared" si="1"/>
        <v>50000</v>
      </c>
    </row>
    <row r="14" spans="1:13" ht="21" thickBot="1" x14ac:dyDescent="0.35">
      <c r="A14" s="115" t="s">
        <v>7</v>
      </c>
      <c r="B14" s="96">
        <v>50000</v>
      </c>
      <c r="C14" s="96">
        <v>50000</v>
      </c>
      <c r="D14" s="96">
        <v>50000</v>
      </c>
      <c r="E14" s="96">
        <v>50000</v>
      </c>
      <c r="F14" s="96">
        <v>50000</v>
      </c>
      <c r="G14" s="96">
        <v>50000</v>
      </c>
      <c r="H14" s="96">
        <v>50000</v>
      </c>
      <c r="I14" s="96">
        <v>50000</v>
      </c>
      <c r="J14" s="96">
        <v>50000</v>
      </c>
      <c r="K14" s="96">
        <v>50000</v>
      </c>
      <c r="L14" s="96">
        <v>50000</v>
      </c>
      <c r="M14" s="96">
        <v>50000</v>
      </c>
    </row>
    <row r="15" spans="1:13" ht="21" thickBot="1" x14ac:dyDescent="0.35">
      <c r="A15" s="115" t="s">
        <v>111</v>
      </c>
      <c r="B15" s="99">
        <f t="shared" ref="B15:M15" si="2">B13-B14</f>
        <v>0</v>
      </c>
      <c r="C15" s="99">
        <f t="shared" si="2"/>
        <v>0</v>
      </c>
      <c r="D15" s="99">
        <f t="shared" si="2"/>
        <v>0</v>
      </c>
      <c r="E15" s="99">
        <f t="shared" si="2"/>
        <v>0</v>
      </c>
      <c r="F15" s="99">
        <f t="shared" si="2"/>
        <v>0</v>
      </c>
      <c r="G15" s="99">
        <f t="shared" si="2"/>
        <v>0</v>
      </c>
      <c r="H15" s="99">
        <f t="shared" si="2"/>
        <v>0</v>
      </c>
      <c r="I15" s="99">
        <f t="shared" si="2"/>
        <v>0</v>
      </c>
      <c r="J15" s="99">
        <f t="shared" si="2"/>
        <v>0</v>
      </c>
      <c r="K15" s="99">
        <f t="shared" si="2"/>
        <v>0</v>
      </c>
      <c r="L15" s="99">
        <f t="shared" si="2"/>
        <v>0</v>
      </c>
      <c r="M15" s="100">
        <f t="shared" si="2"/>
        <v>0</v>
      </c>
    </row>
    <row r="16" spans="1:13" x14ac:dyDescent="0.3">
      <c r="A16" s="8"/>
      <c r="B16" s="207">
        <v>45694</v>
      </c>
      <c r="C16" s="58"/>
      <c r="D16" s="58"/>
      <c r="E16" s="58"/>
      <c r="F16" s="58"/>
      <c r="G16" s="58"/>
      <c r="H16" s="58"/>
      <c r="I16" s="90" t="s">
        <v>746</v>
      </c>
      <c r="J16" s="58"/>
      <c r="K16" s="58"/>
      <c r="L16" s="58"/>
      <c r="M16" s="58"/>
    </row>
    <row r="17" spans="1:15" x14ac:dyDescent="0.3">
      <c r="A17" s="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5" x14ac:dyDescent="0.3">
      <c r="A18" s="80" t="s">
        <v>0</v>
      </c>
      <c r="B18" s="80" t="s">
        <v>1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</row>
    <row r="19" spans="1:15" x14ac:dyDescent="0.3">
      <c r="A19" s="63"/>
      <c r="B19" s="97">
        <v>46023</v>
      </c>
      <c r="C19" s="97">
        <v>46054</v>
      </c>
      <c r="D19" s="97">
        <v>46082</v>
      </c>
      <c r="E19" s="97">
        <v>46113</v>
      </c>
      <c r="F19" s="97">
        <v>46143</v>
      </c>
      <c r="G19" s="97">
        <v>46174</v>
      </c>
      <c r="H19" s="97">
        <v>46204</v>
      </c>
      <c r="I19" s="97">
        <v>46235</v>
      </c>
      <c r="J19" s="97">
        <v>46266</v>
      </c>
      <c r="K19" s="97">
        <v>46296</v>
      </c>
      <c r="L19" s="97">
        <v>46327</v>
      </c>
      <c r="M19" s="97">
        <v>46357</v>
      </c>
    </row>
    <row r="20" spans="1:15" x14ac:dyDescent="0.3">
      <c r="A20" s="115" t="s">
        <v>110</v>
      </c>
      <c r="B20" s="116"/>
      <c r="C20" s="94">
        <f t="shared" ref="C20:M20" si="3">B31</f>
        <v>60000</v>
      </c>
      <c r="D20" s="94">
        <f t="shared" si="3"/>
        <v>0</v>
      </c>
      <c r="E20" s="94">
        <f t="shared" si="3"/>
        <v>0</v>
      </c>
      <c r="F20" s="94">
        <f t="shared" si="3"/>
        <v>0</v>
      </c>
      <c r="G20" s="94">
        <f t="shared" si="3"/>
        <v>0</v>
      </c>
      <c r="H20" s="94">
        <f t="shared" si="3"/>
        <v>0</v>
      </c>
      <c r="I20" s="94">
        <f t="shared" si="3"/>
        <v>0</v>
      </c>
      <c r="J20" s="94">
        <f t="shared" si="3"/>
        <v>0</v>
      </c>
      <c r="K20" s="94">
        <f t="shared" si="3"/>
        <v>0</v>
      </c>
      <c r="L20" s="94">
        <f t="shared" si="3"/>
        <v>0</v>
      </c>
      <c r="M20" s="94">
        <f t="shared" si="3"/>
        <v>0</v>
      </c>
    </row>
    <row r="21" spans="1:15" x14ac:dyDescent="0.3">
      <c r="A21" s="115" t="s">
        <v>2</v>
      </c>
      <c r="B21" s="116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5" x14ac:dyDescent="0.3">
      <c r="A22" s="115" t="s">
        <v>3</v>
      </c>
      <c r="B22" s="116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5" x14ac:dyDescent="0.3">
      <c r="A23" s="115" t="s">
        <v>4</v>
      </c>
      <c r="B23" s="116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5" x14ac:dyDescent="0.3">
      <c r="A24" s="115" t="s">
        <v>9</v>
      </c>
      <c r="B24" s="116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5" x14ac:dyDescent="0.3">
      <c r="A25" s="115" t="s">
        <v>73</v>
      </c>
      <c r="B25" s="116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1:15" x14ac:dyDescent="0.3">
      <c r="A26" s="115" t="s">
        <v>74</v>
      </c>
      <c r="B26" s="116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5" x14ac:dyDescent="0.3">
      <c r="A27" s="115" t="s">
        <v>184</v>
      </c>
      <c r="B27" s="116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O27" s="180">
        <v>60000</v>
      </c>
    </row>
    <row r="28" spans="1:15" x14ac:dyDescent="0.3">
      <c r="A28" s="115" t="s">
        <v>5</v>
      </c>
      <c r="B28" s="116">
        <v>60000</v>
      </c>
      <c r="C28" s="116">
        <v>60000</v>
      </c>
      <c r="D28" s="94">
        <v>60000</v>
      </c>
      <c r="E28" s="94">
        <v>60000</v>
      </c>
      <c r="F28" s="94"/>
      <c r="G28" s="94"/>
      <c r="H28" s="94"/>
      <c r="I28" s="94"/>
      <c r="J28" s="94"/>
      <c r="K28" s="94"/>
      <c r="L28" s="94"/>
      <c r="M28" s="94"/>
      <c r="O28" s="180">
        <v>100000</v>
      </c>
    </row>
    <row r="29" spans="1:15" x14ac:dyDescent="0.3">
      <c r="A29" s="115" t="s">
        <v>6</v>
      </c>
      <c r="B29" s="95">
        <f t="shared" ref="B29:M29" si="4">SUM(B20:B28)</f>
        <v>60000</v>
      </c>
      <c r="C29" s="95">
        <f t="shared" si="4"/>
        <v>120000</v>
      </c>
      <c r="D29" s="95">
        <f t="shared" si="4"/>
        <v>60000</v>
      </c>
      <c r="E29" s="95">
        <f t="shared" si="4"/>
        <v>60000</v>
      </c>
      <c r="F29" s="95">
        <f t="shared" si="4"/>
        <v>0</v>
      </c>
      <c r="G29" s="95">
        <f t="shared" si="4"/>
        <v>0</v>
      </c>
      <c r="H29" s="95">
        <f t="shared" si="4"/>
        <v>0</v>
      </c>
      <c r="I29" s="95">
        <f t="shared" si="4"/>
        <v>0</v>
      </c>
      <c r="J29" s="95">
        <f t="shared" si="4"/>
        <v>0</v>
      </c>
      <c r="K29" s="95">
        <f t="shared" si="4"/>
        <v>0</v>
      </c>
      <c r="L29" s="95">
        <f t="shared" si="4"/>
        <v>0</v>
      </c>
      <c r="M29" s="95">
        <f t="shared" si="4"/>
        <v>0</v>
      </c>
      <c r="O29" s="180">
        <v>10000</v>
      </c>
    </row>
    <row r="30" spans="1:15" ht="21" thickBot="1" x14ac:dyDescent="0.35">
      <c r="A30" s="115" t="s">
        <v>7</v>
      </c>
      <c r="B30" s="96"/>
      <c r="C30" s="96">
        <v>120000</v>
      </c>
      <c r="D30" s="96">
        <v>60000</v>
      </c>
      <c r="E30" s="96">
        <v>60000</v>
      </c>
      <c r="F30" s="96"/>
      <c r="G30" s="96"/>
      <c r="H30" s="96"/>
      <c r="I30" s="96"/>
      <c r="J30" s="96"/>
      <c r="K30" s="96"/>
      <c r="L30" s="96"/>
      <c r="M30" s="96"/>
      <c r="O30" s="180">
        <f>500*80</f>
        <v>40000</v>
      </c>
    </row>
    <row r="31" spans="1:15" ht="21" thickBot="1" x14ac:dyDescent="0.35">
      <c r="A31" s="115" t="s">
        <v>111</v>
      </c>
      <c r="B31" s="99">
        <f t="shared" ref="B31:M31" si="5">B29-B30</f>
        <v>60000</v>
      </c>
      <c r="C31" s="99">
        <f t="shared" si="5"/>
        <v>0</v>
      </c>
      <c r="D31" s="99">
        <f t="shared" si="5"/>
        <v>0</v>
      </c>
      <c r="E31" s="99">
        <f t="shared" si="5"/>
        <v>0</v>
      </c>
      <c r="F31" s="99">
        <f t="shared" si="5"/>
        <v>0</v>
      </c>
      <c r="G31" s="99">
        <f t="shared" si="5"/>
        <v>0</v>
      </c>
      <c r="H31" s="99">
        <f t="shared" si="5"/>
        <v>0</v>
      </c>
      <c r="I31" s="99">
        <f t="shared" si="5"/>
        <v>0</v>
      </c>
      <c r="J31" s="99">
        <f t="shared" si="5"/>
        <v>0</v>
      </c>
      <c r="K31" s="99">
        <f t="shared" si="5"/>
        <v>0</v>
      </c>
      <c r="L31" s="99">
        <f t="shared" si="5"/>
        <v>0</v>
      </c>
      <c r="M31" s="100">
        <f t="shared" si="5"/>
        <v>0</v>
      </c>
      <c r="O31" s="180">
        <v>100000</v>
      </c>
    </row>
    <row r="32" spans="1:15" x14ac:dyDescent="0.3">
      <c r="E32" s="125">
        <v>45418</v>
      </c>
      <c r="F32" s="125">
        <v>45447</v>
      </c>
      <c r="J32" s="125"/>
      <c r="O32" s="180">
        <v>500</v>
      </c>
    </row>
    <row r="33" spans="15:15" x14ac:dyDescent="0.3">
      <c r="O33" s="180">
        <v>100000</v>
      </c>
    </row>
    <row r="34" spans="15:15" x14ac:dyDescent="0.3">
      <c r="O34" s="180">
        <v>100000</v>
      </c>
    </row>
    <row r="35" spans="15:15" x14ac:dyDescent="0.3">
      <c r="O35" s="180">
        <v>50000</v>
      </c>
    </row>
    <row r="36" spans="15:15" x14ac:dyDescent="0.3">
      <c r="O36" s="180">
        <v>50000</v>
      </c>
    </row>
    <row r="37" spans="15:15" x14ac:dyDescent="0.3">
      <c r="O37" s="180">
        <v>100000</v>
      </c>
    </row>
    <row r="38" spans="15:15" x14ac:dyDescent="0.3">
      <c r="O38" s="181">
        <f>SUM(O27:O37)</f>
        <v>710500</v>
      </c>
    </row>
    <row r="39" spans="15:15" x14ac:dyDescent="0.3">
      <c r="O39" s="181">
        <v>95000</v>
      </c>
    </row>
    <row r="40" spans="15:15" x14ac:dyDescent="0.3">
      <c r="O40" s="181">
        <f>O38+O39</f>
        <v>805500</v>
      </c>
    </row>
  </sheetData>
  <phoneticPr fontId="4" type="noConversion"/>
  <pageMargins left="0.75" right="0.75" top="1" bottom="1" header="0" footer="0"/>
  <pageSetup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3:N40"/>
  <sheetViews>
    <sheetView workbookViewId="0">
      <selection activeCell="G15" sqref="G15"/>
    </sheetView>
  </sheetViews>
  <sheetFormatPr baseColWidth="10" defaultRowHeight="12.75" x14ac:dyDescent="0.2"/>
  <cols>
    <col min="1" max="1" width="33.7109375" customWidth="1"/>
    <col min="2" max="2" width="12.7109375" customWidth="1"/>
    <col min="13" max="13" width="12.425781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225000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>
        <v>23000</v>
      </c>
      <c r="C11" s="42">
        <v>23000</v>
      </c>
      <c r="D11" s="42">
        <v>25000</v>
      </c>
      <c r="E11" s="42">
        <v>25000</v>
      </c>
      <c r="F11" s="42">
        <v>25000</v>
      </c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184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175000</v>
      </c>
      <c r="C13" s="42">
        <v>180000</v>
      </c>
      <c r="D13" s="42">
        <v>190000</v>
      </c>
      <c r="E13" s="42">
        <v>200000</v>
      </c>
      <c r="F13" s="42">
        <v>200000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198000</v>
      </c>
      <c r="C14" s="43">
        <f t="shared" si="1"/>
        <v>203000</v>
      </c>
      <c r="D14" s="43">
        <f t="shared" si="1"/>
        <v>215000</v>
      </c>
      <c r="E14" s="43">
        <f t="shared" si="1"/>
        <v>225000</v>
      </c>
      <c r="F14" s="43">
        <f t="shared" si="1"/>
        <v>450000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ht="13.5" thickBot="1" x14ac:dyDescent="0.25">
      <c r="A15" s="78" t="s">
        <v>7</v>
      </c>
      <c r="B15" s="44">
        <v>198000</v>
      </c>
      <c r="C15" s="44">
        <v>203000</v>
      </c>
      <c r="D15" s="44">
        <v>215000</v>
      </c>
      <c r="E15" s="44"/>
      <c r="F15" s="44">
        <v>450000</v>
      </c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 t="shared" si="2"/>
        <v>0</v>
      </c>
      <c r="E16" s="46">
        <f t="shared" si="2"/>
        <v>225000</v>
      </c>
      <c r="F16" s="46">
        <f>F14-F15</f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</row>
    <row r="17" spans="1:13" x14ac:dyDescent="0.2">
      <c r="D17" s="128">
        <v>46107</v>
      </c>
      <c r="M17" s="128"/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" x14ac:dyDescent="0.2">
      <c r="A24" s="33"/>
      <c r="B24" s="82">
        <v>45658</v>
      </c>
      <c r="C24" s="82">
        <v>45689</v>
      </c>
      <c r="D24" s="82">
        <v>45717</v>
      </c>
      <c r="E24" s="82">
        <v>45748</v>
      </c>
      <c r="F24" s="82">
        <v>45778</v>
      </c>
      <c r="G24" s="82">
        <v>45809</v>
      </c>
      <c r="H24" s="82">
        <v>45839</v>
      </c>
      <c r="I24" s="82">
        <v>45870</v>
      </c>
      <c r="J24" s="82">
        <v>45901</v>
      </c>
      <c r="K24" s="82">
        <v>45931</v>
      </c>
      <c r="L24" s="82">
        <v>45962</v>
      </c>
      <c r="M24" s="82">
        <v>45992</v>
      </c>
    </row>
    <row r="25" spans="1:13" ht="15" x14ac:dyDescent="0.2">
      <c r="A25" s="8" t="s">
        <v>110</v>
      </c>
      <c r="B25" s="42"/>
      <c r="C25" s="42">
        <f t="shared" ref="C25:M25" si="3">B36</f>
        <v>112300</v>
      </c>
      <c r="D25" s="42">
        <f t="shared" si="3"/>
        <v>0</v>
      </c>
      <c r="E25" s="42">
        <f t="shared" si="3"/>
        <v>0</v>
      </c>
      <c r="F25" s="42">
        <f t="shared" si="3"/>
        <v>0</v>
      </c>
      <c r="G25" s="42">
        <f t="shared" si="3"/>
        <v>0</v>
      </c>
      <c r="H25" s="42">
        <f t="shared" si="3"/>
        <v>0</v>
      </c>
      <c r="I25" s="42">
        <f t="shared" si="3"/>
        <v>0</v>
      </c>
      <c r="J25" s="42">
        <f t="shared" si="3"/>
        <v>0</v>
      </c>
      <c r="K25" s="42">
        <f t="shared" si="3"/>
        <v>0</v>
      </c>
      <c r="L25" s="42">
        <f t="shared" si="3"/>
        <v>0</v>
      </c>
      <c r="M25" s="42">
        <f t="shared" si="3"/>
        <v>0</v>
      </c>
    </row>
    <row r="26" spans="1:13" ht="15" x14ac:dyDescent="0.2">
      <c r="A26" s="8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74</v>
      </c>
      <c r="B31" s="42">
        <v>12300</v>
      </c>
      <c r="C31" s="42">
        <v>12300</v>
      </c>
      <c r="D31" s="42">
        <v>15000</v>
      </c>
      <c r="E31" s="42">
        <v>18600</v>
      </c>
      <c r="F31" s="42">
        <v>19750</v>
      </c>
      <c r="G31" s="42">
        <v>20000</v>
      </c>
      <c r="H31" s="42">
        <v>20000</v>
      </c>
      <c r="I31" s="42">
        <v>20000</v>
      </c>
      <c r="J31" s="42">
        <v>20000</v>
      </c>
      <c r="K31" s="42">
        <v>20000</v>
      </c>
      <c r="L31" s="42">
        <v>21630</v>
      </c>
      <c r="M31" s="42">
        <v>22300</v>
      </c>
    </row>
    <row r="32" spans="1:13" ht="15" x14ac:dyDescent="0.2">
      <c r="A32" s="8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4" ht="15" x14ac:dyDescent="0.2">
      <c r="A33" s="8" t="s">
        <v>5</v>
      </c>
      <c r="B33" s="42">
        <v>100000</v>
      </c>
      <c r="C33" s="42">
        <v>100000</v>
      </c>
      <c r="D33" s="42">
        <v>100000</v>
      </c>
      <c r="E33" s="42">
        <v>100000</v>
      </c>
      <c r="F33" s="42">
        <v>100000</v>
      </c>
      <c r="G33" s="42">
        <v>100000</v>
      </c>
      <c r="H33" s="42">
        <v>100000</v>
      </c>
      <c r="I33" s="42">
        <v>125000</v>
      </c>
      <c r="J33" s="42">
        <v>130000</v>
      </c>
      <c r="K33" s="42">
        <v>130000</v>
      </c>
      <c r="L33" s="42">
        <v>130000</v>
      </c>
      <c r="M33" s="42">
        <v>150000</v>
      </c>
    </row>
    <row r="34" spans="1:14" ht="15" x14ac:dyDescent="0.2">
      <c r="A34" s="8" t="s">
        <v>6</v>
      </c>
      <c r="B34" s="43">
        <f t="shared" ref="B34:M34" si="4">SUM(B25:B33)</f>
        <v>112300</v>
      </c>
      <c r="C34" s="43">
        <f t="shared" si="4"/>
        <v>224600</v>
      </c>
      <c r="D34" s="43">
        <f t="shared" si="4"/>
        <v>115000</v>
      </c>
      <c r="E34" s="43">
        <f t="shared" si="4"/>
        <v>118600</v>
      </c>
      <c r="F34" s="43">
        <f t="shared" si="4"/>
        <v>119750</v>
      </c>
      <c r="G34" s="43">
        <f t="shared" si="4"/>
        <v>120000</v>
      </c>
      <c r="H34" s="43">
        <f t="shared" si="4"/>
        <v>120000</v>
      </c>
      <c r="I34" s="43">
        <f t="shared" si="4"/>
        <v>145000</v>
      </c>
      <c r="J34" s="43">
        <f t="shared" si="4"/>
        <v>150000</v>
      </c>
      <c r="K34" s="43">
        <f t="shared" si="4"/>
        <v>150000</v>
      </c>
      <c r="L34" s="43">
        <f t="shared" si="4"/>
        <v>151630</v>
      </c>
      <c r="M34" s="43">
        <f t="shared" si="4"/>
        <v>172300</v>
      </c>
    </row>
    <row r="35" spans="1:14" ht="15.75" thickBot="1" x14ac:dyDescent="0.25">
      <c r="A35" s="8" t="s">
        <v>7</v>
      </c>
      <c r="B35" s="44"/>
      <c r="C35" s="44">
        <v>224600</v>
      </c>
      <c r="D35" s="44">
        <v>115000</v>
      </c>
      <c r="E35" s="44">
        <v>118600</v>
      </c>
      <c r="F35" s="44">
        <v>119750</v>
      </c>
      <c r="G35" s="44">
        <v>120000</v>
      </c>
      <c r="H35" s="44">
        <v>120000</v>
      </c>
      <c r="I35" s="44">
        <v>145000</v>
      </c>
      <c r="J35" s="44">
        <v>150000</v>
      </c>
      <c r="K35" s="44">
        <v>150000</v>
      </c>
      <c r="L35" s="44">
        <v>151630</v>
      </c>
      <c r="M35" s="158">
        <v>172300</v>
      </c>
    </row>
    <row r="36" spans="1:14" ht="15.75" thickBot="1" x14ac:dyDescent="0.25">
      <c r="A36" s="8" t="s">
        <v>111</v>
      </c>
      <c r="B36" s="45">
        <f t="shared" ref="B36:M36" si="5">B34-B35</f>
        <v>112300</v>
      </c>
      <c r="C36" s="46">
        <f t="shared" si="5"/>
        <v>0</v>
      </c>
      <c r="D36" s="46">
        <f t="shared" si="5"/>
        <v>0</v>
      </c>
      <c r="E36" s="46">
        <f t="shared" si="5"/>
        <v>0</v>
      </c>
      <c r="F36" s="46">
        <f t="shared" si="5"/>
        <v>0</v>
      </c>
      <c r="G36" s="46">
        <f t="shared" si="5"/>
        <v>0</v>
      </c>
      <c r="H36" s="46">
        <f t="shared" si="5"/>
        <v>0</v>
      </c>
      <c r="I36" s="46">
        <f t="shared" si="5"/>
        <v>0</v>
      </c>
      <c r="J36" s="46">
        <f t="shared" si="5"/>
        <v>0</v>
      </c>
      <c r="K36" s="46">
        <f t="shared" si="5"/>
        <v>0</v>
      </c>
      <c r="L36" s="46">
        <f t="shared" si="5"/>
        <v>0</v>
      </c>
      <c r="M36" s="47">
        <f t="shared" si="5"/>
        <v>0</v>
      </c>
    </row>
    <row r="37" spans="1:14" x14ac:dyDescent="0.2">
      <c r="C37" s="128">
        <v>44281</v>
      </c>
      <c r="J37" s="128"/>
    </row>
    <row r="39" spans="1:14" x14ac:dyDescent="0.2">
      <c r="L39" s="159"/>
      <c r="M39" s="159" t="s">
        <v>440</v>
      </c>
      <c r="N39" s="159"/>
    </row>
    <row r="40" spans="1:14" x14ac:dyDescent="0.2">
      <c r="M40" s="159" t="s">
        <v>441</v>
      </c>
      <c r="N40" s="15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2:M50"/>
  <sheetViews>
    <sheetView topLeftCell="A34" workbookViewId="0">
      <selection activeCell="F48" sqref="F48"/>
    </sheetView>
  </sheetViews>
  <sheetFormatPr baseColWidth="10" defaultRowHeight="12.75" x14ac:dyDescent="0.2"/>
  <cols>
    <col min="1" max="1" width="32.5703125" customWidth="1"/>
    <col min="3" max="4" width="12" bestFit="1" customWidth="1"/>
    <col min="7" max="7" width="12.7109375" customWidth="1"/>
    <col min="8" max="8" width="11.85546875" customWidth="1"/>
  </cols>
  <sheetData>
    <row r="2" spans="1:13" x14ac:dyDescent="0.2">
      <c r="A2" s="80" t="s">
        <v>0</v>
      </c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x14ac:dyDescent="0.2">
      <c r="A3" s="81"/>
      <c r="B3" s="82">
        <v>43831</v>
      </c>
      <c r="C3" s="82">
        <v>43862</v>
      </c>
      <c r="D3" s="82">
        <v>43891</v>
      </c>
      <c r="E3" s="82">
        <v>43922</v>
      </c>
      <c r="F3" s="82">
        <v>43952</v>
      </c>
      <c r="G3" s="82">
        <v>43983</v>
      </c>
      <c r="H3" s="82">
        <v>44013</v>
      </c>
      <c r="I3" s="82">
        <v>44044</v>
      </c>
      <c r="J3" s="82">
        <v>44075</v>
      </c>
      <c r="K3" s="82">
        <v>44105</v>
      </c>
      <c r="L3" s="82">
        <v>44136</v>
      </c>
      <c r="M3" s="82">
        <v>44166</v>
      </c>
    </row>
    <row r="4" spans="1:13" x14ac:dyDescent="0.2">
      <c r="A4" s="78" t="s">
        <v>110</v>
      </c>
      <c r="B4" s="42">
        <v>8310</v>
      </c>
      <c r="C4" s="42">
        <f t="shared" ref="C4:M4" si="0">B15</f>
        <v>0</v>
      </c>
      <c r="D4" s="42">
        <f t="shared" si="0"/>
        <v>8720</v>
      </c>
      <c r="E4" s="42">
        <f t="shared" si="0"/>
        <v>0</v>
      </c>
      <c r="F4" s="42">
        <f t="shared" si="0"/>
        <v>8720</v>
      </c>
      <c r="G4" s="42">
        <f t="shared" si="0"/>
        <v>0</v>
      </c>
      <c r="H4" s="42">
        <f t="shared" si="0"/>
        <v>10025</v>
      </c>
      <c r="I4" s="42">
        <f t="shared" si="0"/>
        <v>0</v>
      </c>
      <c r="J4" s="42">
        <f t="shared" si="0"/>
        <v>12025</v>
      </c>
      <c r="K4" s="42">
        <f t="shared" si="0"/>
        <v>0</v>
      </c>
      <c r="L4" s="42">
        <f t="shared" si="0"/>
        <v>0</v>
      </c>
      <c r="M4" s="42">
        <f t="shared" si="0"/>
        <v>9000</v>
      </c>
    </row>
    <row r="5" spans="1:13" x14ac:dyDescent="0.2">
      <c r="A5" s="7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>
        <v>1100</v>
      </c>
      <c r="C6" s="42">
        <v>1410</v>
      </c>
      <c r="D6" s="42">
        <v>1410</v>
      </c>
      <c r="E6" s="42">
        <v>1410</v>
      </c>
      <c r="F6" s="42">
        <v>1410</v>
      </c>
      <c r="G6" s="42">
        <v>2115</v>
      </c>
      <c r="H6" s="42">
        <v>2115</v>
      </c>
      <c r="I6" s="42">
        <v>2115</v>
      </c>
      <c r="J6" s="42"/>
      <c r="K6" s="42"/>
      <c r="L6" s="42"/>
      <c r="M6" s="42"/>
    </row>
    <row r="7" spans="1:13" x14ac:dyDescent="0.2">
      <c r="A7" s="78" t="s">
        <v>4</v>
      </c>
      <c r="B7" s="42">
        <v>900</v>
      </c>
      <c r="C7" s="42">
        <v>950</v>
      </c>
      <c r="D7" s="42">
        <v>950</v>
      </c>
      <c r="E7" s="42">
        <v>950</v>
      </c>
      <c r="F7" s="42">
        <v>950</v>
      </c>
      <c r="G7" s="42">
        <v>1200</v>
      </c>
      <c r="H7" s="42">
        <v>1200</v>
      </c>
      <c r="I7" s="42">
        <v>1200</v>
      </c>
      <c r="J7" s="42">
        <v>1300</v>
      </c>
      <c r="K7" s="42">
        <v>1500</v>
      </c>
      <c r="L7" s="42">
        <v>1500</v>
      </c>
      <c r="M7" s="42">
        <v>1500</v>
      </c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390</v>
      </c>
      <c r="B10" s="42">
        <v>1410</v>
      </c>
      <c r="C10" s="42">
        <v>1410</v>
      </c>
      <c r="D10" s="42">
        <v>1410</v>
      </c>
      <c r="E10" s="42">
        <v>1410</v>
      </c>
      <c r="F10" s="42">
        <v>1410</v>
      </c>
      <c r="G10" s="42">
        <v>1510</v>
      </c>
      <c r="H10" s="42">
        <v>1510</v>
      </c>
      <c r="I10" s="42">
        <v>1510</v>
      </c>
      <c r="J10" s="42"/>
      <c r="K10" s="42"/>
      <c r="L10" s="42"/>
      <c r="M10" s="42"/>
    </row>
    <row r="11" spans="1:13" x14ac:dyDescent="0.2">
      <c r="A11" s="78" t="s">
        <v>389</v>
      </c>
      <c r="B11" s="42">
        <v>900</v>
      </c>
      <c r="C11" s="42">
        <v>950</v>
      </c>
      <c r="D11" s="42">
        <v>950</v>
      </c>
      <c r="E11" s="42">
        <v>950</v>
      </c>
      <c r="F11" s="42">
        <v>950</v>
      </c>
      <c r="G11" s="42">
        <v>1200</v>
      </c>
      <c r="H11" s="42">
        <v>1200</v>
      </c>
      <c r="I11" s="42">
        <v>1200</v>
      </c>
      <c r="J11" s="42">
        <v>1300</v>
      </c>
      <c r="K11" s="42">
        <v>1500</v>
      </c>
      <c r="L11" s="42">
        <v>1500</v>
      </c>
      <c r="M11" s="42">
        <v>1500</v>
      </c>
    </row>
    <row r="12" spans="1:13" x14ac:dyDescent="0.2">
      <c r="A12" s="78" t="s">
        <v>5</v>
      </c>
      <c r="B12" s="42">
        <v>4000</v>
      </c>
      <c r="C12" s="42">
        <v>4000</v>
      </c>
      <c r="D12" s="42">
        <v>4000</v>
      </c>
      <c r="E12" s="42">
        <v>4000</v>
      </c>
      <c r="F12" s="42">
        <v>4000</v>
      </c>
      <c r="G12" s="42">
        <v>4000</v>
      </c>
      <c r="H12" s="42">
        <v>4000</v>
      </c>
      <c r="I12" s="42">
        <v>6000</v>
      </c>
      <c r="J12" s="42">
        <v>6000</v>
      </c>
      <c r="K12" s="42">
        <v>6000</v>
      </c>
      <c r="L12" s="42">
        <v>6000</v>
      </c>
      <c r="M12" s="42">
        <v>6000</v>
      </c>
    </row>
    <row r="13" spans="1:13" x14ac:dyDescent="0.2">
      <c r="A13" s="78" t="s">
        <v>6</v>
      </c>
      <c r="B13" s="43">
        <f>SUM(B4:B12)</f>
        <v>16620</v>
      </c>
      <c r="C13" s="43">
        <f t="shared" ref="C13:M13" si="1">SUM(C4:C12)</f>
        <v>8720</v>
      </c>
      <c r="D13" s="43">
        <f t="shared" si="1"/>
        <v>17440</v>
      </c>
      <c r="E13" s="43">
        <f t="shared" si="1"/>
        <v>8720</v>
      </c>
      <c r="F13" s="43">
        <f t="shared" si="1"/>
        <v>17440</v>
      </c>
      <c r="G13" s="43">
        <f t="shared" si="1"/>
        <v>10025</v>
      </c>
      <c r="H13" s="43">
        <f t="shared" si="1"/>
        <v>20050</v>
      </c>
      <c r="I13" s="43">
        <f t="shared" si="1"/>
        <v>12025</v>
      </c>
      <c r="J13" s="43">
        <f t="shared" si="1"/>
        <v>20625</v>
      </c>
      <c r="K13" s="43">
        <f t="shared" si="1"/>
        <v>9000</v>
      </c>
      <c r="L13" s="43">
        <f t="shared" si="1"/>
        <v>9000</v>
      </c>
      <c r="M13" s="43">
        <f t="shared" si="1"/>
        <v>18000</v>
      </c>
    </row>
    <row r="14" spans="1:13" ht="13.5" thickBot="1" x14ac:dyDescent="0.25">
      <c r="A14" s="78" t="s">
        <v>7</v>
      </c>
      <c r="B14" s="44">
        <v>16620</v>
      </c>
      <c r="C14" s="44"/>
      <c r="D14" s="44">
        <v>17440</v>
      </c>
      <c r="E14" s="44"/>
      <c r="F14" s="44">
        <v>17440</v>
      </c>
      <c r="G14" s="44"/>
      <c r="H14" s="44">
        <v>20050</v>
      </c>
      <c r="I14" s="44"/>
      <c r="J14" s="44">
        <v>20625</v>
      </c>
      <c r="K14" s="44">
        <v>9000</v>
      </c>
      <c r="L14" s="44"/>
      <c r="M14" s="44">
        <v>18000</v>
      </c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8720</v>
      </c>
      <c r="D15" s="46">
        <f t="shared" si="2"/>
        <v>0</v>
      </c>
      <c r="E15" s="46">
        <f t="shared" si="2"/>
        <v>8720</v>
      </c>
      <c r="F15" s="46">
        <f>F13-F14</f>
        <v>0</v>
      </c>
      <c r="G15" s="46">
        <f t="shared" si="2"/>
        <v>10025</v>
      </c>
      <c r="H15" s="46">
        <f t="shared" si="2"/>
        <v>0</v>
      </c>
      <c r="I15" s="46">
        <f t="shared" si="2"/>
        <v>12025</v>
      </c>
      <c r="J15" s="46">
        <f t="shared" si="2"/>
        <v>0</v>
      </c>
      <c r="K15" s="46">
        <f t="shared" si="2"/>
        <v>0</v>
      </c>
      <c r="L15" s="46">
        <f t="shared" si="2"/>
        <v>9000</v>
      </c>
      <c r="M15" s="47">
        <f t="shared" si="2"/>
        <v>0</v>
      </c>
    </row>
    <row r="16" spans="1:13" x14ac:dyDescent="0.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2">
      <c r="A21" s="80" t="s">
        <v>0</v>
      </c>
      <c r="B21" s="80" t="s">
        <v>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x14ac:dyDescent="0.2">
      <c r="A22" s="81"/>
      <c r="B22" s="82">
        <v>45658</v>
      </c>
      <c r="C22" s="82">
        <v>45689</v>
      </c>
      <c r="D22" s="82">
        <v>45717</v>
      </c>
      <c r="E22" s="82">
        <v>45748</v>
      </c>
      <c r="F22" s="82">
        <v>45778</v>
      </c>
      <c r="G22" s="82">
        <v>45809</v>
      </c>
      <c r="H22" s="82">
        <v>45839</v>
      </c>
      <c r="I22" s="82">
        <v>45870</v>
      </c>
      <c r="J22" s="82">
        <v>45901</v>
      </c>
      <c r="K22" s="82">
        <v>45931</v>
      </c>
      <c r="L22" s="82">
        <v>45962</v>
      </c>
      <c r="M22" s="82">
        <v>45992</v>
      </c>
    </row>
    <row r="23" spans="1:13" x14ac:dyDescent="0.2">
      <c r="A23" s="78" t="s">
        <v>110</v>
      </c>
      <c r="B23" s="42"/>
      <c r="C23" s="42">
        <f t="shared" ref="C23:M23" si="3">B34</f>
        <v>117800</v>
      </c>
      <c r="D23" s="42">
        <f t="shared" si="3"/>
        <v>500</v>
      </c>
      <c r="E23" s="42">
        <f t="shared" si="3"/>
        <v>0</v>
      </c>
      <c r="F23" s="42">
        <f t="shared" si="3"/>
        <v>-300</v>
      </c>
      <c r="G23" s="42">
        <f t="shared" si="3"/>
        <v>149400</v>
      </c>
      <c r="H23" s="42">
        <f t="shared" si="3"/>
        <v>0</v>
      </c>
      <c r="I23" s="42">
        <f t="shared" si="3"/>
        <v>159700</v>
      </c>
      <c r="J23" s="42">
        <f t="shared" si="3"/>
        <v>2900</v>
      </c>
      <c r="K23" s="42">
        <f t="shared" si="3"/>
        <v>176100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381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382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642</v>
      </c>
      <c r="B30" s="42">
        <v>17800</v>
      </c>
      <c r="C30" s="42">
        <v>28700</v>
      </c>
      <c r="D30" s="42">
        <v>29600</v>
      </c>
      <c r="E30" s="42">
        <v>29700</v>
      </c>
      <c r="F30" s="42">
        <v>29700</v>
      </c>
      <c r="G30" s="42">
        <v>29700</v>
      </c>
      <c r="H30" s="42">
        <v>29700</v>
      </c>
      <c r="I30" s="42">
        <v>33200</v>
      </c>
      <c r="J30" s="42">
        <v>33200</v>
      </c>
      <c r="K30" s="42">
        <v>33200</v>
      </c>
      <c r="L30" s="42">
        <v>35000</v>
      </c>
      <c r="M30" s="42">
        <v>34700</v>
      </c>
    </row>
    <row r="31" spans="1:13" x14ac:dyDescent="0.2">
      <c r="A31" s="78" t="s">
        <v>5</v>
      </c>
      <c r="B31" s="42">
        <v>100000</v>
      </c>
      <c r="C31" s="42">
        <v>100000</v>
      </c>
      <c r="D31" s="42">
        <v>110000</v>
      </c>
      <c r="E31" s="42">
        <v>110000</v>
      </c>
      <c r="F31" s="42">
        <v>120000</v>
      </c>
      <c r="G31" s="42">
        <v>120000</v>
      </c>
      <c r="H31" s="42">
        <v>130000</v>
      </c>
      <c r="I31" s="42">
        <v>130000</v>
      </c>
      <c r="J31" s="42">
        <v>140000</v>
      </c>
      <c r="K31" s="42">
        <v>140000</v>
      </c>
      <c r="L31" s="42">
        <v>150000</v>
      </c>
      <c r="M31" s="42">
        <v>180000</v>
      </c>
    </row>
    <row r="32" spans="1:13" x14ac:dyDescent="0.2">
      <c r="A32" s="78" t="s">
        <v>6</v>
      </c>
      <c r="B32" s="43">
        <f>SUM(B23:B31)</f>
        <v>117800</v>
      </c>
      <c r="C32" s="43">
        <f t="shared" ref="C32:M32" si="4">SUM(C23:C31)</f>
        <v>246500</v>
      </c>
      <c r="D32" s="43">
        <f t="shared" si="4"/>
        <v>140100</v>
      </c>
      <c r="E32" s="43">
        <f t="shared" si="4"/>
        <v>139700</v>
      </c>
      <c r="F32" s="43">
        <f t="shared" si="4"/>
        <v>149400</v>
      </c>
      <c r="G32" s="43">
        <f t="shared" si="4"/>
        <v>299100</v>
      </c>
      <c r="H32" s="43">
        <f t="shared" si="4"/>
        <v>159700</v>
      </c>
      <c r="I32" s="43">
        <f t="shared" si="4"/>
        <v>322900</v>
      </c>
      <c r="J32" s="43">
        <f t="shared" si="4"/>
        <v>176100</v>
      </c>
      <c r="K32" s="43">
        <f t="shared" si="4"/>
        <v>349300</v>
      </c>
      <c r="L32" s="43">
        <f t="shared" si="4"/>
        <v>185000</v>
      </c>
      <c r="M32" s="43">
        <f t="shared" si="4"/>
        <v>214700</v>
      </c>
    </row>
    <row r="33" spans="1:13" ht="13.5" thickBot="1" x14ac:dyDescent="0.25">
      <c r="A33" s="78" t="s">
        <v>7</v>
      </c>
      <c r="B33" s="44"/>
      <c r="C33" s="44">
        <v>246000</v>
      </c>
      <c r="D33" s="44">
        <v>140100</v>
      </c>
      <c r="E33" s="44">
        <v>140000</v>
      </c>
      <c r="F33" s="44"/>
      <c r="G33" s="44">
        <v>299100</v>
      </c>
      <c r="H33" s="44"/>
      <c r="I33" s="44">
        <v>320000</v>
      </c>
      <c r="J33" s="44"/>
      <c r="K33" s="44">
        <v>349300</v>
      </c>
      <c r="L33" s="44">
        <v>185000</v>
      </c>
      <c r="M33" s="44"/>
    </row>
    <row r="34" spans="1:13" ht="13.5" thickBot="1" x14ac:dyDescent="0.25">
      <c r="A34" s="78" t="s">
        <v>111</v>
      </c>
      <c r="B34" s="45">
        <f t="shared" ref="B34:M34" si="5">B32-B33</f>
        <v>117800</v>
      </c>
      <c r="C34" s="46">
        <f t="shared" si="5"/>
        <v>500</v>
      </c>
      <c r="D34" s="46">
        <f t="shared" si="5"/>
        <v>0</v>
      </c>
      <c r="E34" s="46">
        <f t="shared" si="5"/>
        <v>-300</v>
      </c>
      <c r="F34" s="46">
        <f t="shared" si="5"/>
        <v>149400</v>
      </c>
      <c r="G34" s="46">
        <f t="shared" si="5"/>
        <v>0</v>
      </c>
      <c r="H34" s="46">
        <f t="shared" si="5"/>
        <v>159700</v>
      </c>
      <c r="I34" s="46">
        <f t="shared" si="5"/>
        <v>2900</v>
      </c>
      <c r="J34" s="46">
        <f t="shared" si="5"/>
        <v>176100</v>
      </c>
      <c r="K34" s="46">
        <f t="shared" si="5"/>
        <v>0</v>
      </c>
      <c r="L34" s="46">
        <f t="shared" si="5"/>
        <v>0</v>
      </c>
      <c r="M34" s="47">
        <f t="shared" si="5"/>
        <v>214700</v>
      </c>
    </row>
    <row r="35" spans="1:13" x14ac:dyDescent="0.2">
      <c r="I35" s="128">
        <v>45163</v>
      </c>
    </row>
    <row r="37" spans="1:13" x14ac:dyDescent="0.2">
      <c r="A37" s="80" t="s">
        <v>0</v>
      </c>
      <c r="B37" s="80" t="s">
        <v>1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</row>
    <row r="38" spans="1:13" x14ac:dyDescent="0.2">
      <c r="A38" s="81"/>
      <c r="B38" s="82">
        <v>46023</v>
      </c>
      <c r="C38" s="82">
        <v>46054</v>
      </c>
      <c r="D38" s="82">
        <v>46082</v>
      </c>
      <c r="E38" s="82">
        <v>46113</v>
      </c>
      <c r="F38" s="82">
        <v>46143</v>
      </c>
      <c r="G38" s="82">
        <v>46174</v>
      </c>
      <c r="H38" s="82">
        <v>46204</v>
      </c>
      <c r="I38" s="82">
        <v>46235</v>
      </c>
      <c r="J38" s="82">
        <v>46266</v>
      </c>
      <c r="K38" s="82">
        <v>46296</v>
      </c>
      <c r="L38" s="82">
        <v>46327</v>
      </c>
      <c r="M38" s="82">
        <v>46357</v>
      </c>
    </row>
    <row r="39" spans="1:13" x14ac:dyDescent="0.2">
      <c r="A39" s="78" t="s">
        <v>110</v>
      </c>
      <c r="B39" s="42">
        <v>214700</v>
      </c>
      <c r="C39" s="42">
        <f t="shared" ref="C39:M39" si="6">B50</f>
        <v>429700</v>
      </c>
      <c r="D39" s="42">
        <f t="shared" si="6"/>
        <v>0</v>
      </c>
      <c r="E39" s="42">
        <f t="shared" si="6"/>
        <v>237100</v>
      </c>
      <c r="F39" s="42">
        <f t="shared" si="6"/>
        <v>0</v>
      </c>
      <c r="G39" s="42">
        <f t="shared" si="6"/>
        <v>237500</v>
      </c>
      <c r="H39" s="42">
        <f t="shared" si="6"/>
        <v>237500</v>
      </c>
      <c r="I39" s="42">
        <f t="shared" si="6"/>
        <v>237500</v>
      </c>
      <c r="J39" s="42">
        <f t="shared" si="6"/>
        <v>237500</v>
      </c>
      <c r="K39" s="42">
        <f t="shared" si="6"/>
        <v>237500</v>
      </c>
      <c r="L39" s="42">
        <f t="shared" si="6"/>
        <v>237500</v>
      </c>
      <c r="M39" s="42">
        <f t="shared" si="6"/>
        <v>237500</v>
      </c>
    </row>
    <row r="40" spans="1:13" x14ac:dyDescent="0.2">
      <c r="A40" s="78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73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209</v>
      </c>
      <c r="B45" s="42">
        <v>35000</v>
      </c>
      <c r="C45" s="42">
        <v>37100</v>
      </c>
      <c r="D45" s="42">
        <v>37100</v>
      </c>
      <c r="E45" s="42">
        <v>37100</v>
      </c>
      <c r="F45" s="42">
        <v>37500</v>
      </c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389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5</v>
      </c>
      <c r="B47" s="42">
        <v>180000</v>
      </c>
      <c r="C47" s="42">
        <v>190000</v>
      </c>
      <c r="D47" s="42">
        <v>200000</v>
      </c>
      <c r="E47" s="42">
        <v>200000</v>
      </c>
      <c r="F47" s="42">
        <v>200000</v>
      </c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6</v>
      </c>
      <c r="B48" s="43">
        <f>SUM(B39:B47)</f>
        <v>429700</v>
      </c>
      <c r="C48" s="43">
        <f t="shared" ref="C48:M48" si="7">SUM(C39:C47)</f>
        <v>656800</v>
      </c>
      <c r="D48" s="43">
        <f t="shared" si="7"/>
        <v>237100</v>
      </c>
      <c r="E48" s="43">
        <f t="shared" si="7"/>
        <v>474200</v>
      </c>
      <c r="F48" s="43">
        <f t="shared" si="7"/>
        <v>237500</v>
      </c>
      <c r="G48" s="43">
        <f t="shared" si="7"/>
        <v>237500</v>
      </c>
      <c r="H48" s="43">
        <f t="shared" si="7"/>
        <v>237500</v>
      </c>
      <c r="I48" s="43">
        <f t="shared" si="7"/>
        <v>237500</v>
      </c>
      <c r="J48" s="43">
        <f t="shared" si="7"/>
        <v>237500</v>
      </c>
      <c r="K48" s="43">
        <f t="shared" si="7"/>
        <v>237500</v>
      </c>
      <c r="L48" s="43">
        <f t="shared" si="7"/>
        <v>237500</v>
      </c>
      <c r="M48" s="43">
        <f t="shared" si="7"/>
        <v>237500</v>
      </c>
    </row>
    <row r="49" spans="1:13" ht="13.5" thickBot="1" x14ac:dyDescent="0.25">
      <c r="A49" s="78" t="s">
        <v>7</v>
      </c>
      <c r="B49" s="44"/>
      <c r="C49" s="44">
        <v>656800</v>
      </c>
      <c r="D49" s="44"/>
      <c r="E49" s="44">
        <v>474200</v>
      </c>
      <c r="F49" s="44"/>
      <c r="G49" s="44"/>
      <c r="H49" s="44"/>
      <c r="I49" s="44"/>
      <c r="J49" s="44"/>
      <c r="K49" s="44"/>
      <c r="L49" s="44"/>
      <c r="M49" s="44"/>
    </row>
    <row r="50" spans="1:13" ht="13.5" thickBot="1" x14ac:dyDescent="0.25">
      <c r="A50" s="78" t="s">
        <v>111</v>
      </c>
      <c r="B50" s="45">
        <f>B48-B49</f>
        <v>429700</v>
      </c>
      <c r="C50" s="46">
        <f>C48-C49</f>
        <v>0</v>
      </c>
      <c r="D50" s="46">
        <f>D48-D49</f>
        <v>237100</v>
      </c>
      <c r="E50" s="46">
        <f>E48-E49</f>
        <v>0</v>
      </c>
      <c r="F50" s="46">
        <f>F48-F49</f>
        <v>237500</v>
      </c>
      <c r="G50" s="46">
        <f t="shared" ref="G50:M50" si="8">G48-G49</f>
        <v>237500</v>
      </c>
      <c r="H50" s="46">
        <f t="shared" si="8"/>
        <v>237500</v>
      </c>
      <c r="I50" s="46">
        <f t="shared" si="8"/>
        <v>237500</v>
      </c>
      <c r="J50" s="46">
        <f t="shared" si="8"/>
        <v>237500</v>
      </c>
      <c r="K50" s="46">
        <f t="shared" si="8"/>
        <v>237500</v>
      </c>
      <c r="L50" s="46">
        <f t="shared" si="8"/>
        <v>237500</v>
      </c>
      <c r="M50" s="47">
        <f t="shared" si="8"/>
        <v>237500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3:M51"/>
  <sheetViews>
    <sheetView workbookViewId="0">
      <selection activeCell="I17" sqref="I17"/>
    </sheetView>
  </sheetViews>
  <sheetFormatPr baseColWidth="10" defaultRowHeight="12.75" x14ac:dyDescent="0.2"/>
  <cols>
    <col min="1" max="1" width="25.5703125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81"/>
      <c r="B4" s="82">
        <v>42005</v>
      </c>
      <c r="C4" s="82">
        <v>42036</v>
      </c>
      <c r="D4" s="82">
        <v>42064</v>
      </c>
      <c r="E4" s="82">
        <v>42095</v>
      </c>
      <c r="F4" s="82">
        <v>42125</v>
      </c>
      <c r="G4" s="82">
        <v>42156</v>
      </c>
      <c r="H4" s="82">
        <v>42186</v>
      </c>
      <c r="I4" s="82">
        <v>42217</v>
      </c>
      <c r="J4" s="82">
        <v>42248</v>
      </c>
      <c r="K4" s="82">
        <v>42278</v>
      </c>
      <c r="L4" s="82">
        <v>42309</v>
      </c>
      <c r="M4" s="82">
        <v>42339</v>
      </c>
    </row>
    <row r="5" spans="1:13" x14ac:dyDescent="0.2">
      <c r="A5" s="78" t="s">
        <v>110</v>
      </c>
      <c r="B5" s="42">
        <v>10000</v>
      </c>
      <c r="C5" s="42">
        <f>B16</f>
        <v>10800</v>
      </c>
      <c r="D5" s="42">
        <f t="shared" ref="D5:M5" si="0">C16</f>
        <v>11600</v>
      </c>
      <c r="E5" s="42">
        <f t="shared" si="0"/>
        <v>12400</v>
      </c>
      <c r="F5" s="42">
        <f t="shared" si="0"/>
        <v>13200</v>
      </c>
      <c r="G5" s="42">
        <f t="shared" si="0"/>
        <v>14000</v>
      </c>
      <c r="H5" s="42">
        <f t="shared" si="0"/>
        <v>14800</v>
      </c>
      <c r="I5" s="42">
        <f t="shared" si="0"/>
        <v>9008.99</v>
      </c>
      <c r="J5" s="42">
        <f t="shared" si="0"/>
        <v>9808.99</v>
      </c>
      <c r="K5" s="42">
        <f t="shared" si="0"/>
        <v>10608.99</v>
      </c>
      <c r="L5" s="42">
        <f t="shared" si="0"/>
        <v>11408.99</v>
      </c>
      <c r="M5" s="42">
        <f t="shared" si="0"/>
        <v>12208.99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225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224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202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800</v>
      </c>
      <c r="C13" s="42">
        <v>800</v>
      </c>
      <c r="D13" s="42">
        <v>800</v>
      </c>
      <c r="E13" s="42">
        <v>800</v>
      </c>
      <c r="F13" s="42">
        <v>800</v>
      </c>
      <c r="G13" s="42">
        <v>800</v>
      </c>
      <c r="H13" s="42">
        <v>800</v>
      </c>
      <c r="I13" s="42">
        <v>800</v>
      </c>
      <c r="J13" s="42">
        <v>800</v>
      </c>
      <c r="K13" s="42">
        <v>800</v>
      </c>
      <c r="L13" s="42">
        <v>800</v>
      </c>
      <c r="M13" s="42">
        <v>800</v>
      </c>
    </row>
    <row r="14" spans="1:13" x14ac:dyDescent="0.2">
      <c r="A14" s="78" t="s">
        <v>6</v>
      </c>
      <c r="B14" s="43">
        <f t="shared" ref="B14:M14" si="1">SUM(B5:B13)</f>
        <v>10800</v>
      </c>
      <c r="C14" s="43">
        <f t="shared" si="1"/>
        <v>11600</v>
      </c>
      <c r="D14" s="43">
        <f t="shared" si="1"/>
        <v>12400</v>
      </c>
      <c r="E14" s="43">
        <f t="shared" si="1"/>
        <v>13200</v>
      </c>
      <c r="F14" s="43">
        <f t="shared" si="1"/>
        <v>14000</v>
      </c>
      <c r="G14" s="43">
        <f t="shared" si="1"/>
        <v>14800</v>
      </c>
      <c r="H14" s="43">
        <f t="shared" si="1"/>
        <v>15600</v>
      </c>
      <c r="I14" s="43">
        <f t="shared" si="1"/>
        <v>9808.99</v>
      </c>
      <c r="J14" s="43">
        <f t="shared" si="1"/>
        <v>10608.99</v>
      </c>
      <c r="K14" s="43">
        <f t="shared" si="1"/>
        <v>11408.99</v>
      </c>
      <c r="L14" s="43">
        <f t="shared" si="1"/>
        <v>12208.99</v>
      </c>
      <c r="M14" s="43">
        <f t="shared" si="1"/>
        <v>13008.99</v>
      </c>
    </row>
    <row r="15" spans="1:13" ht="13.5" thickBot="1" x14ac:dyDescent="0.25">
      <c r="A15" s="78" t="s">
        <v>7</v>
      </c>
      <c r="B15" s="44"/>
      <c r="C15" s="44"/>
      <c r="D15" s="44"/>
      <c r="E15" s="44"/>
      <c r="F15" s="44"/>
      <c r="G15" s="44"/>
      <c r="H15" s="44">
        <v>6591.01</v>
      </c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10800</v>
      </c>
      <c r="C16" s="46">
        <f t="shared" si="2"/>
        <v>11600</v>
      </c>
      <c r="D16" s="46">
        <f t="shared" si="2"/>
        <v>12400</v>
      </c>
      <c r="E16" s="46">
        <f t="shared" si="2"/>
        <v>13200</v>
      </c>
      <c r="F16" s="46">
        <f t="shared" si="2"/>
        <v>14000</v>
      </c>
      <c r="G16" s="46">
        <f t="shared" si="2"/>
        <v>14800</v>
      </c>
      <c r="H16" s="46">
        <f t="shared" si="2"/>
        <v>9008.99</v>
      </c>
      <c r="I16" s="46">
        <f t="shared" si="2"/>
        <v>9808.99</v>
      </c>
      <c r="J16" s="46">
        <f t="shared" si="2"/>
        <v>10608.99</v>
      </c>
      <c r="K16" s="46">
        <f t="shared" si="2"/>
        <v>11408.99</v>
      </c>
      <c r="L16" s="46">
        <f t="shared" si="2"/>
        <v>12208.99</v>
      </c>
      <c r="M16" s="46">
        <f t="shared" si="2"/>
        <v>13008.99</v>
      </c>
    </row>
    <row r="19" spans="1:13" x14ac:dyDescent="0.2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3" x14ac:dyDescent="0.2">
      <c r="A20" s="81"/>
      <c r="B20" s="82">
        <v>42370</v>
      </c>
      <c r="C20" s="82">
        <v>42401</v>
      </c>
      <c r="D20" s="82">
        <v>42430</v>
      </c>
      <c r="E20" s="82">
        <v>42461</v>
      </c>
      <c r="F20" s="82">
        <v>42491</v>
      </c>
      <c r="G20" s="82">
        <v>42522</v>
      </c>
      <c r="H20" s="82">
        <v>42552</v>
      </c>
      <c r="I20" s="82">
        <v>42583</v>
      </c>
      <c r="J20" s="82">
        <v>42614</v>
      </c>
      <c r="K20" s="82">
        <v>42644</v>
      </c>
      <c r="L20" s="82">
        <v>42675</v>
      </c>
      <c r="M20" s="82">
        <v>42705</v>
      </c>
    </row>
    <row r="21" spans="1:13" x14ac:dyDescent="0.2">
      <c r="A21" s="78" t="s">
        <v>110</v>
      </c>
      <c r="B21" s="42">
        <v>13000</v>
      </c>
      <c r="C21" s="42">
        <f t="shared" ref="C21:M21" si="3">B32</f>
        <v>14000</v>
      </c>
      <c r="D21" s="42">
        <f t="shared" si="3"/>
        <v>15000</v>
      </c>
      <c r="E21" s="42">
        <f t="shared" si="3"/>
        <v>16000</v>
      </c>
      <c r="F21" s="42">
        <f t="shared" si="3"/>
        <v>17000</v>
      </c>
      <c r="G21" s="42">
        <f t="shared" si="3"/>
        <v>18000</v>
      </c>
      <c r="H21" s="42">
        <f t="shared" si="3"/>
        <v>19000</v>
      </c>
      <c r="I21" s="42">
        <f t="shared" si="3"/>
        <v>20000</v>
      </c>
      <c r="J21" s="42">
        <f t="shared" si="3"/>
        <v>21000</v>
      </c>
      <c r="K21" s="42">
        <f t="shared" si="3"/>
        <v>17500</v>
      </c>
      <c r="L21" s="42">
        <f t="shared" si="3"/>
        <v>17500</v>
      </c>
      <c r="M21" s="42">
        <f t="shared" si="3"/>
        <v>17500</v>
      </c>
    </row>
    <row r="22" spans="1:13" x14ac:dyDescent="0.2">
      <c r="A22" s="78" t="s">
        <v>76</v>
      </c>
      <c r="B22" s="42"/>
      <c r="C22" s="42"/>
      <c r="D22" s="42"/>
      <c r="E22" s="42"/>
      <c r="F22" s="42"/>
      <c r="G22" s="42"/>
      <c r="H22" s="42"/>
      <c r="I22" s="42"/>
      <c r="J22" s="42">
        <v>500</v>
      </c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225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224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202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1000</v>
      </c>
      <c r="C29" s="42">
        <v>1000</v>
      </c>
      <c r="D29" s="42">
        <v>1000</v>
      </c>
      <c r="E29" s="42">
        <v>1000</v>
      </c>
      <c r="F29" s="42">
        <v>1000</v>
      </c>
      <c r="G29" s="42">
        <v>1000</v>
      </c>
      <c r="H29" s="42">
        <v>1000</v>
      </c>
      <c r="I29" s="42">
        <v>1000</v>
      </c>
      <c r="J29" s="42">
        <v>1000</v>
      </c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14000</v>
      </c>
      <c r="C30" s="43">
        <f t="shared" si="4"/>
        <v>15000</v>
      </c>
      <c r="D30" s="43">
        <f t="shared" si="4"/>
        <v>16000</v>
      </c>
      <c r="E30" s="43">
        <f t="shared" si="4"/>
        <v>17000</v>
      </c>
      <c r="F30" s="43">
        <f t="shared" si="4"/>
        <v>18000</v>
      </c>
      <c r="G30" s="43">
        <f t="shared" si="4"/>
        <v>19000</v>
      </c>
      <c r="H30" s="43">
        <f t="shared" si="4"/>
        <v>20000</v>
      </c>
      <c r="I30" s="43">
        <f t="shared" si="4"/>
        <v>21000</v>
      </c>
      <c r="J30" s="43">
        <f t="shared" si="4"/>
        <v>22500</v>
      </c>
      <c r="K30" s="43">
        <f t="shared" si="4"/>
        <v>17500</v>
      </c>
      <c r="L30" s="43">
        <f t="shared" si="4"/>
        <v>17500</v>
      </c>
      <c r="M30" s="43">
        <f t="shared" si="4"/>
        <v>17500</v>
      </c>
    </row>
    <row r="31" spans="1:13" ht="13.5" thickBot="1" x14ac:dyDescent="0.25">
      <c r="A31" s="78" t="s">
        <v>7</v>
      </c>
      <c r="B31" s="44"/>
      <c r="C31" s="44"/>
      <c r="D31" s="44"/>
      <c r="E31" s="44"/>
      <c r="F31" s="44"/>
      <c r="G31" s="44"/>
      <c r="H31" s="44"/>
      <c r="I31" s="44"/>
      <c r="J31" s="44">
        <v>5000</v>
      </c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M32" si="5">B30-B31</f>
        <v>14000</v>
      </c>
      <c r="C32" s="46">
        <f t="shared" si="5"/>
        <v>15000</v>
      </c>
      <c r="D32" s="46">
        <f t="shared" si="5"/>
        <v>16000</v>
      </c>
      <c r="E32" s="46">
        <f t="shared" si="5"/>
        <v>17000</v>
      </c>
      <c r="F32" s="46">
        <f t="shared" si="5"/>
        <v>18000</v>
      </c>
      <c r="G32" s="46">
        <f t="shared" si="5"/>
        <v>19000</v>
      </c>
      <c r="H32" s="46">
        <f t="shared" si="5"/>
        <v>20000</v>
      </c>
      <c r="I32" s="46">
        <f t="shared" si="5"/>
        <v>21000</v>
      </c>
      <c r="J32" s="46">
        <f t="shared" si="5"/>
        <v>17500</v>
      </c>
      <c r="K32" s="46">
        <f t="shared" si="5"/>
        <v>17500</v>
      </c>
      <c r="L32" s="46">
        <f t="shared" si="5"/>
        <v>17500</v>
      </c>
      <c r="M32" s="46">
        <f t="shared" si="5"/>
        <v>17500</v>
      </c>
    </row>
    <row r="36" spans="1:13" x14ac:dyDescent="0.2">
      <c r="A36" s="80" t="s">
        <v>0</v>
      </c>
      <c r="B36" s="80" t="s">
        <v>1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</row>
    <row r="37" spans="1:13" x14ac:dyDescent="0.2">
      <c r="A37" s="81"/>
      <c r="B37" s="82">
        <v>41640</v>
      </c>
      <c r="C37" s="82">
        <v>41671</v>
      </c>
      <c r="D37" s="82">
        <v>41699</v>
      </c>
      <c r="E37" s="82">
        <v>41730</v>
      </c>
      <c r="F37" s="82">
        <v>41760</v>
      </c>
      <c r="G37" s="82">
        <v>41791</v>
      </c>
      <c r="H37" s="82">
        <v>41821</v>
      </c>
      <c r="I37" s="82">
        <v>41852</v>
      </c>
      <c r="J37" s="82">
        <v>41883</v>
      </c>
      <c r="K37" s="82">
        <v>41913</v>
      </c>
      <c r="L37" s="82">
        <v>41944</v>
      </c>
      <c r="M37" s="82">
        <v>41974</v>
      </c>
    </row>
    <row r="38" spans="1:13" x14ac:dyDescent="0.2">
      <c r="A38" s="78" t="s">
        <v>110</v>
      </c>
      <c r="B38" s="42">
        <v>9200</v>
      </c>
      <c r="C38" s="42">
        <f t="shared" ref="C38:M38" si="6">B49</f>
        <v>9800</v>
      </c>
      <c r="D38" s="42">
        <f t="shared" si="6"/>
        <v>10400</v>
      </c>
      <c r="E38" s="42">
        <f t="shared" si="6"/>
        <v>11000</v>
      </c>
      <c r="F38" s="42">
        <f t="shared" si="6"/>
        <v>11600</v>
      </c>
      <c r="G38" s="42">
        <f t="shared" si="6"/>
        <v>7900</v>
      </c>
      <c r="H38" s="42">
        <f t="shared" si="6"/>
        <v>8500</v>
      </c>
      <c r="I38" s="42">
        <f t="shared" si="6"/>
        <v>9100</v>
      </c>
      <c r="J38" s="42">
        <f t="shared" si="6"/>
        <v>9700</v>
      </c>
      <c r="K38" s="42">
        <f t="shared" si="6"/>
        <v>9046</v>
      </c>
      <c r="L38" s="42">
        <f t="shared" si="6"/>
        <v>9646</v>
      </c>
      <c r="M38" s="42">
        <f t="shared" si="6"/>
        <v>10246</v>
      </c>
    </row>
    <row r="39" spans="1:13" x14ac:dyDescent="0.2">
      <c r="A39" s="78" t="s">
        <v>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x14ac:dyDescent="0.2">
      <c r="A40" s="78" t="s">
        <v>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225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73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224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202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5</v>
      </c>
      <c r="B46" s="42">
        <v>600</v>
      </c>
      <c r="C46" s="42">
        <v>600</v>
      </c>
      <c r="D46" s="42">
        <v>600</v>
      </c>
      <c r="E46" s="42">
        <v>600</v>
      </c>
      <c r="F46" s="42">
        <v>600</v>
      </c>
      <c r="G46" s="42">
        <v>600</v>
      </c>
      <c r="H46" s="42">
        <v>600</v>
      </c>
      <c r="I46" s="42">
        <v>600</v>
      </c>
      <c r="J46" s="42">
        <v>600</v>
      </c>
      <c r="K46" s="42">
        <v>600</v>
      </c>
      <c r="L46" s="42">
        <v>600</v>
      </c>
      <c r="M46" s="42">
        <v>600</v>
      </c>
    </row>
    <row r="47" spans="1:13" x14ac:dyDescent="0.2">
      <c r="A47" s="78" t="s">
        <v>6</v>
      </c>
      <c r="B47" s="43">
        <f t="shared" ref="B47:M47" si="7">SUM(B38:B46)</f>
        <v>9800</v>
      </c>
      <c r="C47" s="43">
        <f t="shared" si="7"/>
        <v>10400</v>
      </c>
      <c r="D47" s="43">
        <f t="shared" si="7"/>
        <v>11000</v>
      </c>
      <c r="E47" s="43">
        <f t="shared" si="7"/>
        <v>11600</v>
      </c>
      <c r="F47" s="43">
        <f t="shared" si="7"/>
        <v>12200</v>
      </c>
      <c r="G47" s="43">
        <f t="shared" si="7"/>
        <v>8500</v>
      </c>
      <c r="H47" s="43">
        <f t="shared" si="7"/>
        <v>9100</v>
      </c>
      <c r="I47" s="43">
        <f t="shared" si="7"/>
        <v>9700</v>
      </c>
      <c r="J47" s="43">
        <f t="shared" si="7"/>
        <v>10300</v>
      </c>
      <c r="K47" s="43">
        <f t="shared" si="7"/>
        <v>9646</v>
      </c>
      <c r="L47" s="43">
        <f t="shared" si="7"/>
        <v>10246</v>
      </c>
      <c r="M47" s="43">
        <f t="shared" si="7"/>
        <v>10846</v>
      </c>
    </row>
    <row r="48" spans="1:13" ht="13.5" thickBot="1" x14ac:dyDescent="0.25">
      <c r="A48" s="78" t="s">
        <v>7</v>
      </c>
      <c r="B48" s="44"/>
      <c r="C48" s="44"/>
      <c r="D48" s="44"/>
      <c r="E48" s="44"/>
      <c r="F48" s="44">
        <v>4300</v>
      </c>
      <c r="G48" s="44"/>
      <c r="H48" s="44"/>
      <c r="I48" s="44"/>
      <c r="J48" s="44">
        <v>1254</v>
      </c>
      <c r="K48" s="44"/>
      <c r="L48" s="44"/>
      <c r="M48" s="44"/>
    </row>
    <row r="49" spans="1:13" ht="13.5" thickBot="1" x14ac:dyDescent="0.25">
      <c r="A49" s="78" t="s">
        <v>111</v>
      </c>
      <c r="B49" s="45">
        <f t="shared" ref="B49:M49" si="8">B47-B48</f>
        <v>9800</v>
      </c>
      <c r="C49" s="46">
        <f t="shared" si="8"/>
        <v>10400</v>
      </c>
      <c r="D49" s="46">
        <f t="shared" si="8"/>
        <v>11000</v>
      </c>
      <c r="E49" s="46">
        <f t="shared" si="8"/>
        <v>11600</v>
      </c>
      <c r="F49" s="46">
        <f t="shared" si="8"/>
        <v>7900</v>
      </c>
      <c r="G49" s="46">
        <f t="shared" si="8"/>
        <v>8500</v>
      </c>
      <c r="H49" s="46">
        <f t="shared" si="8"/>
        <v>9100</v>
      </c>
      <c r="I49" s="46">
        <f t="shared" si="8"/>
        <v>9700</v>
      </c>
      <c r="J49" s="46">
        <f t="shared" si="8"/>
        <v>9046</v>
      </c>
      <c r="K49" s="46">
        <f t="shared" si="8"/>
        <v>9646</v>
      </c>
      <c r="L49" s="46">
        <f t="shared" si="8"/>
        <v>10246</v>
      </c>
      <c r="M49" s="46">
        <f t="shared" si="8"/>
        <v>10846</v>
      </c>
    </row>
    <row r="51" spans="1:13" x14ac:dyDescent="0.2">
      <c r="F51" t="s">
        <v>314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3:M31"/>
  <sheetViews>
    <sheetView topLeftCell="A7" workbookViewId="0">
      <selection activeCell="D31" sqref="D31"/>
    </sheetView>
  </sheetViews>
  <sheetFormatPr baseColWidth="10" defaultRowHeight="12.75" x14ac:dyDescent="0.2"/>
  <cols>
    <col min="1" max="1" width="36.28515625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81"/>
      <c r="B4" s="82">
        <v>43831</v>
      </c>
      <c r="C4" s="82">
        <v>43862</v>
      </c>
      <c r="D4" s="82">
        <v>43891</v>
      </c>
      <c r="E4" s="82">
        <v>43922</v>
      </c>
      <c r="F4" s="82">
        <v>43952</v>
      </c>
      <c r="G4" s="82">
        <v>43983</v>
      </c>
      <c r="H4" s="82">
        <v>44013</v>
      </c>
      <c r="I4" s="82">
        <v>44044</v>
      </c>
      <c r="J4" s="82">
        <v>44075</v>
      </c>
      <c r="K4" s="82">
        <v>44105</v>
      </c>
      <c r="L4" s="82">
        <v>44136</v>
      </c>
      <c r="M4" s="82">
        <v>44166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M5" si="0">C16</f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10720</v>
      </c>
      <c r="M5" s="42">
        <f t="shared" si="0"/>
        <v>14450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>
        <v>3704</v>
      </c>
      <c r="I7" s="42">
        <v>4794</v>
      </c>
      <c r="J7" s="42">
        <v>1050</v>
      </c>
      <c r="K7" s="42">
        <v>8720</v>
      </c>
      <c r="L7" s="42">
        <v>1730</v>
      </c>
      <c r="M7" s="42">
        <v>4163</v>
      </c>
    </row>
    <row r="8" spans="1:13" x14ac:dyDescent="0.2">
      <c r="A8" s="78" t="s">
        <v>225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224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202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/>
      <c r="C13" s="42"/>
      <c r="D13" s="42"/>
      <c r="E13" s="42"/>
      <c r="F13" s="42"/>
      <c r="G13" s="42"/>
      <c r="H13" s="42">
        <v>2000</v>
      </c>
      <c r="I13" s="42">
        <v>2000</v>
      </c>
      <c r="J13" s="42">
        <v>2000</v>
      </c>
      <c r="K13" s="42">
        <v>2000</v>
      </c>
      <c r="L13" s="42">
        <v>2000</v>
      </c>
      <c r="M13" s="42">
        <v>2000</v>
      </c>
    </row>
    <row r="14" spans="1:13" x14ac:dyDescent="0.2">
      <c r="A14" s="78" t="s">
        <v>6</v>
      </c>
      <c r="B14" s="43">
        <f t="shared" ref="B14:M14" si="1">SUM(B5:B13)</f>
        <v>0</v>
      </c>
      <c r="C14" s="43">
        <f t="shared" si="1"/>
        <v>0</v>
      </c>
      <c r="D14" s="43">
        <f t="shared" si="1"/>
        <v>0</v>
      </c>
      <c r="E14" s="43">
        <f t="shared" si="1"/>
        <v>0</v>
      </c>
      <c r="F14" s="43">
        <f t="shared" si="1"/>
        <v>0</v>
      </c>
      <c r="G14" s="43">
        <f t="shared" si="1"/>
        <v>0</v>
      </c>
      <c r="H14" s="43">
        <f t="shared" si="1"/>
        <v>5704</v>
      </c>
      <c r="I14" s="43">
        <f t="shared" si="1"/>
        <v>6794</v>
      </c>
      <c r="J14" s="43">
        <f t="shared" si="1"/>
        <v>3050</v>
      </c>
      <c r="K14" s="43">
        <f t="shared" si="1"/>
        <v>10720</v>
      </c>
      <c r="L14" s="43">
        <f t="shared" si="1"/>
        <v>14450</v>
      </c>
      <c r="M14" s="43">
        <f t="shared" si="1"/>
        <v>20613</v>
      </c>
    </row>
    <row r="15" spans="1:13" ht="13.5" thickBot="1" x14ac:dyDescent="0.25">
      <c r="A15" s="78" t="s">
        <v>7</v>
      </c>
      <c r="B15" s="44"/>
      <c r="C15" s="44"/>
      <c r="D15" s="44"/>
      <c r="E15" s="44"/>
      <c r="F15" s="44"/>
      <c r="G15" s="44"/>
      <c r="H15" s="44">
        <v>5704</v>
      </c>
      <c r="I15" s="44">
        <v>6794</v>
      </c>
      <c r="J15" s="44">
        <v>3050</v>
      </c>
      <c r="K15" s="44"/>
      <c r="L15" s="44"/>
      <c r="M15" s="44">
        <v>20613</v>
      </c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10720</v>
      </c>
      <c r="L16" s="46">
        <f t="shared" si="2"/>
        <v>14450</v>
      </c>
      <c r="M16" s="46">
        <f t="shared" si="2"/>
        <v>0</v>
      </c>
    </row>
    <row r="19" spans="1:13" x14ac:dyDescent="0.2">
      <c r="A19" s="81"/>
      <c r="B19" s="82">
        <v>44197</v>
      </c>
      <c r="C19" s="82">
        <v>44228</v>
      </c>
      <c r="D19" s="82">
        <v>44256</v>
      </c>
      <c r="E19" s="82">
        <v>44287</v>
      </c>
      <c r="F19" s="82">
        <v>44317</v>
      </c>
      <c r="G19" s="82">
        <v>44348</v>
      </c>
      <c r="H19" s="82">
        <v>44378</v>
      </c>
      <c r="I19" s="82">
        <v>44409</v>
      </c>
      <c r="J19" s="82">
        <v>44440</v>
      </c>
      <c r="K19" s="82">
        <v>44470</v>
      </c>
      <c r="L19" s="82">
        <v>44501</v>
      </c>
      <c r="M19" s="82">
        <v>44531</v>
      </c>
    </row>
    <row r="20" spans="1:13" x14ac:dyDescent="0.2">
      <c r="A20" s="78" t="s">
        <v>110</v>
      </c>
      <c r="B20" s="42"/>
      <c r="C20" s="42">
        <f t="shared" ref="C20:M20" si="3">B31</f>
        <v>3650</v>
      </c>
      <c r="D20" s="42">
        <f t="shared" si="3"/>
        <v>6700</v>
      </c>
      <c r="E20" s="42">
        <f t="shared" si="3"/>
        <v>50</v>
      </c>
      <c r="F20" s="42">
        <f t="shared" si="3"/>
        <v>50</v>
      </c>
      <c r="G20" s="42">
        <f t="shared" si="3"/>
        <v>50</v>
      </c>
      <c r="H20" s="42">
        <f t="shared" si="3"/>
        <v>50</v>
      </c>
      <c r="I20" s="42">
        <f t="shared" si="3"/>
        <v>50</v>
      </c>
      <c r="J20" s="42">
        <f t="shared" si="3"/>
        <v>50</v>
      </c>
      <c r="K20" s="42">
        <f t="shared" si="3"/>
        <v>50</v>
      </c>
      <c r="L20" s="42">
        <f t="shared" si="3"/>
        <v>50</v>
      </c>
      <c r="M20" s="42">
        <f t="shared" si="3"/>
        <v>50</v>
      </c>
    </row>
    <row r="21" spans="1:13" x14ac:dyDescent="0.2">
      <c r="A21" s="78" t="s">
        <v>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>
        <v>1650</v>
      </c>
      <c r="C22" s="42">
        <v>1050</v>
      </c>
      <c r="D22" s="42">
        <v>5250</v>
      </c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225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224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202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2000</v>
      </c>
      <c r="C28" s="42">
        <v>2000</v>
      </c>
      <c r="D28" s="42">
        <v>2000</v>
      </c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 t="shared" ref="B29:M29" si="4">SUM(B20:B28)</f>
        <v>3650</v>
      </c>
      <c r="C29" s="43">
        <f t="shared" si="4"/>
        <v>6700</v>
      </c>
      <c r="D29" s="43">
        <f t="shared" si="4"/>
        <v>13950</v>
      </c>
      <c r="E29" s="43">
        <f t="shared" si="4"/>
        <v>50</v>
      </c>
      <c r="F29" s="43">
        <f t="shared" si="4"/>
        <v>50</v>
      </c>
      <c r="G29" s="43">
        <f t="shared" si="4"/>
        <v>50</v>
      </c>
      <c r="H29" s="43">
        <f t="shared" si="4"/>
        <v>50</v>
      </c>
      <c r="I29" s="43">
        <f t="shared" si="4"/>
        <v>50</v>
      </c>
      <c r="J29" s="43">
        <f t="shared" si="4"/>
        <v>50</v>
      </c>
      <c r="K29" s="43">
        <f t="shared" si="4"/>
        <v>50</v>
      </c>
      <c r="L29" s="43">
        <f t="shared" si="4"/>
        <v>50</v>
      </c>
      <c r="M29" s="43">
        <f t="shared" si="4"/>
        <v>50</v>
      </c>
    </row>
    <row r="30" spans="1:13" ht="13.5" thickBot="1" x14ac:dyDescent="0.25">
      <c r="A30" s="78" t="s">
        <v>7</v>
      </c>
      <c r="B30" s="44"/>
      <c r="C30" s="44"/>
      <c r="D30" s="44">
        <v>13900</v>
      </c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13.5" thickBot="1" x14ac:dyDescent="0.25">
      <c r="A31" s="78" t="s">
        <v>111</v>
      </c>
      <c r="B31" s="45">
        <f t="shared" ref="B31:M31" si="5">B29-B30</f>
        <v>3650</v>
      </c>
      <c r="C31" s="46">
        <f t="shared" si="5"/>
        <v>6700</v>
      </c>
      <c r="D31" s="46">
        <f t="shared" si="5"/>
        <v>50</v>
      </c>
      <c r="E31" s="46">
        <f t="shared" si="5"/>
        <v>50</v>
      </c>
      <c r="F31" s="46">
        <f t="shared" si="5"/>
        <v>50</v>
      </c>
      <c r="G31" s="46">
        <f t="shared" si="5"/>
        <v>50</v>
      </c>
      <c r="H31" s="46">
        <f t="shared" si="5"/>
        <v>50</v>
      </c>
      <c r="I31" s="46">
        <f t="shared" si="5"/>
        <v>50</v>
      </c>
      <c r="J31" s="46">
        <f t="shared" si="5"/>
        <v>50</v>
      </c>
      <c r="K31" s="46">
        <f t="shared" si="5"/>
        <v>50</v>
      </c>
      <c r="L31" s="46">
        <f t="shared" si="5"/>
        <v>50</v>
      </c>
      <c r="M31" s="46">
        <f t="shared" si="5"/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3:M37"/>
  <sheetViews>
    <sheetView topLeftCell="A19" workbookViewId="0">
      <selection activeCell="L30" sqref="L30"/>
    </sheetView>
  </sheetViews>
  <sheetFormatPr baseColWidth="10" defaultRowHeight="12.75" x14ac:dyDescent="0.2"/>
  <cols>
    <col min="1" max="1" width="28.28515625" customWidth="1"/>
  </cols>
  <sheetData>
    <row r="3" spans="1:13" x14ac:dyDescent="0.2">
      <c r="A3" s="72" t="s">
        <v>0</v>
      </c>
      <c r="B3" s="72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x14ac:dyDescent="0.2">
      <c r="A4" s="73"/>
      <c r="B4" s="74">
        <v>45292</v>
      </c>
      <c r="C4" s="74">
        <v>45323</v>
      </c>
      <c r="D4" s="74">
        <v>45352</v>
      </c>
      <c r="E4" s="74">
        <v>45383</v>
      </c>
      <c r="F4" s="74">
        <v>45413</v>
      </c>
      <c r="G4" s="74">
        <v>45444</v>
      </c>
      <c r="H4" s="74">
        <v>45474</v>
      </c>
      <c r="I4" s="74">
        <v>45505</v>
      </c>
      <c r="J4" s="74">
        <v>45536</v>
      </c>
      <c r="K4" s="74">
        <v>45566</v>
      </c>
      <c r="L4" s="74">
        <v>45597</v>
      </c>
      <c r="M4" s="74">
        <v>45627</v>
      </c>
    </row>
    <row r="5" spans="1:13" x14ac:dyDescent="0.2">
      <c r="A5" s="65" t="s">
        <v>110</v>
      </c>
      <c r="B5" s="69"/>
      <c r="C5" s="69">
        <f t="shared" ref="C5:M5" si="0">B16</f>
        <v>0</v>
      </c>
      <c r="D5" s="69">
        <f t="shared" si="0"/>
        <v>0</v>
      </c>
      <c r="E5" s="69">
        <f t="shared" si="0"/>
        <v>0</v>
      </c>
      <c r="F5" s="69">
        <f t="shared" si="0"/>
        <v>0</v>
      </c>
      <c r="G5" s="69">
        <f t="shared" si="0"/>
        <v>0</v>
      </c>
      <c r="H5" s="69">
        <f t="shared" si="0"/>
        <v>0</v>
      </c>
      <c r="I5" s="69">
        <f t="shared" si="0"/>
        <v>0</v>
      </c>
      <c r="J5" s="69">
        <f t="shared" si="0"/>
        <v>0</v>
      </c>
      <c r="K5" s="69">
        <f t="shared" si="0"/>
        <v>0</v>
      </c>
      <c r="L5" s="69">
        <f t="shared" si="0"/>
        <v>0</v>
      </c>
      <c r="M5" s="69">
        <f t="shared" si="0"/>
        <v>0</v>
      </c>
    </row>
    <row r="6" spans="1:13" x14ac:dyDescent="0.2">
      <c r="A6" s="65" t="s">
        <v>2</v>
      </c>
      <c r="B6" s="69">
        <v>1200</v>
      </c>
      <c r="C6" s="69">
        <v>1200</v>
      </c>
      <c r="D6" s="69">
        <v>1200</v>
      </c>
      <c r="E6" s="69">
        <v>1200</v>
      </c>
      <c r="F6" s="69">
        <v>2000</v>
      </c>
      <c r="G6" s="69">
        <v>2000</v>
      </c>
      <c r="H6" s="69">
        <v>2000</v>
      </c>
      <c r="I6" s="69">
        <v>2000</v>
      </c>
      <c r="J6" s="69">
        <v>2000</v>
      </c>
      <c r="K6" s="69">
        <v>2900</v>
      </c>
      <c r="L6" s="69">
        <v>2900</v>
      </c>
      <c r="M6" s="69">
        <v>2900</v>
      </c>
    </row>
    <row r="7" spans="1:13" x14ac:dyDescent="0.2">
      <c r="A7" s="65" t="s">
        <v>3</v>
      </c>
      <c r="B7" s="69">
        <v>4000</v>
      </c>
      <c r="C7" s="69">
        <v>4000</v>
      </c>
      <c r="D7" s="69">
        <v>4000</v>
      </c>
      <c r="E7" s="69">
        <v>4000</v>
      </c>
      <c r="F7" s="69">
        <v>4000</v>
      </c>
      <c r="G7" s="69">
        <v>4000</v>
      </c>
      <c r="H7" s="69">
        <v>4000</v>
      </c>
      <c r="I7" s="69">
        <v>4000</v>
      </c>
      <c r="J7" s="69">
        <v>4000</v>
      </c>
      <c r="K7" s="69">
        <v>4000</v>
      </c>
      <c r="L7" s="69">
        <v>4000</v>
      </c>
      <c r="M7" s="69">
        <v>4000</v>
      </c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317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75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>
        <v>15000</v>
      </c>
      <c r="C13" s="69">
        <v>15000</v>
      </c>
      <c r="D13" s="69">
        <v>15000</v>
      </c>
      <c r="E13" s="69">
        <v>15000</v>
      </c>
      <c r="F13" s="69">
        <v>15000</v>
      </c>
      <c r="G13" s="69">
        <v>15500</v>
      </c>
      <c r="H13" s="69">
        <v>15500</v>
      </c>
      <c r="I13" s="69">
        <v>16000</v>
      </c>
      <c r="J13" s="69">
        <v>17000</v>
      </c>
      <c r="K13" s="69">
        <v>17000</v>
      </c>
      <c r="L13" s="69">
        <v>18100</v>
      </c>
      <c r="M13" s="69">
        <v>18600</v>
      </c>
    </row>
    <row r="14" spans="1:13" x14ac:dyDescent="0.2">
      <c r="A14" s="65" t="s">
        <v>6</v>
      </c>
      <c r="B14" s="70">
        <f t="shared" ref="B14:M14" si="1">SUM(B5:B13)</f>
        <v>20200</v>
      </c>
      <c r="C14" s="70">
        <f t="shared" si="1"/>
        <v>20200</v>
      </c>
      <c r="D14" s="70">
        <f t="shared" si="1"/>
        <v>20200</v>
      </c>
      <c r="E14" s="70">
        <f t="shared" si="1"/>
        <v>20200</v>
      </c>
      <c r="F14" s="70">
        <f t="shared" si="1"/>
        <v>21000</v>
      </c>
      <c r="G14" s="70">
        <f>SUM(G5:G13)</f>
        <v>21500</v>
      </c>
      <c r="H14" s="70">
        <f t="shared" si="1"/>
        <v>21500</v>
      </c>
      <c r="I14" s="70">
        <f t="shared" si="1"/>
        <v>22000</v>
      </c>
      <c r="J14" s="70">
        <f t="shared" si="1"/>
        <v>23000</v>
      </c>
      <c r="K14" s="70">
        <f t="shared" si="1"/>
        <v>23900</v>
      </c>
      <c r="L14" s="70">
        <f t="shared" si="1"/>
        <v>25000</v>
      </c>
      <c r="M14" s="70">
        <f t="shared" si="1"/>
        <v>25500</v>
      </c>
    </row>
    <row r="15" spans="1:13" ht="13.5" thickBot="1" x14ac:dyDescent="0.25">
      <c r="A15" s="65" t="s">
        <v>7</v>
      </c>
      <c r="B15" s="71">
        <v>20200</v>
      </c>
      <c r="C15" s="71">
        <v>20200</v>
      </c>
      <c r="D15" s="71">
        <v>20200</v>
      </c>
      <c r="E15" s="71">
        <v>20200</v>
      </c>
      <c r="F15" s="71">
        <v>21000</v>
      </c>
      <c r="G15" s="71">
        <v>21500</v>
      </c>
      <c r="H15" s="71">
        <v>21500</v>
      </c>
      <c r="I15" s="71">
        <v>22000</v>
      </c>
      <c r="J15" s="71">
        <v>23000</v>
      </c>
      <c r="K15" s="71">
        <v>23900</v>
      </c>
      <c r="L15" s="71">
        <v>25000</v>
      </c>
      <c r="M15" s="71">
        <v>25500</v>
      </c>
    </row>
    <row r="16" spans="1:13" ht="13.5" thickBot="1" x14ac:dyDescent="0.25">
      <c r="A16" s="65" t="s">
        <v>111</v>
      </c>
      <c r="B16" s="75">
        <f t="shared" ref="B16:M16" si="2">B14-B15</f>
        <v>0</v>
      </c>
      <c r="C16" s="76">
        <f t="shared" si="2"/>
        <v>0</v>
      </c>
      <c r="D16" s="76">
        <f t="shared" si="2"/>
        <v>0</v>
      </c>
      <c r="E16" s="76">
        <f t="shared" si="2"/>
        <v>0</v>
      </c>
      <c r="F16" s="76">
        <f t="shared" si="2"/>
        <v>0</v>
      </c>
      <c r="G16" s="76">
        <f t="shared" si="2"/>
        <v>0</v>
      </c>
      <c r="H16" s="76">
        <f t="shared" si="2"/>
        <v>0</v>
      </c>
      <c r="I16" s="76">
        <f t="shared" si="2"/>
        <v>0</v>
      </c>
      <c r="J16" s="76">
        <f t="shared" si="2"/>
        <v>0</v>
      </c>
      <c r="K16" s="76">
        <f t="shared" si="2"/>
        <v>0</v>
      </c>
      <c r="L16" s="76">
        <f t="shared" si="2"/>
        <v>0</v>
      </c>
      <c r="M16" s="77">
        <f t="shared" si="2"/>
        <v>0</v>
      </c>
    </row>
    <row r="20" spans="1:13" x14ac:dyDescent="0.2">
      <c r="A20" s="73"/>
      <c r="B20" s="74">
        <v>45658</v>
      </c>
      <c r="C20" s="74">
        <v>45689</v>
      </c>
      <c r="D20" s="74">
        <v>45717</v>
      </c>
      <c r="E20" s="74">
        <v>45748</v>
      </c>
      <c r="F20" s="74">
        <v>45778</v>
      </c>
      <c r="G20" s="74">
        <v>45809</v>
      </c>
      <c r="H20" s="74">
        <v>45839</v>
      </c>
      <c r="I20" s="74">
        <v>45870</v>
      </c>
      <c r="J20" s="74">
        <v>45901</v>
      </c>
      <c r="K20" s="74">
        <v>45931</v>
      </c>
      <c r="L20" s="74">
        <v>45962</v>
      </c>
      <c r="M20" s="74">
        <v>45992</v>
      </c>
    </row>
    <row r="21" spans="1:13" x14ac:dyDescent="0.2">
      <c r="A21" s="65" t="s">
        <v>110</v>
      </c>
      <c r="B21" s="69"/>
      <c r="C21" s="69">
        <f t="shared" ref="C21:M21" si="3">B32</f>
        <v>0</v>
      </c>
      <c r="D21" s="69">
        <f t="shared" si="3"/>
        <v>0</v>
      </c>
      <c r="E21" s="69">
        <f t="shared" si="3"/>
        <v>0</v>
      </c>
      <c r="F21" s="69">
        <f t="shared" si="3"/>
        <v>0</v>
      </c>
      <c r="G21" s="69">
        <f t="shared" si="3"/>
        <v>0</v>
      </c>
      <c r="H21" s="69">
        <f t="shared" si="3"/>
        <v>0</v>
      </c>
      <c r="I21" s="69">
        <f t="shared" si="3"/>
        <v>0</v>
      </c>
      <c r="J21" s="69">
        <f t="shared" si="3"/>
        <v>0</v>
      </c>
      <c r="K21" s="69">
        <f t="shared" si="3"/>
        <v>0</v>
      </c>
      <c r="L21" s="69">
        <f t="shared" si="3"/>
        <v>0</v>
      </c>
      <c r="M21" s="69">
        <f t="shared" si="3"/>
        <v>45500</v>
      </c>
    </row>
    <row r="22" spans="1:13" x14ac:dyDescent="0.2">
      <c r="A22" s="65" t="s">
        <v>2</v>
      </c>
      <c r="B22" s="69">
        <v>3000</v>
      </c>
      <c r="C22" s="69">
        <v>4000</v>
      </c>
      <c r="D22" s="69">
        <v>4000</v>
      </c>
      <c r="E22" s="69">
        <v>4000</v>
      </c>
      <c r="F22" s="69">
        <v>4000</v>
      </c>
      <c r="G22" s="69">
        <v>4000</v>
      </c>
      <c r="H22" s="69">
        <v>4000</v>
      </c>
      <c r="I22" s="69">
        <v>4500</v>
      </c>
      <c r="J22" s="69">
        <v>4500</v>
      </c>
      <c r="K22" s="69">
        <v>4500</v>
      </c>
      <c r="L22" s="69">
        <v>4500</v>
      </c>
      <c r="M22" s="69"/>
    </row>
    <row r="23" spans="1:13" x14ac:dyDescent="0.2">
      <c r="A23" s="65" t="s">
        <v>3</v>
      </c>
      <c r="B23" s="69">
        <v>4000</v>
      </c>
      <c r="C23" s="69">
        <v>6000</v>
      </c>
      <c r="D23" s="69">
        <v>6000</v>
      </c>
      <c r="E23" s="69">
        <v>6000</v>
      </c>
      <c r="F23" s="69">
        <v>6000</v>
      </c>
      <c r="G23" s="69">
        <v>6000</v>
      </c>
      <c r="H23" s="69">
        <v>6000</v>
      </c>
      <c r="I23" s="69">
        <v>6000</v>
      </c>
      <c r="J23" s="69">
        <v>6000</v>
      </c>
      <c r="K23" s="69">
        <v>6000</v>
      </c>
      <c r="L23" s="69">
        <v>6000</v>
      </c>
      <c r="M23" s="69"/>
    </row>
    <row r="24" spans="1:13" x14ac:dyDescent="0.2">
      <c r="A24" s="65" t="s">
        <v>4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73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317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75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5</v>
      </c>
      <c r="B29" s="69">
        <v>20000</v>
      </c>
      <c r="C29" s="69">
        <v>25000</v>
      </c>
      <c r="D29" s="69">
        <v>25000</v>
      </c>
      <c r="E29" s="69">
        <v>25000</v>
      </c>
      <c r="F29" s="69">
        <v>25000</v>
      </c>
      <c r="G29" s="69">
        <v>30000</v>
      </c>
      <c r="H29" s="69">
        <v>35000</v>
      </c>
      <c r="I29" s="69">
        <v>35000</v>
      </c>
      <c r="J29" s="69">
        <v>35000</v>
      </c>
      <c r="K29" s="69">
        <v>35000</v>
      </c>
      <c r="L29" s="69">
        <v>35000</v>
      </c>
      <c r="M29" s="69"/>
    </row>
    <row r="30" spans="1:13" x14ac:dyDescent="0.2">
      <c r="A30" s="65" t="s">
        <v>6</v>
      </c>
      <c r="B30" s="70">
        <f t="shared" ref="B30:M30" si="4">SUM(B21:B29)</f>
        <v>27000</v>
      </c>
      <c r="C30" s="70">
        <f t="shared" si="4"/>
        <v>35000</v>
      </c>
      <c r="D30" s="70">
        <f t="shared" si="4"/>
        <v>35000</v>
      </c>
      <c r="E30" s="70">
        <f t="shared" si="4"/>
        <v>35000</v>
      </c>
      <c r="F30" s="70">
        <f t="shared" si="4"/>
        <v>35000</v>
      </c>
      <c r="G30" s="70">
        <f t="shared" si="4"/>
        <v>40000</v>
      </c>
      <c r="H30" s="70">
        <f t="shared" si="4"/>
        <v>45000</v>
      </c>
      <c r="I30" s="70">
        <f t="shared" si="4"/>
        <v>45500</v>
      </c>
      <c r="J30" s="70">
        <f t="shared" si="4"/>
        <v>45500</v>
      </c>
      <c r="K30" s="70">
        <f t="shared" si="4"/>
        <v>45500</v>
      </c>
      <c r="L30" s="70">
        <f t="shared" si="4"/>
        <v>45500</v>
      </c>
      <c r="M30" s="70">
        <f t="shared" si="4"/>
        <v>45500</v>
      </c>
    </row>
    <row r="31" spans="1:13" ht="13.5" thickBot="1" x14ac:dyDescent="0.25">
      <c r="A31" s="65" t="s">
        <v>7</v>
      </c>
      <c r="B31" s="71">
        <v>27000</v>
      </c>
      <c r="C31" s="71">
        <v>35000</v>
      </c>
      <c r="D31" s="71">
        <v>35000</v>
      </c>
      <c r="E31" s="71">
        <v>35000</v>
      </c>
      <c r="F31" s="71">
        <v>35000</v>
      </c>
      <c r="G31" s="71">
        <v>40000</v>
      </c>
      <c r="H31" s="71">
        <v>45000</v>
      </c>
      <c r="I31" s="71">
        <v>45500</v>
      </c>
      <c r="J31" s="71">
        <v>45500</v>
      </c>
      <c r="K31" s="71">
        <v>45500</v>
      </c>
      <c r="L31" s="71"/>
      <c r="M31" s="71"/>
    </row>
    <row r="32" spans="1:13" ht="13.5" thickBot="1" x14ac:dyDescent="0.25">
      <c r="A32" s="65" t="s">
        <v>111</v>
      </c>
      <c r="B32" s="75">
        <f t="shared" ref="B32:M32" si="5">B30-B31</f>
        <v>0</v>
      </c>
      <c r="C32" s="76">
        <f t="shared" si="5"/>
        <v>0</v>
      </c>
      <c r="D32" s="76">
        <f t="shared" si="5"/>
        <v>0</v>
      </c>
      <c r="E32" s="76">
        <f t="shared" si="5"/>
        <v>0</v>
      </c>
      <c r="F32" s="76">
        <f t="shared" si="5"/>
        <v>0</v>
      </c>
      <c r="G32" s="76">
        <f t="shared" si="5"/>
        <v>0</v>
      </c>
      <c r="H32" s="76">
        <f t="shared" si="5"/>
        <v>0</v>
      </c>
      <c r="I32" s="76">
        <f t="shared" si="5"/>
        <v>0</v>
      </c>
      <c r="J32" s="76">
        <f t="shared" si="5"/>
        <v>0</v>
      </c>
      <c r="K32" s="76">
        <f t="shared" si="5"/>
        <v>0</v>
      </c>
      <c r="L32" s="76">
        <f t="shared" si="5"/>
        <v>45500</v>
      </c>
      <c r="M32" s="77">
        <f t="shared" si="5"/>
        <v>45500</v>
      </c>
    </row>
    <row r="35" spans="10:11" x14ac:dyDescent="0.2">
      <c r="J35">
        <f>J33+J34</f>
        <v>0</v>
      </c>
    </row>
    <row r="37" spans="10:11" x14ac:dyDescent="0.2">
      <c r="K37" t="s">
        <v>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5:M36"/>
  <sheetViews>
    <sheetView topLeftCell="A13" workbookViewId="0">
      <selection activeCell="F26" sqref="F26"/>
    </sheetView>
  </sheetViews>
  <sheetFormatPr baseColWidth="10" defaultRowHeight="12.75" x14ac:dyDescent="0.2"/>
  <cols>
    <col min="1" max="1" width="28.140625" customWidth="1"/>
    <col min="2" max="2" width="13.140625" customWidth="1"/>
    <col min="3" max="4" width="12.5703125" customWidth="1"/>
    <col min="5" max="5" width="13" customWidth="1"/>
    <col min="6" max="6" width="12.5703125" customWidth="1"/>
    <col min="7" max="7" width="13" customWidth="1"/>
    <col min="8" max="9" width="12.85546875" customWidth="1"/>
    <col min="10" max="10" width="13.42578125" customWidth="1"/>
    <col min="11" max="11" width="12.5703125" customWidth="1"/>
    <col min="12" max="12" width="12.7109375" customWidth="1"/>
    <col min="13" max="13" width="13.28515625" customWidth="1"/>
  </cols>
  <sheetData>
    <row r="5" spans="1:13" x14ac:dyDescent="0.2">
      <c r="A5" s="80" t="s">
        <v>0</v>
      </c>
      <c r="B5" s="80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x14ac:dyDescent="0.2">
      <c r="A6" s="81"/>
      <c r="B6" s="82">
        <v>45658</v>
      </c>
      <c r="C6" s="82">
        <v>45689</v>
      </c>
      <c r="D6" s="82">
        <v>45717</v>
      </c>
      <c r="E6" s="82">
        <v>45748</v>
      </c>
      <c r="F6" s="82">
        <v>45778</v>
      </c>
      <c r="G6" s="82">
        <v>45809</v>
      </c>
      <c r="H6" s="82">
        <v>45839</v>
      </c>
      <c r="I6" s="82">
        <v>45870</v>
      </c>
      <c r="J6" s="82">
        <v>45901</v>
      </c>
      <c r="K6" s="82">
        <v>45931</v>
      </c>
      <c r="L6" s="82">
        <v>45962</v>
      </c>
      <c r="M6" s="82">
        <v>45992</v>
      </c>
    </row>
    <row r="7" spans="1:13" x14ac:dyDescent="0.2">
      <c r="A7" s="78" t="s">
        <v>110</v>
      </c>
      <c r="B7" s="42">
        <v>1791661</v>
      </c>
      <c r="C7" s="42">
        <f t="shared" ref="C7:M7" si="0">B18</f>
        <v>1339962</v>
      </c>
      <c r="D7" s="42">
        <f t="shared" si="0"/>
        <v>1795922</v>
      </c>
      <c r="E7" s="42">
        <f t="shared" si="0"/>
        <v>644927</v>
      </c>
      <c r="F7" s="42">
        <f t="shared" si="0"/>
        <v>1130842</v>
      </c>
      <c r="G7" s="42">
        <f t="shared" si="0"/>
        <v>1494084</v>
      </c>
      <c r="H7" s="42">
        <f t="shared" si="0"/>
        <v>1907552</v>
      </c>
      <c r="I7" s="42">
        <f t="shared" si="0"/>
        <v>-685.37000000011176</v>
      </c>
      <c r="J7" s="42">
        <f t="shared" si="0"/>
        <v>464156.62999999989</v>
      </c>
      <c r="K7" s="42">
        <f t="shared" si="0"/>
        <v>1035521.6299999999</v>
      </c>
      <c r="L7" s="42">
        <f t="shared" si="0"/>
        <v>1598996.63</v>
      </c>
      <c r="M7" s="42">
        <f t="shared" si="0"/>
        <v>2015506.63</v>
      </c>
    </row>
    <row r="8" spans="1:13" x14ac:dyDescent="0.2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>
        <v>160000</v>
      </c>
      <c r="C9" s="42">
        <v>218000</v>
      </c>
      <c r="D9" s="42">
        <v>110000</v>
      </c>
      <c r="E9" s="42">
        <v>180000</v>
      </c>
      <c r="F9" s="42">
        <v>120000</v>
      </c>
      <c r="G9" s="42">
        <v>170000</v>
      </c>
      <c r="H9" s="42"/>
      <c r="I9" s="42">
        <v>150000</v>
      </c>
      <c r="J9" s="42">
        <v>260000</v>
      </c>
      <c r="K9" s="42">
        <v>250000</v>
      </c>
      <c r="L9" s="42">
        <v>100000</v>
      </c>
      <c r="M9" s="42">
        <v>250000</v>
      </c>
    </row>
    <row r="10" spans="1:13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647</v>
      </c>
      <c r="B11" s="42">
        <v>35000</v>
      </c>
      <c r="C11" s="42">
        <v>35000</v>
      </c>
      <c r="D11" s="42">
        <v>35000</v>
      </c>
      <c r="E11" s="42">
        <v>35000</v>
      </c>
      <c r="F11" s="42">
        <v>35000</v>
      </c>
      <c r="G11" s="42">
        <v>35000</v>
      </c>
      <c r="H11" s="42">
        <v>35000</v>
      </c>
      <c r="I11" s="42">
        <v>35000</v>
      </c>
      <c r="J11" s="42">
        <v>35000</v>
      </c>
      <c r="K11" s="42">
        <v>35000</v>
      </c>
      <c r="L11" s="42">
        <v>35000</v>
      </c>
      <c r="M11" s="42">
        <v>35000</v>
      </c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>
        <f>16000+20081+77220</f>
        <v>113301</v>
      </c>
      <c r="C13" s="42">
        <f>53260+16000+13700</f>
        <v>82960</v>
      </c>
      <c r="D13" s="42">
        <f>54100+16000+13905</f>
        <v>84005</v>
      </c>
      <c r="E13" s="42">
        <f>17000+13905+59600+60410</f>
        <v>150915</v>
      </c>
      <c r="F13" s="42">
        <f>14480+17000+56762</f>
        <v>88242</v>
      </c>
      <c r="G13" s="42">
        <f>56843+17000+14625</f>
        <v>88468</v>
      </c>
      <c r="H13" s="42">
        <f>86120+18500+22525</f>
        <v>127145</v>
      </c>
      <c r="I13" s="42">
        <f>65632+18500+15710</f>
        <v>99842</v>
      </c>
      <c r="J13" s="42">
        <f>62000+18500+15865</f>
        <v>96365</v>
      </c>
      <c r="K13" s="42">
        <f>62415+36060</f>
        <v>98475</v>
      </c>
      <c r="L13" s="42">
        <f>64830+16680+20000</f>
        <v>101510</v>
      </c>
      <c r="M13" s="42">
        <f>20000+75805+16850</f>
        <v>112655</v>
      </c>
    </row>
    <row r="14" spans="1:13" x14ac:dyDescent="0.2">
      <c r="A14" s="7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120000</v>
      </c>
      <c r="C15" s="42">
        <v>120000</v>
      </c>
      <c r="D15" s="42">
        <v>120000</v>
      </c>
      <c r="E15" s="42">
        <v>120000</v>
      </c>
      <c r="F15" s="42">
        <v>120000</v>
      </c>
      <c r="G15" s="42">
        <v>120000</v>
      </c>
      <c r="H15" s="42">
        <v>120000</v>
      </c>
      <c r="I15" s="42">
        <v>180000</v>
      </c>
      <c r="J15" s="42">
        <v>180000</v>
      </c>
      <c r="K15" s="42">
        <v>180000</v>
      </c>
      <c r="L15" s="42">
        <v>180000</v>
      </c>
      <c r="M15" s="42">
        <v>200000</v>
      </c>
    </row>
    <row r="16" spans="1:13" x14ac:dyDescent="0.2">
      <c r="A16" s="78" t="s">
        <v>6</v>
      </c>
      <c r="B16" s="43">
        <f t="shared" ref="B16:M16" si="1">SUM(B7:B15)</f>
        <v>2219962</v>
      </c>
      <c r="C16" s="43">
        <f t="shared" si="1"/>
        <v>1795922</v>
      </c>
      <c r="D16" s="43">
        <f t="shared" si="1"/>
        <v>2144927</v>
      </c>
      <c r="E16" s="43">
        <f t="shared" si="1"/>
        <v>1130842</v>
      </c>
      <c r="F16" s="43">
        <f t="shared" si="1"/>
        <v>1494084</v>
      </c>
      <c r="G16" s="43">
        <f t="shared" si="1"/>
        <v>1907552</v>
      </c>
      <c r="H16" s="43">
        <f t="shared" si="1"/>
        <v>2189697</v>
      </c>
      <c r="I16" s="43">
        <f t="shared" si="1"/>
        <v>464156.62999999989</v>
      </c>
      <c r="J16" s="43">
        <f t="shared" si="1"/>
        <v>1035521.6299999999</v>
      </c>
      <c r="K16" s="43">
        <f t="shared" si="1"/>
        <v>1598996.63</v>
      </c>
      <c r="L16" s="43">
        <f t="shared" si="1"/>
        <v>2015506.63</v>
      </c>
      <c r="M16" s="43">
        <f t="shared" si="1"/>
        <v>2613161.63</v>
      </c>
    </row>
    <row r="17" spans="1:13" ht="13.5" thickBot="1" x14ac:dyDescent="0.25">
      <c r="A17" s="78" t="s">
        <v>7</v>
      </c>
      <c r="B17" s="44">
        <v>880000</v>
      </c>
      <c r="C17" s="44"/>
      <c r="D17" s="44">
        <v>1500000</v>
      </c>
      <c r="E17" s="44"/>
      <c r="F17" s="44"/>
      <c r="G17" s="44"/>
      <c r="H17" s="44">
        <v>2190382.37</v>
      </c>
      <c r="I17" s="44"/>
      <c r="J17" s="44"/>
      <c r="K17" s="44"/>
      <c r="L17" s="44"/>
      <c r="M17" s="44">
        <v>2902000</v>
      </c>
    </row>
    <row r="18" spans="1:13" ht="13.5" thickBot="1" x14ac:dyDescent="0.25">
      <c r="A18" s="78" t="s">
        <v>111</v>
      </c>
      <c r="B18" s="45">
        <f t="shared" ref="B18:M18" si="2">B16-B17</f>
        <v>1339962</v>
      </c>
      <c r="C18" s="46">
        <f t="shared" si="2"/>
        <v>1795922</v>
      </c>
      <c r="D18" s="46">
        <f t="shared" si="2"/>
        <v>644927</v>
      </c>
      <c r="E18" s="46">
        <f t="shared" si="2"/>
        <v>1130842</v>
      </c>
      <c r="F18" s="46">
        <f t="shared" si="2"/>
        <v>1494084</v>
      </c>
      <c r="G18" s="46">
        <f t="shared" si="2"/>
        <v>1907552</v>
      </c>
      <c r="H18" s="46">
        <f t="shared" si="2"/>
        <v>-685.37000000011176</v>
      </c>
      <c r="I18" s="46">
        <f t="shared" si="2"/>
        <v>464156.62999999989</v>
      </c>
      <c r="J18" s="46">
        <f t="shared" si="2"/>
        <v>1035521.6299999999</v>
      </c>
      <c r="K18" s="46">
        <f t="shared" si="2"/>
        <v>1598996.63</v>
      </c>
      <c r="L18" s="46">
        <f t="shared" si="2"/>
        <v>2015506.63</v>
      </c>
      <c r="M18" s="47">
        <f t="shared" si="2"/>
        <v>-288838.37000000011</v>
      </c>
    </row>
    <row r="19" spans="1:13" x14ac:dyDescent="0.2">
      <c r="M19" t="s">
        <v>764</v>
      </c>
    </row>
    <row r="20" spans="1:13" x14ac:dyDescent="0.2">
      <c r="B20" t="s">
        <v>711</v>
      </c>
      <c r="M20" t="s">
        <v>765</v>
      </c>
    </row>
    <row r="22" spans="1:13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2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2">
      <c r="A24" s="78" t="s">
        <v>110</v>
      </c>
      <c r="B24" s="42">
        <v>-288838</v>
      </c>
      <c r="C24" s="42">
        <f t="shared" ref="C24:M24" si="3">B35</f>
        <v>189092</v>
      </c>
      <c r="D24" s="42">
        <f t="shared" si="3"/>
        <v>611642</v>
      </c>
      <c r="E24" s="42">
        <f t="shared" si="3"/>
        <v>1092072</v>
      </c>
      <c r="F24" s="42">
        <f t="shared" si="3"/>
        <v>1507262</v>
      </c>
      <c r="G24" s="42">
        <f t="shared" si="3"/>
        <v>-582382</v>
      </c>
      <c r="H24" s="42">
        <f t="shared" si="3"/>
        <v>-582382</v>
      </c>
      <c r="I24" s="42">
        <f t="shared" si="3"/>
        <v>-582382</v>
      </c>
      <c r="J24" s="42">
        <f t="shared" si="3"/>
        <v>-582382</v>
      </c>
      <c r="K24" s="42">
        <f t="shared" si="3"/>
        <v>-582382</v>
      </c>
      <c r="L24" s="42">
        <f t="shared" si="3"/>
        <v>-582382</v>
      </c>
      <c r="M24" s="42">
        <f t="shared" si="3"/>
        <v>-582382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>
        <v>85000</v>
      </c>
      <c r="C26" s="42">
        <v>68000</v>
      </c>
      <c r="D26" s="42">
        <v>70000</v>
      </c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665</v>
      </c>
      <c r="B28" s="42">
        <v>45000</v>
      </c>
      <c r="C28" s="42">
        <v>45000</v>
      </c>
      <c r="D28" s="42">
        <v>45000</v>
      </c>
      <c r="E28" s="42">
        <v>45000</v>
      </c>
      <c r="F28" s="42">
        <v>45000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787</v>
      </c>
      <c r="B29" s="42"/>
      <c r="C29" s="42"/>
      <c r="D29" s="42">
        <v>55000</v>
      </c>
      <c r="E29" s="42">
        <v>55000</v>
      </c>
      <c r="F29" s="42">
        <v>55000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>
        <f>22000+26030+99900</f>
        <v>147930</v>
      </c>
      <c r="C30" s="42">
        <f>69735+17815+22000</f>
        <v>109550</v>
      </c>
      <c r="D30" s="42">
        <f>70430+22000+18000</f>
        <v>110430</v>
      </c>
      <c r="E30" s="42">
        <f>25000+18350+71840</f>
        <v>115190</v>
      </c>
      <c r="F30" s="42">
        <f>77100+25000+20000</f>
        <v>122100</v>
      </c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677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200000</v>
      </c>
      <c r="C32" s="42">
        <v>200000</v>
      </c>
      <c r="D32" s="42">
        <v>200000</v>
      </c>
      <c r="E32" s="42">
        <v>200000</v>
      </c>
      <c r="F32" s="42">
        <v>210000</v>
      </c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 t="shared" ref="B33:M33" si="4">SUM(B24:B32)</f>
        <v>189092</v>
      </c>
      <c r="C33" s="43">
        <f t="shared" si="4"/>
        <v>611642</v>
      </c>
      <c r="D33" s="43">
        <f t="shared" si="4"/>
        <v>1092072</v>
      </c>
      <c r="E33" s="43">
        <f t="shared" si="4"/>
        <v>1507262</v>
      </c>
      <c r="F33" s="43">
        <f t="shared" si="4"/>
        <v>1939362</v>
      </c>
      <c r="G33" s="43">
        <f t="shared" si="4"/>
        <v>-582382</v>
      </c>
      <c r="H33" s="43">
        <f t="shared" si="4"/>
        <v>-582382</v>
      </c>
      <c r="I33" s="43">
        <f t="shared" si="4"/>
        <v>-582382</v>
      </c>
      <c r="J33" s="43">
        <f t="shared" si="4"/>
        <v>-582382</v>
      </c>
      <c r="K33" s="43">
        <f t="shared" si="4"/>
        <v>-582382</v>
      </c>
      <c r="L33" s="43">
        <f t="shared" si="4"/>
        <v>-582382</v>
      </c>
      <c r="M33" s="43">
        <f t="shared" si="4"/>
        <v>-582382</v>
      </c>
    </row>
    <row r="34" spans="1:13" ht="13.5" thickBot="1" x14ac:dyDescent="0.25">
      <c r="A34" s="78" t="s">
        <v>7</v>
      </c>
      <c r="B34" s="44"/>
      <c r="C34" s="44"/>
      <c r="D34" s="44"/>
      <c r="E34" s="44"/>
      <c r="F34" s="44">
        <v>2521744</v>
      </c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189092</v>
      </c>
      <c r="C35" s="46">
        <f t="shared" si="5"/>
        <v>611642</v>
      </c>
      <c r="D35" s="46">
        <f t="shared" si="5"/>
        <v>1092072</v>
      </c>
      <c r="E35" s="46">
        <f t="shared" si="5"/>
        <v>1507262</v>
      </c>
      <c r="F35" s="46">
        <f t="shared" si="5"/>
        <v>-582382</v>
      </c>
      <c r="G35" s="46">
        <f t="shared" si="5"/>
        <v>-582382</v>
      </c>
      <c r="H35" s="46">
        <f t="shared" si="5"/>
        <v>-582382</v>
      </c>
      <c r="I35" s="46">
        <f t="shared" si="5"/>
        <v>-582382</v>
      </c>
      <c r="J35" s="46">
        <f t="shared" si="5"/>
        <v>-582382</v>
      </c>
      <c r="K35" s="46">
        <f t="shared" si="5"/>
        <v>-582382</v>
      </c>
      <c r="L35" s="46">
        <f t="shared" si="5"/>
        <v>-582382</v>
      </c>
      <c r="M35" s="47">
        <f t="shared" si="5"/>
        <v>-582382</v>
      </c>
    </row>
    <row r="36" spans="1:13" x14ac:dyDescent="0.2">
      <c r="F36" t="s">
        <v>678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N120"/>
  <sheetViews>
    <sheetView showGridLines="0" topLeftCell="A7" workbookViewId="0">
      <selection activeCell="M17" sqref="M17"/>
    </sheetView>
  </sheetViews>
  <sheetFormatPr baseColWidth="10" defaultRowHeight="20.25" x14ac:dyDescent="0.3"/>
  <cols>
    <col min="1" max="1" width="26.28515625" style="2" customWidth="1"/>
    <col min="2" max="2" width="13" style="2" customWidth="1"/>
    <col min="3" max="3" width="12.7109375" style="2" customWidth="1"/>
    <col min="4" max="4" width="11.85546875" style="2" customWidth="1"/>
    <col min="5" max="5" width="10.28515625" style="2" customWidth="1"/>
    <col min="6" max="6" width="11.28515625" style="2" customWidth="1"/>
    <col min="7" max="7" width="11.42578125" style="2" customWidth="1"/>
    <col min="8" max="8" width="11.7109375" style="2" customWidth="1"/>
    <col min="9" max="9" width="10.42578125" style="2" customWidth="1"/>
    <col min="10" max="10" width="10.28515625" style="2" customWidth="1"/>
    <col min="11" max="11" width="11.85546875" style="2" customWidth="1"/>
    <col min="12" max="12" width="11.140625" style="2" customWidth="1"/>
    <col min="13" max="13" width="12" style="2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101</v>
      </c>
      <c r="C2" s="216"/>
      <c r="D2" s="216"/>
      <c r="E2" s="216"/>
      <c r="F2" s="216"/>
      <c r="G2" s="216"/>
    </row>
    <row r="7" spans="1:13" x14ac:dyDescent="0.3">
      <c r="A7" s="80" t="s">
        <v>0</v>
      </c>
      <c r="B7" s="80" t="s">
        <v>1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</row>
    <row r="8" spans="1:13" x14ac:dyDescent="0.3">
      <c r="A8" s="63"/>
      <c r="B8" s="97">
        <v>44562</v>
      </c>
      <c r="C8" s="97">
        <v>44593</v>
      </c>
      <c r="D8" s="97">
        <v>44621</v>
      </c>
      <c r="E8" s="97">
        <v>44652</v>
      </c>
      <c r="F8" s="97">
        <v>44682</v>
      </c>
      <c r="G8" s="97">
        <v>44713</v>
      </c>
      <c r="H8" s="97">
        <v>44743</v>
      </c>
      <c r="I8" s="97">
        <v>44774</v>
      </c>
      <c r="J8" s="97">
        <v>44805</v>
      </c>
      <c r="K8" s="97">
        <v>44835</v>
      </c>
      <c r="L8" s="97">
        <v>44866</v>
      </c>
      <c r="M8" s="97">
        <v>44896</v>
      </c>
    </row>
    <row r="9" spans="1:13" x14ac:dyDescent="0.3">
      <c r="A9" s="60" t="s">
        <v>110</v>
      </c>
      <c r="B9" s="94"/>
      <c r="C9" s="94">
        <f>B18</f>
        <v>0</v>
      </c>
      <c r="D9" s="94">
        <f t="shared" ref="D9:M9" si="0">C18</f>
        <v>0</v>
      </c>
      <c r="E9" s="94">
        <f t="shared" si="0"/>
        <v>0</v>
      </c>
      <c r="F9" s="94">
        <f t="shared" si="0"/>
        <v>0</v>
      </c>
      <c r="G9" s="94">
        <f t="shared" si="0"/>
        <v>0</v>
      </c>
      <c r="H9" s="94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5050</v>
      </c>
      <c r="L9" s="94">
        <f>K20</f>
        <v>0</v>
      </c>
      <c r="M9" s="94">
        <f t="shared" si="0"/>
        <v>0</v>
      </c>
    </row>
    <row r="10" spans="1:13" x14ac:dyDescent="0.3">
      <c r="A10" s="60" t="s">
        <v>2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</row>
    <row r="11" spans="1:13" x14ac:dyDescent="0.3">
      <c r="A11" s="60" t="s">
        <v>3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</row>
    <row r="12" spans="1:13" x14ac:dyDescent="0.3">
      <c r="A12" s="60" t="s">
        <v>4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</row>
    <row r="13" spans="1:13" x14ac:dyDescent="0.3">
      <c r="A13" s="60" t="s">
        <v>9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</row>
    <row r="14" spans="1:13" x14ac:dyDescent="0.3">
      <c r="A14" s="60" t="s">
        <v>73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</row>
    <row r="15" spans="1:13" x14ac:dyDescent="0.3">
      <c r="A15" s="60" t="s">
        <v>74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</row>
    <row r="16" spans="1:13" x14ac:dyDescent="0.3">
      <c r="A16" s="60" t="s">
        <v>591</v>
      </c>
      <c r="B16" s="94"/>
      <c r="C16" s="94"/>
      <c r="D16" s="94"/>
      <c r="E16" s="94"/>
      <c r="F16" s="94"/>
      <c r="G16" s="94"/>
      <c r="H16" s="94"/>
      <c r="I16" s="94"/>
      <c r="J16" s="94">
        <v>5050</v>
      </c>
      <c r="K16" s="94">
        <v>5050</v>
      </c>
      <c r="L16" s="94"/>
      <c r="M16" s="94">
        <v>8310</v>
      </c>
    </row>
    <row r="17" spans="1:13" x14ac:dyDescent="0.3">
      <c r="A17" s="60" t="s">
        <v>5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spans="1:13" x14ac:dyDescent="0.3">
      <c r="A18" s="60" t="s">
        <v>6</v>
      </c>
      <c r="B18" s="95">
        <f t="shared" ref="B18:M18" si="1">SUM(B9:B17)</f>
        <v>0</v>
      </c>
      <c r="C18" s="95">
        <f t="shared" si="1"/>
        <v>0</v>
      </c>
      <c r="D18" s="95">
        <f t="shared" si="1"/>
        <v>0</v>
      </c>
      <c r="E18" s="95">
        <f t="shared" si="1"/>
        <v>0</v>
      </c>
      <c r="F18" s="95">
        <f t="shared" si="1"/>
        <v>0</v>
      </c>
      <c r="G18" s="95">
        <f t="shared" si="1"/>
        <v>0</v>
      </c>
      <c r="H18" s="95">
        <f t="shared" si="1"/>
        <v>0</v>
      </c>
      <c r="I18" s="95">
        <f t="shared" si="1"/>
        <v>0</v>
      </c>
      <c r="J18" s="95">
        <f t="shared" si="1"/>
        <v>5050</v>
      </c>
      <c r="K18" s="95">
        <f t="shared" si="1"/>
        <v>10100</v>
      </c>
      <c r="L18" s="95">
        <f t="shared" si="1"/>
        <v>0</v>
      </c>
      <c r="M18" s="95">
        <f t="shared" si="1"/>
        <v>8310</v>
      </c>
    </row>
    <row r="19" spans="1:13" ht="21" thickBot="1" x14ac:dyDescent="0.35">
      <c r="A19" s="60" t="s">
        <v>7</v>
      </c>
      <c r="B19" s="96"/>
      <c r="C19" s="96"/>
      <c r="D19" s="96"/>
      <c r="E19" s="96"/>
      <c r="F19" s="96"/>
      <c r="G19" s="96"/>
      <c r="H19" s="96"/>
      <c r="I19" s="96"/>
      <c r="J19" s="96"/>
      <c r="K19" s="96">
        <v>10100</v>
      </c>
      <c r="L19" s="96"/>
      <c r="M19" s="96"/>
    </row>
    <row r="20" spans="1:13" ht="21" thickBot="1" x14ac:dyDescent="0.35">
      <c r="A20" s="60" t="s">
        <v>111</v>
      </c>
      <c r="B20" s="98">
        <f t="shared" ref="B20:M20" si="2">B18-B19</f>
        <v>0</v>
      </c>
      <c r="C20" s="99">
        <f t="shared" si="2"/>
        <v>0</v>
      </c>
      <c r="D20" s="99">
        <f t="shared" si="2"/>
        <v>0</v>
      </c>
      <c r="E20" s="99">
        <f t="shared" si="2"/>
        <v>0</v>
      </c>
      <c r="F20" s="99">
        <f t="shared" si="2"/>
        <v>0</v>
      </c>
      <c r="G20" s="99">
        <f t="shared" si="2"/>
        <v>0</v>
      </c>
      <c r="H20" s="99">
        <f t="shared" si="2"/>
        <v>0</v>
      </c>
      <c r="I20" s="99">
        <f t="shared" si="2"/>
        <v>0</v>
      </c>
      <c r="J20" s="99">
        <f t="shared" si="2"/>
        <v>5050</v>
      </c>
      <c r="K20" s="99">
        <f t="shared" si="2"/>
        <v>0</v>
      </c>
      <c r="L20" s="99">
        <f t="shared" si="2"/>
        <v>0</v>
      </c>
      <c r="M20" s="100">
        <f t="shared" si="2"/>
        <v>8310</v>
      </c>
    </row>
    <row r="21" spans="1:13" x14ac:dyDescent="0.3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3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3">
      <c r="A23" s="63"/>
      <c r="B23" s="97">
        <v>43831</v>
      </c>
      <c r="C23" s="97">
        <v>43862</v>
      </c>
      <c r="D23" s="97">
        <v>43891</v>
      </c>
      <c r="E23" s="97">
        <v>43922</v>
      </c>
      <c r="F23" s="97">
        <v>43952</v>
      </c>
      <c r="G23" s="97">
        <v>43983</v>
      </c>
      <c r="H23" s="97">
        <v>44013</v>
      </c>
      <c r="I23" s="97">
        <v>44044</v>
      </c>
      <c r="J23" s="97">
        <v>44075</v>
      </c>
      <c r="K23" s="97">
        <v>44105</v>
      </c>
      <c r="L23" s="97">
        <v>44136</v>
      </c>
      <c r="M23" s="97">
        <v>44166</v>
      </c>
    </row>
    <row r="24" spans="1:13" x14ac:dyDescent="0.3">
      <c r="A24" s="60" t="s">
        <v>110</v>
      </c>
      <c r="B24" s="94">
        <v>96000</v>
      </c>
      <c r="C24" s="94">
        <f t="shared" ref="C24:M24" si="3">B35</f>
        <v>106000</v>
      </c>
      <c r="D24" s="94">
        <f t="shared" si="3"/>
        <v>116000</v>
      </c>
      <c r="E24" s="94">
        <f t="shared" si="3"/>
        <v>126000</v>
      </c>
      <c r="F24" s="94">
        <f t="shared" si="3"/>
        <v>136000</v>
      </c>
      <c r="G24" s="94">
        <f t="shared" si="3"/>
        <v>146000</v>
      </c>
      <c r="H24" s="94">
        <f t="shared" si="3"/>
        <v>157000</v>
      </c>
      <c r="I24" s="94">
        <f t="shared" si="3"/>
        <v>167000</v>
      </c>
      <c r="J24" s="94">
        <f t="shared" si="3"/>
        <v>177000</v>
      </c>
      <c r="K24" s="94">
        <f t="shared" si="3"/>
        <v>187000</v>
      </c>
      <c r="L24" s="94">
        <f t="shared" si="3"/>
        <v>197000</v>
      </c>
      <c r="M24" s="94">
        <f t="shared" si="3"/>
        <v>207000</v>
      </c>
    </row>
    <row r="25" spans="1:13" x14ac:dyDescent="0.3">
      <c r="A25" s="60" t="s">
        <v>2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1:13" x14ac:dyDescent="0.3">
      <c r="A26" s="60" t="s">
        <v>3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3" x14ac:dyDescent="0.3">
      <c r="A27" s="60" t="s">
        <v>4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</row>
    <row r="28" spans="1:13" x14ac:dyDescent="0.3">
      <c r="A28" s="60" t="s">
        <v>9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</row>
    <row r="29" spans="1:13" x14ac:dyDescent="0.3">
      <c r="A29" s="60" t="s">
        <v>73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</row>
    <row r="30" spans="1:13" x14ac:dyDescent="0.3">
      <c r="A30" s="60" t="s">
        <v>74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1:13" x14ac:dyDescent="0.3">
      <c r="A31" s="60" t="s">
        <v>202</v>
      </c>
      <c r="B31" s="94"/>
      <c r="C31" s="94"/>
      <c r="D31" s="94"/>
      <c r="E31" s="94"/>
      <c r="F31" s="94"/>
      <c r="G31" s="94">
        <v>1000</v>
      </c>
      <c r="H31" s="94"/>
      <c r="I31" s="94"/>
      <c r="J31" s="94"/>
      <c r="K31" s="94"/>
      <c r="L31" s="94"/>
      <c r="M31" s="94"/>
    </row>
    <row r="32" spans="1:13" x14ac:dyDescent="0.3">
      <c r="A32" s="60" t="s">
        <v>5</v>
      </c>
      <c r="B32" s="94">
        <v>10000</v>
      </c>
      <c r="C32" s="94">
        <v>10000</v>
      </c>
      <c r="D32" s="94">
        <v>10000</v>
      </c>
      <c r="E32" s="94">
        <v>10000</v>
      </c>
      <c r="F32" s="94">
        <v>10000</v>
      </c>
      <c r="G32" s="94">
        <v>10000</v>
      </c>
      <c r="H32" s="94">
        <v>10000</v>
      </c>
      <c r="I32" s="94">
        <v>10000</v>
      </c>
      <c r="J32" s="94">
        <v>10000</v>
      </c>
      <c r="K32" s="94">
        <v>10000</v>
      </c>
      <c r="L32" s="94">
        <v>10000</v>
      </c>
      <c r="M32" s="94">
        <v>10000</v>
      </c>
    </row>
    <row r="33" spans="1:13" x14ac:dyDescent="0.3">
      <c r="A33" s="60" t="s">
        <v>6</v>
      </c>
      <c r="B33" s="95">
        <f t="shared" ref="B33:M33" si="4">SUM(B24:B32)</f>
        <v>106000</v>
      </c>
      <c r="C33" s="95">
        <f t="shared" si="4"/>
        <v>116000</v>
      </c>
      <c r="D33" s="95">
        <f t="shared" si="4"/>
        <v>126000</v>
      </c>
      <c r="E33" s="95">
        <f t="shared" si="4"/>
        <v>136000</v>
      </c>
      <c r="F33" s="95">
        <f t="shared" si="4"/>
        <v>146000</v>
      </c>
      <c r="G33" s="95">
        <f t="shared" si="4"/>
        <v>157000</v>
      </c>
      <c r="H33" s="95">
        <f t="shared" si="4"/>
        <v>167000</v>
      </c>
      <c r="I33" s="95">
        <f t="shared" si="4"/>
        <v>177000</v>
      </c>
      <c r="J33" s="95">
        <f t="shared" si="4"/>
        <v>187000</v>
      </c>
      <c r="K33" s="95">
        <f t="shared" si="4"/>
        <v>197000</v>
      </c>
      <c r="L33" s="95">
        <f t="shared" si="4"/>
        <v>207000</v>
      </c>
      <c r="M33" s="95">
        <f t="shared" si="4"/>
        <v>217000</v>
      </c>
    </row>
    <row r="34" spans="1:13" ht="21" thickBot="1" x14ac:dyDescent="0.35">
      <c r="A34" s="60" t="s">
        <v>7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</row>
    <row r="35" spans="1:13" ht="21" thickBot="1" x14ac:dyDescent="0.35">
      <c r="A35" s="60" t="s">
        <v>111</v>
      </c>
      <c r="B35" s="98">
        <f t="shared" ref="B35:M35" si="5">B33-B34</f>
        <v>106000</v>
      </c>
      <c r="C35" s="99">
        <f t="shared" si="5"/>
        <v>116000</v>
      </c>
      <c r="D35" s="99">
        <f t="shared" si="5"/>
        <v>126000</v>
      </c>
      <c r="E35" s="99">
        <f t="shared" si="5"/>
        <v>136000</v>
      </c>
      <c r="F35" s="99">
        <f t="shared" si="5"/>
        <v>146000</v>
      </c>
      <c r="G35" s="99">
        <f t="shared" si="5"/>
        <v>157000</v>
      </c>
      <c r="H35" s="99">
        <f t="shared" si="5"/>
        <v>167000</v>
      </c>
      <c r="I35" s="99">
        <f t="shared" si="5"/>
        <v>177000</v>
      </c>
      <c r="J35" s="99">
        <f t="shared" si="5"/>
        <v>187000</v>
      </c>
      <c r="K35" s="99">
        <f t="shared" si="5"/>
        <v>197000</v>
      </c>
      <c r="L35" s="99">
        <f t="shared" si="5"/>
        <v>207000</v>
      </c>
      <c r="M35" s="100">
        <f t="shared" si="5"/>
        <v>217000</v>
      </c>
    </row>
    <row r="36" spans="1:13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x14ac:dyDescent="0.3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x14ac:dyDescent="0.3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1:13" x14ac:dyDescent="0.3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x14ac:dyDescent="0.3">
      <c r="A40" s="72" t="s">
        <v>0</v>
      </c>
      <c r="B40" s="72" t="s">
        <v>1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</row>
    <row r="41" spans="1:13" x14ac:dyDescent="0.3">
      <c r="A41" s="73"/>
      <c r="B41" s="74">
        <v>41275</v>
      </c>
      <c r="C41" s="74">
        <v>41306</v>
      </c>
      <c r="D41" s="74">
        <v>41334</v>
      </c>
      <c r="E41" s="74">
        <v>41365</v>
      </c>
      <c r="F41" s="74">
        <v>41395</v>
      </c>
      <c r="G41" s="74">
        <v>41426</v>
      </c>
      <c r="H41" s="74">
        <v>41456</v>
      </c>
      <c r="I41" s="74">
        <v>41487</v>
      </c>
      <c r="J41" s="74">
        <v>41518</v>
      </c>
      <c r="K41" s="74">
        <v>41548</v>
      </c>
      <c r="L41" s="74">
        <v>41579</v>
      </c>
      <c r="M41" s="74">
        <v>41609</v>
      </c>
    </row>
    <row r="42" spans="1:13" x14ac:dyDescent="0.3">
      <c r="A42" s="65" t="s">
        <v>110</v>
      </c>
      <c r="B42" s="69">
        <v>26600</v>
      </c>
      <c r="C42" s="69">
        <f t="shared" ref="C42:M42" si="6">B53</f>
        <v>27200</v>
      </c>
      <c r="D42" s="69">
        <f t="shared" si="6"/>
        <v>27800</v>
      </c>
      <c r="E42" s="69">
        <f t="shared" si="6"/>
        <v>28400</v>
      </c>
      <c r="F42" s="69">
        <f t="shared" si="6"/>
        <v>29000</v>
      </c>
      <c r="G42" s="69">
        <f t="shared" si="6"/>
        <v>29600</v>
      </c>
      <c r="H42" s="69">
        <f t="shared" si="6"/>
        <v>30200</v>
      </c>
      <c r="I42" s="69">
        <f t="shared" si="6"/>
        <v>30800</v>
      </c>
      <c r="J42" s="69">
        <f t="shared" si="6"/>
        <v>31400</v>
      </c>
      <c r="K42" s="69">
        <f t="shared" si="6"/>
        <v>32000</v>
      </c>
      <c r="L42" s="69">
        <f t="shared" si="6"/>
        <v>32600</v>
      </c>
      <c r="M42" s="69">
        <f t="shared" si="6"/>
        <v>33200</v>
      </c>
    </row>
    <row r="43" spans="1:13" x14ac:dyDescent="0.3">
      <c r="A43" s="65" t="s">
        <v>2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 spans="1:13" x14ac:dyDescent="0.3">
      <c r="A44" s="65" t="s">
        <v>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spans="1:13" x14ac:dyDescent="0.3">
      <c r="A45" s="65" t="s">
        <v>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spans="1:13" x14ac:dyDescent="0.3">
      <c r="A46" s="65" t="s">
        <v>9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 x14ac:dyDescent="0.3">
      <c r="A47" s="65" t="s">
        <v>73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3" x14ac:dyDescent="0.3">
      <c r="A48" s="65" t="s">
        <v>74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 spans="1:14" x14ac:dyDescent="0.3">
      <c r="A49" s="65" t="s">
        <v>202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4" x14ac:dyDescent="0.3">
      <c r="A50" s="65" t="s">
        <v>5</v>
      </c>
      <c r="B50" s="69">
        <v>600</v>
      </c>
      <c r="C50" s="69">
        <v>600</v>
      </c>
      <c r="D50" s="69">
        <v>600</v>
      </c>
      <c r="E50" s="69">
        <v>600</v>
      </c>
      <c r="F50" s="69">
        <v>600</v>
      </c>
      <c r="G50" s="69">
        <v>600</v>
      </c>
      <c r="H50" s="69">
        <v>600</v>
      </c>
      <c r="I50" s="69">
        <v>600</v>
      </c>
      <c r="J50" s="69">
        <v>600</v>
      </c>
      <c r="K50" s="69">
        <v>600</v>
      </c>
      <c r="L50" s="69">
        <v>600</v>
      </c>
      <c r="M50" s="69">
        <v>600</v>
      </c>
    </row>
    <row r="51" spans="1:14" x14ac:dyDescent="0.3">
      <c r="A51" s="65" t="s">
        <v>6</v>
      </c>
      <c r="B51" s="70">
        <f t="shared" ref="B51:M51" si="7">SUM(B42:B50)</f>
        <v>27200</v>
      </c>
      <c r="C51" s="70">
        <f t="shared" si="7"/>
        <v>27800</v>
      </c>
      <c r="D51" s="70">
        <f t="shared" si="7"/>
        <v>28400</v>
      </c>
      <c r="E51" s="70">
        <f t="shared" si="7"/>
        <v>29000</v>
      </c>
      <c r="F51" s="70">
        <f t="shared" si="7"/>
        <v>29600</v>
      </c>
      <c r="G51" s="70">
        <f t="shared" si="7"/>
        <v>30200</v>
      </c>
      <c r="H51" s="70">
        <f t="shared" si="7"/>
        <v>30800</v>
      </c>
      <c r="I51" s="70">
        <f t="shared" si="7"/>
        <v>31400</v>
      </c>
      <c r="J51" s="70">
        <f t="shared" si="7"/>
        <v>32000</v>
      </c>
      <c r="K51" s="70">
        <f t="shared" si="7"/>
        <v>32600</v>
      </c>
      <c r="L51" s="70">
        <f t="shared" si="7"/>
        <v>33200</v>
      </c>
      <c r="M51" s="70">
        <f t="shared" si="7"/>
        <v>33800</v>
      </c>
    </row>
    <row r="52" spans="1:14" ht="21" thickBot="1" x14ac:dyDescent="0.35">
      <c r="A52" s="65" t="s">
        <v>7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>
        <v>33800</v>
      </c>
      <c r="N52" s="60" t="s">
        <v>301</v>
      </c>
    </row>
    <row r="53" spans="1:14" ht="21" thickBot="1" x14ac:dyDescent="0.35">
      <c r="A53" s="65" t="s">
        <v>111</v>
      </c>
      <c r="B53" s="75">
        <f t="shared" ref="B53:M53" si="8">B51-B52</f>
        <v>27200</v>
      </c>
      <c r="C53" s="76">
        <f t="shared" si="8"/>
        <v>27800</v>
      </c>
      <c r="D53" s="76">
        <f t="shared" si="8"/>
        <v>28400</v>
      </c>
      <c r="E53" s="76">
        <f t="shared" si="8"/>
        <v>29000</v>
      </c>
      <c r="F53" s="76">
        <f t="shared" si="8"/>
        <v>29600</v>
      </c>
      <c r="G53" s="76">
        <f t="shared" si="8"/>
        <v>30200</v>
      </c>
      <c r="H53" s="76">
        <f t="shared" si="8"/>
        <v>30800</v>
      </c>
      <c r="I53" s="76">
        <f t="shared" si="8"/>
        <v>31400</v>
      </c>
      <c r="J53" s="76">
        <f t="shared" si="8"/>
        <v>32000</v>
      </c>
      <c r="K53" s="76">
        <f t="shared" si="8"/>
        <v>32600</v>
      </c>
      <c r="L53" s="76">
        <f t="shared" si="8"/>
        <v>33200</v>
      </c>
      <c r="M53" s="77">
        <f t="shared" si="8"/>
        <v>0</v>
      </c>
    </row>
    <row r="54" spans="1:14" x14ac:dyDescent="0.3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</row>
    <row r="55" spans="1:14" x14ac:dyDescent="0.3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</row>
    <row r="56" spans="1:14" x14ac:dyDescent="0.3">
      <c r="A56" s="72" t="s">
        <v>0</v>
      </c>
      <c r="B56" s="72" t="s">
        <v>1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</row>
    <row r="57" spans="1:14" x14ac:dyDescent="0.3">
      <c r="A57" s="73"/>
      <c r="B57" s="74">
        <v>41640</v>
      </c>
      <c r="C57" s="74">
        <v>41671</v>
      </c>
      <c r="D57" s="74">
        <v>41699</v>
      </c>
      <c r="E57" s="74">
        <v>41730</v>
      </c>
      <c r="F57" s="74">
        <v>41760</v>
      </c>
      <c r="G57" s="74">
        <v>41791</v>
      </c>
      <c r="H57" s="74">
        <v>41821</v>
      </c>
      <c r="I57" s="74">
        <v>41852</v>
      </c>
      <c r="J57" s="74">
        <v>41883</v>
      </c>
      <c r="K57" s="74">
        <v>41913</v>
      </c>
      <c r="L57" s="74">
        <v>41944</v>
      </c>
      <c r="M57" s="74">
        <v>41974</v>
      </c>
    </row>
    <row r="58" spans="1:14" x14ac:dyDescent="0.3">
      <c r="A58" s="65" t="s">
        <v>110</v>
      </c>
      <c r="B58" s="69"/>
      <c r="C58" s="69">
        <f t="shared" ref="C58:M58" si="9">B69</f>
        <v>1500</v>
      </c>
      <c r="D58" s="69">
        <f t="shared" si="9"/>
        <v>3000</v>
      </c>
      <c r="E58" s="69">
        <f t="shared" si="9"/>
        <v>4500</v>
      </c>
      <c r="F58" s="69">
        <f t="shared" si="9"/>
        <v>6000</v>
      </c>
      <c r="G58" s="69">
        <f t="shared" si="9"/>
        <v>7500</v>
      </c>
      <c r="H58" s="69">
        <f t="shared" si="9"/>
        <v>9000</v>
      </c>
      <c r="I58" s="69">
        <f t="shared" si="9"/>
        <v>10500</v>
      </c>
      <c r="J58" s="69">
        <f t="shared" si="9"/>
        <v>12000</v>
      </c>
      <c r="K58" s="69">
        <f t="shared" si="9"/>
        <v>13500</v>
      </c>
      <c r="L58" s="69">
        <f t="shared" si="9"/>
        <v>15000</v>
      </c>
      <c r="M58" s="69">
        <f t="shared" si="9"/>
        <v>16500</v>
      </c>
    </row>
    <row r="59" spans="1:14" x14ac:dyDescent="0.3">
      <c r="A59" s="65" t="s">
        <v>2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spans="1:14" x14ac:dyDescent="0.3">
      <c r="A60" s="65" t="s">
        <v>3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spans="1:14" x14ac:dyDescent="0.3">
      <c r="A61" s="65" t="s">
        <v>225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spans="1:14" x14ac:dyDescent="0.3">
      <c r="A62" s="65" t="s">
        <v>9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spans="1:14" x14ac:dyDescent="0.3">
      <c r="A63" s="65" t="s">
        <v>73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spans="1:14" x14ac:dyDescent="0.3">
      <c r="A64" s="65" t="s">
        <v>224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spans="1:13" x14ac:dyDescent="0.3">
      <c r="A65" s="65" t="s">
        <v>202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spans="1:13" x14ac:dyDescent="0.3">
      <c r="A66" s="65" t="s">
        <v>5</v>
      </c>
      <c r="B66" s="69">
        <v>1500</v>
      </c>
      <c r="C66" s="69">
        <v>1500</v>
      </c>
      <c r="D66" s="69">
        <v>1500</v>
      </c>
      <c r="E66" s="69">
        <v>1500</v>
      </c>
      <c r="F66" s="69">
        <v>1500</v>
      </c>
      <c r="G66" s="69">
        <v>1500</v>
      </c>
      <c r="H66" s="69">
        <v>1500</v>
      </c>
      <c r="I66" s="69">
        <v>1500</v>
      </c>
      <c r="J66" s="69">
        <v>1500</v>
      </c>
      <c r="K66" s="69">
        <v>1500</v>
      </c>
      <c r="L66" s="69">
        <v>1500</v>
      </c>
      <c r="M66" s="69">
        <v>1500</v>
      </c>
    </row>
    <row r="67" spans="1:13" x14ac:dyDescent="0.3">
      <c r="A67" s="65" t="s">
        <v>6</v>
      </c>
      <c r="B67" s="70">
        <f t="shared" ref="B67:M67" si="10">SUM(B58:B66)</f>
        <v>1500</v>
      </c>
      <c r="C67" s="70">
        <f t="shared" si="10"/>
        <v>3000</v>
      </c>
      <c r="D67" s="70">
        <f t="shared" si="10"/>
        <v>4500</v>
      </c>
      <c r="E67" s="70">
        <f t="shared" si="10"/>
        <v>6000</v>
      </c>
      <c r="F67" s="70">
        <f t="shared" si="10"/>
        <v>7500</v>
      </c>
      <c r="G67" s="70">
        <f t="shared" si="10"/>
        <v>9000</v>
      </c>
      <c r="H67" s="70">
        <f t="shared" si="10"/>
        <v>10500</v>
      </c>
      <c r="I67" s="70">
        <f t="shared" si="10"/>
        <v>12000</v>
      </c>
      <c r="J67" s="70">
        <f t="shared" si="10"/>
        <v>13500</v>
      </c>
      <c r="K67" s="70">
        <f t="shared" si="10"/>
        <v>15000</v>
      </c>
      <c r="L67" s="70">
        <f t="shared" si="10"/>
        <v>16500</v>
      </c>
      <c r="M67" s="70">
        <f t="shared" si="10"/>
        <v>18000</v>
      </c>
    </row>
    <row r="68" spans="1:13" ht="21" thickBot="1" x14ac:dyDescent="0.35">
      <c r="A68" s="65" t="s">
        <v>7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>
        <v>2000</v>
      </c>
    </row>
    <row r="69" spans="1:13" ht="21" thickBot="1" x14ac:dyDescent="0.35">
      <c r="A69" s="65" t="s">
        <v>111</v>
      </c>
      <c r="B69" s="75">
        <f t="shared" ref="B69:M69" si="11">B67-B68</f>
        <v>1500</v>
      </c>
      <c r="C69" s="76">
        <f t="shared" si="11"/>
        <v>3000</v>
      </c>
      <c r="D69" s="76">
        <f t="shared" si="11"/>
        <v>4500</v>
      </c>
      <c r="E69" s="76">
        <f t="shared" si="11"/>
        <v>6000</v>
      </c>
      <c r="F69" s="76">
        <f t="shared" si="11"/>
        <v>7500</v>
      </c>
      <c r="G69" s="76">
        <f t="shared" si="11"/>
        <v>9000</v>
      </c>
      <c r="H69" s="76">
        <f t="shared" si="11"/>
        <v>10500</v>
      </c>
      <c r="I69" s="76">
        <f t="shared" si="11"/>
        <v>12000</v>
      </c>
      <c r="J69" s="76">
        <f t="shared" si="11"/>
        <v>13500</v>
      </c>
      <c r="K69" s="76">
        <f t="shared" si="11"/>
        <v>15000</v>
      </c>
      <c r="L69" s="76">
        <f t="shared" si="11"/>
        <v>16500</v>
      </c>
      <c r="M69" s="77">
        <f t="shared" si="11"/>
        <v>16000</v>
      </c>
    </row>
    <row r="70" spans="1:13" x14ac:dyDescent="0.3">
      <c r="A70" s="65" t="s">
        <v>226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 t="s">
        <v>319</v>
      </c>
    </row>
    <row r="71" spans="1:13" x14ac:dyDescent="0.3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</row>
    <row r="72" spans="1:13" x14ac:dyDescent="0.3">
      <c r="A72" s="72" t="s">
        <v>0</v>
      </c>
      <c r="B72" s="72" t="s">
        <v>1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</row>
    <row r="73" spans="1:13" x14ac:dyDescent="0.3">
      <c r="A73" s="73"/>
      <c r="B73" s="74">
        <v>42005</v>
      </c>
      <c r="C73" s="74">
        <v>42036</v>
      </c>
      <c r="D73" s="74">
        <v>42064</v>
      </c>
      <c r="E73" s="74">
        <v>42095</v>
      </c>
      <c r="F73" s="74">
        <v>42125</v>
      </c>
      <c r="G73" s="74">
        <v>42156</v>
      </c>
      <c r="H73" s="74">
        <v>42186</v>
      </c>
      <c r="I73" s="74">
        <v>42217</v>
      </c>
      <c r="J73" s="74">
        <v>42248</v>
      </c>
      <c r="K73" s="74">
        <v>42278</v>
      </c>
      <c r="L73" s="74">
        <v>42309</v>
      </c>
      <c r="M73" s="74">
        <v>42339</v>
      </c>
    </row>
    <row r="74" spans="1:13" x14ac:dyDescent="0.3">
      <c r="A74" s="65" t="s">
        <v>110</v>
      </c>
      <c r="B74" s="69">
        <v>16000</v>
      </c>
      <c r="C74" s="69">
        <f>B85</f>
        <v>18000</v>
      </c>
      <c r="D74" s="69">
        <f t="shared" ref="D74:M74" si="12">C85</f>
        <v>20000</v>
      </c>
      <c r="E74" s="69">
        <f t="shared" si="12"/>
        <v>22000</v>
      </c>
      <c r="F74" s="69">
        <f t="shared" si="12"/>
        <v>24000</v>
      </c>
      <c r="G74" s="69">
        <f t="shared" si="12"/>
        <v>26000</v>
      </c>
      <c r="H74" s="69">
        <f t="shared" si="12"/>
        <v>28000</v>
      </c>
      <c r="I74" s="69">
        <f t="shared" si="12"/>
        <v>30000</v>
      </c>
      <c r="J74" s="69">
        <f t="shared" si="12"/>
        <v>32000</v>
      </c>
      <c r="K74" s="69">
        <f t="shared" si="12"/>
        <v>34000</v>
      </c>
      <c r="L74" s="69">
        <f t="shared" si="12"/>
        <v>36000</v>
      </c>
      <c r="M74" s="69">
        <f t="shared" si="12"/>
        <v>38000</v>
      </c>
    </row>
    <row r="75" spans="1:13" x14ac:dyDescent="0.3">
      <c r="A75" s="65" t="s">
        <v>2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</row>
    <row r="76" spans="1:13" x14ac:dyDescent="0.3">
      <c r="A76" s="65" t="s">
        <v>3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</row>
    <row r="77" spans="1:13" x14ac:dyDescent="0.3">
      <c r="A77" s="65" t="s">
        <v>225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spans="1:13" x14ac:dyDescent="0.3">
      <c r="A78" s="65" t="s">
        <v>9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</row>
    <row r="79" spans="1:13" x14ac:dyDescent="0.3">
      <c r="A79" s="65" t="s">
        <v>73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</row>
    <row r="80" spans="1:13" x14ac:dyDescent="0.3">
      <c r="A80" s="65" t="s">
        <v>224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</row>
    <row r="81" spans="1:13" x14ac:dyDescent="0.3">
      <c r="A81" s="65" t="s">
        <v>202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</row>
    <row r="82" spans="1:13" x14ac:dyDescent="0.3">
      <c r="A82" s="65" t="s">
        <v>5</v>
      </c>
      <c r="B82" s="69">
        <v>2000</v>
      </c>
      <c r="C82" s="69">
        <v>2000</v>
      </c>
      <c r="D82" s="69">
        <v>2000</v>
      </c>
      <c r="E82" s="69">
        <v>2000</v>
      </c>
      <c r="F82" s="69">
        <v>2000</v>
      </c>
      <c r="G82" s="69">
        <v>2000</v>
      </c>
      <c r="H82" s="69">
        <v>2000</v>
      </c>
      <c r="I82" s="69">
        <v>2000</v>
      </c>
      <c r="J82" s="69">
        <v>2000</v>
      </c>
      <c r="K82" s="69">
        <v>2000</v>
      </c>
      <c r="L82" s="69">
        <v>2000</v>
      </c>
      <c r="M82" s="69">
        <v>2000</v>
      </c>
    </row>
    <row r="83" spans="1:13" x14ac:dyDescent="0.3">
      <c r="A83" s="65" t="s">
        <v>6</v>
      </c>
      <c r="B83" s="70">
        <f t="shared" ref="B83:M83" si="13">SUM(B74:B82)</f>
        <v>18000</v>
      </c>
      <c r="C83" s="70">
        <f t="shared" si="13"/>
        <v>20000</v>
      </c>
      <c r="D83" s="70">
        <f t="shared" si="13"/>
        <v>22000</v>
      </c>
      <c r="E83" s="70">
        <f t="shared" si="13"/>
        <v>24000</v>
      </c>
      <c r="F83" s="70">
        <f t="shared" si="13"/>
        <v>26000</v>
      </c>
      <c r="G83" s="70">
        <f t="shared" si="13"/>
        <v>28000</v>
      </c>
      <c r="H83" s="70">
        <f t="shared" si="13"/>
        <v>30000</v>
      </c>
      <c r="I83" s="70">
        <f t="shared" si="13"/>
        <v>32000</v>
      </c>
      <c r="J83" s="70">
        <f t="shared" si="13"/>
        <v>34000</v>
      </c>
      <c r="K83" s="70">
        <f t="shared" si="13"/>
        <v>36000</v>
      </c>
      <c r="L83" s="70">
        <f t="shared" si="13"/>
        <v>38000</v>
      </c>
      <c r="M83" s="70">
        <f t="shared" si="13"/>
        <v>40000</v>
      </c>
    </row>
    <row r="84" spans="1:13" ht="21" thickBot="1" x14ac:dyDescent="0.35">
      <c r="A84" s="65" t="s">
        <v>7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>
        <v>40000</v>
      </c>
    </row>
    <row r="85" spans="1:13" ht="21" thickBot="1" x14ac:dyDescent="0.35">
      <c r="A85" s="65" t="s">
        <v>111</v>
      </c>
      <c r="B85" s="75">
        <f>B83-B84</f>
        <v>18000</v>
      </c>
      <c r="C85" s="76">
        <f>C83-C84</f>
        <v>20000</v>
      </c>
      <c r="D85" s="76">
        <f t="shared" ref="D85:M85" si="14">D83-D84</f>
        <v>22000</v>
      </c>
      <c r="E85" s="76">
        <f t="shared" si="14"/>
        <v>24000</v>
      </c>
      <c r="F85" s="76">
        <f t="shared" si="14"/>
        <v>26000</v>
      </c>
      <c r="G85" s="76">
        <f t="shared" si="14"/>
        <v>28000</v>
      </c>
      <c r="H85" s="76">
        <f t="shared" si="14"/>
        <v>30000</v>
      </c>
      <c r="I85" s="76">
        <f t="shared" si="14"/>
        <v>32000</v>
      </c>
      <c r="J85" s="76">
        <f t="shared" si="14"/>
        <v>34000</v>
      </c>
      <c r="K85" s="76">
        <f t="shared" si="14"/>
        <v>36000</v>
      </c>
      <c r="L85" s="76">
        <f t="shared" si="14"/>
        <v>38000</v>
      </c>
      <c r="M85" s="77">
        <f t="shared" si="14"/>
        <v>0</v>
      </c>
    </row>
    <row r="87" spans="1:13" x14ac:dyDescent="0.3">
      <c r="J87" s="2" t="s">
        <v>346</v>
      </c>
    </row>
    <row r="90" spans="1:13" x14ac:dyDescent="0.3">
      <c r="A90" s="72" t="s">
        <v>0</v>
      </c>
      <c r="B90" s="72" t="s">
        <v>1</v>
      </c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spans="1:13" x14ac:dyDescent="0.3">
      <c r="A91" s="73"/>
      <c r="B91" s="74">
        <v>42370</v>
      </c>
      <c r="C91" s="74">
        <v>42401</v>
      </c>
      <c r="D91" s="74">
        <v>42430</v>
      </c>
      <c r="E91" s="74">
        <v>42461</v>
      </c>
      <c r="F91" s="74">
        <v>42491</v>
      </c>
      <c r="G91" s="74">
        <v>42522</v>
      </c>
      <c r="H91" s="74">
        <v>42552</v>
      </c>
      <c r="I91" s="74">
        <v>42583</v>
      </c>
      <c r="J91" s="74">
        <v>42614</v>
      </c>
      <c r="K91" s="74">
        <v>42644</v>
      </c>
      <c r="L91" s="74">
        <v>42675</v>
      </c>
      <c r="M91" s="74">
        <v>42705</v>
      </c>
    </row>
    <row r="92" spans="1:13" x14ac:dyDescent="0.3">
      <c r="A92" s="65" t="s">
        <v>110</v>
      </c>
      <c r="B92" s="69"/>
      <c r="C92" s="69">
        <f>B103</f>
        <v>2500</v>
      </c>
      <c r="D92" s="69">
        <f t="shared" ref="D92:M92" si="15">C103</f>
        <v>5000</v>
      </c>
      <c r="E92" s="69">
        <f t="shared" si="15"/>
        <v>7500</v>
      </c>
      <c r="F92" s="69">
        <f t="shared" si="15"/>
        <v>10000</v>
      </c>
      <c r="G92" s="69">
        <f t="shared" si="15"/>
        <v>12500</v>
      </c>
      <c r="H92" s="69">
        <f t="shared" si="15"/>
        <v>15000</v>
      </c>
      <c r="I92" s="69">
        <f t="shared" si="15"/>
        <v>17500</v>
      </c>
      <c r="J92" s="69">
        <f t="shared" si="15"/>
        <v>20000</v>
      </c>
      <c r="K92" s="69">
        <f t="shared" si="15"/>
        <v>22500</v>
      </c>
      <c r="L92" s="69">
        <f t="shared" si="15"/>
        <v>25000</v>
      </c>
      <c r="M92" s="69">
        <f t="shared" si="15"/>
        <v>27500</v>
      </c>
    </row>
    <row r="93" spans="1:13" x14ac:dyDescent="0.3">
      <c r="A93" s="65" t="s">
        <v>2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</row>
    <row r="94" spans="1:13" x14ac:dyDescent="0.3">
      <c r="A94" s="65" t="s">
        <v>3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</row>
    <row r="95" spans="1:13" x14ac:dyDescent="0.3">
      <c r="A95" s="65" t="s">
        <v>225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</row>
    <row r="96" spans="1:13" x14ac:dyDescent="0.3">
      <c r="A96" s="65" t="s">
        <v>9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</row>
    <row r="97" spans="1:13" x14ac:dyDescent="0.3">
      <c r="A97" s="65" t="s">
        <v>73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</row>
    <row r="98" spans="1:13" x14ac:dyDescent="0.3">
      <c r="A98" s="65" t="s">
        <v>224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</row>
    <row r="99" spans="1:13" x14ac:dyDescent="0.3">
      <c r="A99" s="65" t="s">
        <v>202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</row>
    <row r="100" spans="1:13" x14ac:dyDescent="0.3">
      <c r="A100" s="65" t="s">
        <v>5</v>
      </c>
      <c r="B100" s="69">
        <v>2500</v>
      </c>
      <c r="C100" s="69">
        <v>2500</v>
      </c>
      <c r="D100" s="69">
        <v>2500</v>
      </c>
      <c r="E100" s="69">
        <v>2500</v>
      </c>
      <c r="F100" s="69">
        <v>2500</v>
      </c>
      <c r="G100" s="69">
        <v>2500</v>
      </c>
      <c r="H100" s="69">
        <v>2500</v>
      </c>
      <c r="I100" s="69">
        <v>2500</v>
      </c>
      <c r="J100" s="69">
        <v>2500</v>
      </c>
      <c r="K100" s="69">
        <v>2500</v>
      </c>
      <c r="L100" s="69">
        <v>2500</v>
      </c>
      <c r="M100" s="69">
        <v>2500</v>
      </c>
    </row>
    <row r="101" spans="1:13" x14ac:dyDescent="0.3">
      <c r="A101" s="65" t="s">
        <v>6</v>
      </c>
      <c r="B101" s="70">
        <f t="shared" ref="B101:M101" si="16">SUM(B92:B100)</f>
        <v>2500</v>
      </c>
      <c r="C101" s="70">
        <f t="shared" si="16"/>
        <v>5000</v>
      </c>
      <c r="D101" s="70">
        <f t="shared" si="16"/>
        <v>7500</v>
      </c>
      <c r="E101" s="70">
        <f t="shared" si="16"/>
        <v>10000</v>
      </c>
      <c r="F101" s="70">
        <f t="shared" si="16"/>
        <v>12500</v>
      </c>
      <c r="G101" s="70">
        <f t="shared" si="16"/>
        <v>15000</v>
      </c>
      <c r="H101" s="70">
        <f t="shared" si="16"/>
        <v>17500</v>
      </c>
      <c r="I101" s="70">
        <f t="shared" si="16"/>
        <v>20000</v>
      </c>
      <c r="J101" s="70">
        <f t="shared" si="16"/>
        <v>22500</v>
      </c>
      <c r="K101" s="70">
        <f t="shared" si="16"/>
        <v>25000</v>
      </c>
      <c r="L101" s="70">
        <f t="shared" si="16"/>
        <v>27500</v>
      </c>
      <c r="M101" s="70">
        <f t="shared" si="16"/>
        <v>30000</v>
      </c>
    </row>
    <row r="102" spans="1:13" ht="21" thickBot="1" x14ac:dyDescent="0.35">
      <c r="A102" s="65" t="s">
        <v>7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</row>
    <row r="103" spans="1:13" ht="21" thickBot="1" x14ac:dyDescent="0.35">
      <c r="A103" s="65" t="s">
        <v>111</v>
      </c>
      <c r="B103" s="75">
        <f>B101-B102</f>
        <v>2500</v>
      </c>
      <c r="C103" s="76">
        <f>C101-C102</f>
        <v>5000</v>
      </c>
      <c r="D103" s="76">
        <f t="shared" ref="D103:M103" si="17">D101-D102</f>
        <v>7500</v>
      </c>
      <c r="E103" s="76">
        <f t="shared" si="17"/>
        <v>10000</v>
      </c>
      <c r="F103" s="76">
        <f t="shared" si="17"/>
        <v>12500</v>
      </c>
      <c r="G103" s="76">
        <f t="shared" si="17"/>
        <v>15000</v>
      </c>
      <c r="H103" s="76">
        <f t="shared" si="17"/>
        <v>17500</v>
      </c>
      <c r="I103" s="76">
        <f t="shared" si="17"/>
        <v>20000</v>
      </c>
      <c r="J103" s="76">
        <f t="shared" si="17"/>
        <v>22500</v>
      </c>
      <c r="K103" s="76">
        <f t="shared" si="17"/>
        <v>25000</v>
      </c>
      <c r="L103" s="76">
        <f t="shared" si="17"/>
        <v>27500</v>
      </c>
      <c r="M103" s="77">
        <f t="shared" si="17"/>
        <v>30000</v>
      </c>
    </row>
    <row r="107" spans="1:13" x14ac:dyDescent="0.3">
      <c r="A107" s="62" t="s">
        <v>0</v>
      </c>
      <c r="B107" s="62" t="s">
        <v>1</v>
      </c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</row>
    <row r="108" spans="1:13" x14ac:dyDescent="0.3">
      <c r="A108" s="63"/>
      <c r="B108" s="97">
        <v>43101</v>
      </c>
      <c r="C108" s="97">
        <v>43132</v>
      </c>
      <c r="D108" s="97">
        <v>43160</v>
      </c>
      <c r="E108" s="97">
        <v>43191</v>
      </c>
      <c r="F108" s="97">
        <v>43221</v>
      </c>
      <c r="G108" s="97">
        <v>43252</v>
      </c>
      <c r="H108" s="97">
        <v>43282</v>
      </c>
      <c r="I108" s="97">
        <v>43313</v>
      </c>
      <c r="J108" s="97">
        <v>43344</v>
      </c>
      <c r="K108" s="97">
        <v>43374</v>
      </c>
      <c r="L108" s="97">
        <v>43405</v>
      </c>
      <c r="M108" s="97">
        <v>43435</v>
      </c>
    </row>
    <row r="109" spans="1:13" x14ac:dyDescent="0.3">
      <c r="A109" s="60" t="s">
        <v>110</v>
      </c>
      <c r="B109" s="94"/>
      <c r="C109" s="94">
        <f t="shared" ref="C109:M109" si="18">B120</f>
        <v>8000</v>
      </c>
      <c r="D109" s="94">
        <f t="shared" si="18"/>
        <v>16000</v>
      </c>
      <c r="E109" s="94">
        <f t="shared" si="18"/>
        <v>24000</v>
      </c>
      <c r="F109" s="94">
        <f t="shared" si="18"/>
        <v>32000</v>
      </c>
      <c r="G109" s="94">
        <f t="shared" si="18"/>
        <v>40000</v>
      </c>
      <c r="H109" s="94">
        <f t="shared" si="18"/>
        <v>48000</v>
      </c>
      <c r="I109" s="94">
        <f t="shared" si="18"/>
        <v>56000</v>
      </c>
      <c r="J109" s="94">
        <f t="shared" si="18"/>
        <v>64000</v>
      </c>
      <c r="K109" s="94">
        <f t="shared" si="18"/>
        <v>72000</v>
      </c>
      <c r="L109" s="94">
        <f t="shared" si="18"/>
        <v>80000</v>
      </c>
      <c r="M109" s="94">
        <f t="shared" si="18"/>
        <v>88000</v>
      </c>
    </row>
    <row r="110" spans="1:13" x14ac:dyDescent="0.3">
      <c r="A110" s="60" t="s">
        <v>2</v>
      </c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</row>
    <row r="111" spans="1:13" x14ac:dyDescent="0.3">
      <c r="A111" s="60" t="s">
        <v>3</v>
      </c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</row>
    <row r="112" spans="1:13" x14ac:dyDescent="0.3">
      <c r="A112" s="60" t="s">
        <v>225</v>
      </c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</row>
    <row r="113" spans="1:13" x14ac:dyDescent="0.3">
      <c r="A113" s="60" t="s">
        <v>9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</row>
    <row r="114" spans="1:13" x14ac:dyDescent="0.3">
      <c r="A114" s="60" t="s">
        <v>73</v>
      </c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</row>
    <row r="115" spans="1:13" x14ac:dyDescent="0.3">
      <c r="A115" s="60" t="s">
        <v>224</v>
      </c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</row>
    <row r="116" spans="1:13" x14ac:dyDescent="0.3">
      <c r="A116" s="60" t="s">
        <v>202</v>
      </c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</row>
    <row r="117" spans="1:13" x14ac:dyDescent="0.3">
      <c r="A117" s="60" t="s">
        <v>5</v>
      </c>
      <c r="B117" s="94">
        <v>8000</v>
      </c>
      <c r="C117" s="94">
        <v>8000</v>
      </c>
      <c r="D117" s="94">
        <v>8000</v>
      </c>
      <c r="E117" s="94">
        <v>8000</v>
      </c>
      <c r="F117" s="94">
        <v>8000</v>
      </c>
      <c r="G117" s="94">
        <v>8000</v>
      </c>
      <c r="H117" s="94">
        <v>8000</v>
      </c>
      <c r="I117" s="94">
        <v>8000</v>
      </c>
      <c r="J117" s="94">
        <v>8000</v>
      </c>
      <c r="K117" s="94">
        <v>8000</v>
      </c>
      <c r="L117" s="94">
        <v>8000</v>
      </c>
      <c r="M117" s="94">
        <v>8000</v>
      </c>
    </row>
    <row r="118" spans="1:13" x14ac:dyDescent="0.3">
      <c r="A118" s="60" t="s">
        <v>6</v>
      </c>
      <c r="B118" s="95">
        <f t="shared" ref="B118:M118" si="19">SUM(B109:B117)</f>
        <v>8000</v>
      </c>
      <c r="C118" s="95">
        <f t="shared" si="19"/>
        <v>16000</v>
      </c>
      <c r="D118" s="95">
        <f t="shared" si="19"/>
        <v>24000</v>
      </c>
      <c r="E118" s="95">
        <f t="shared" si="19"/>
        <v>32000</v>
      </c>
      <c r="F118" s="95">
        <f t="shared" si="19"/>
        <v>40000</v>
      </c>
      <c r="G118" s="95">
        <f t="shared" si="19"/>
        <v>48000</v>
      </c>
      <c r="H118" s="95">
        <f t="shared" si="19"/>
        <v>56000</v>
      </c>
      <c r="I118" s="95">
        <f t="shared" si="19"/>
        <v>64000</v>
      </c>
      <c r="J118" s="95">
        <f t="shared" si="19"/>
        <v>72000</v>
      </c>
      <c r="K118" s="95">
        <f t="shared" si="19"/>
        <v>80000</v>
      </c>
      <c r="L118" s="95">
        <f t="shared" si="19"/>
        <v>88000</v>
      </c>
      <c r="M118" s="95">
        <f t="shared" si="19"/>
        <v>96000</v>
      </c>
    </row>
    <row r="119" spans="1:13" ht="21" thickBot="1" x14ac:dyDescent="0.35">
      <c r="A119" s="60" t="s">
        <v>7</v>
      </c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</row>
    <row r="120" spans="1:13" ht="21" thickBot="1" x14ac:dyDescent="0.35">
      <c r="A120" s="60" t="s">
        <v>111</v>
      </c>
      <c r="B120" s="98">
        <f>B118-B119</f>
        <v>8000</v>
      </c>
      <c r="C120" s="99">
        <f>C118-C119</f>
        <v>16000</v>
      </c>
      <c r="D120" s="99">
        <f t="shared" ref="D120:M120" si="20">D118-D119</f>
        <v>24000</v>
      </c>
      <c r="E120" s="99">
        <f t="shared" si="20"/>
        <v>32000</v>
      </c>
      <c r="F120" s="99">
        <f t="shared" si="20"/>
        <v>40000</v>
      </c>
      <c r="G120" s="99">
        <f t="shared" si="20"/>
        <v>48000</v>
      </c>
      <c r="H120" s="99">
        <f t="shared" si="20"/>
        <v>56000</v>
      </c>
      <c r="I120" s="99">
        <f t="shared" si="20"/>
        <v>64000</v>
      </c>
      <c r="J120" s="99">
        <f t="shared" si="20"/>
        <v>72000</v>
      </c>
      <c r="K120" s="99">
        <f t="shared" si="20"/>
        <v>80000</v>
      </c>
      <c r="L120" s="99">
        <f t="shared" si="20"/>
        <v>88000</v>
      </c>
      <c r="M120" s="100">
        <f t="shared" si="20"/>
        <v>96000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B4:N36"/>
  <sheetViews>
    <sheetView topLeftCell="B13" workbookViewId="0">
      <selection activeCell="G33" sqref="G33"/>
    </sheetView>
  </sheetViews>
  <sheetFormatPr baseColWidth="10" defaultRowHeight="12.75" x14ac:dyDescent="0.2"/>
  <cols>
    <col min="2" max="2" width="31" customWidth="1"/>
    <col min="14" max="14" width="12.5703125" bestFit="1" customWidth="1"/>
  </cols>
  <sheetData>
    <row r="4" spans="2:14" ht="15" x14ac:dyDescent="0.2">
      <c r="B4" s="33"/>
      <c r="C4" s="82">
        <v>45658</v>
      </c>
      <c r="D4" s="82">
        <v>45689</v>
      </c>
      <c r="E4" s="82">
        <v>45717</v>
      </c>
      <c r="F4" s="82">
        <v>45748</v>
      </c>
      <c r="G4" s="82">
        <v>45778</v>
      </c>
      <c r="H4" s="82">
        <v>45809</v>
      </c>
      <c r="I4" s="82">
        <v>45839</v>
      </c>
      <c r="J4" s="82">
        <v>45870</v>
      </c>
      <c r="K4" s="82">
        <v>45901</v>
      </c>
      <c r="L4" s="82">
        <v>45931</v>
      </c>
      <c r="M4" s="82">
        <v>45962</v>
      </c>
      <c r="N4" s="82">
        <v>45992</v>
      </c>
    </row>
    <row r="5" spans="2:14" ht="15" x14ac:dyDescent="0.2">
      <c r="B5" s="8" t="s">
        <v>110</v>
      </c>
      <c r="C5" s="42"/>
      <c r="D5" s="42">
        <f>C16</f>
        <v>0</v>
      </c>
      <c r="E5" s="42">
        <f t="shared" ref="E5:N5" si="0">D16</f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  <c r="N5" s="42">
        <f t="shared" si="0"/>
        <v>0</v>
      </c>
    </row>
    <row r="6" spans="2:14" ht="15" x14ac:dyDescent="0.2">
      <c r="B6" s="8" t="s">
        <v>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2:14" ht="15" x14ac:dyDescent="0.2">
      <c r="B7" s="8" t="s">
        <v>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ht="15" x14ac:dyDescent="0.2">
      <c r="B8" s="8" t="s">
        <v>4</v>
      </c>
      <c r="C8" s="42">
        <v>22700</v>
      </c>
      <c r="D8" s="42">
        <v>22700</v>
      </c>
      <c r="E8" s="42">
        <v>22700</v>
      </c>
      <c r="F8" s="42">
        <v>22700</v>
      </c>
      <c r="G8" s="42">
        <v>22700</v>
      </c>
      <c r="H8" s="42">
        <v>22700</v>
      </c>
      <c r="I8" s="42">
        <v>28000</v>
      </c>
      <c r="J8" s="42">
        <v>28000</v>
      </c>
      <c r="K8" s="42">
        <v>28000</v>
      </c>
      <c r="L8" s="42">
        <v>28000</v>
      </c>
      <c r="M8" s="42">
        <v>28000</v>
      </c>
      <c r="N8" s="42">
        <v>28000</v>
      </c>
    </row>
    <row r="9" spans="2:14" ht="15" x14ac:dyDescent="0.2">
      <c r="B9" s="8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ht="15" x14ac:dyDescent="0.2">
      <c r="B10" s="8" t="s">
        <v>73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ht="15" x14ac:dyDescent="0.2">
      <c r="B11" s="8" t="s">
        <v>74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ht="15" x14ac:dyDescent="0.2">
      <c r="B12" s="8" t="s">
        <v>75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ht="15" x14ac:dyDescent="0.2">
      <c r="B13" s="8" t="s">
        <v>5</v>
      </c>
      <c r="C13" s="42">
        <v>10000</v>
      </c>
      <c r="D13" s="42">
        <v>10000</v>
      </c>
      <c r="E13" s="42">
        <v>10000</v>
      </c>
      <c r="F13" s="42">
        <v>10000</v>
      </c>
      <c r="G13" s="42">
        <v>10000</v>
      </c>
      <c r="H13" s="42">
        <v>10000</v>
      </c>
      <c r="I13" s="42">
        <v>10000</v>
      </c>
      <c r="J13" s="42">
        <v>10000</v>
      </c>
      <c r="K13" s="42">
        <v>10000</v>
      </c>
      <c r="L13" s="42">
        <v>10000</v>
      </c>
      <c r="M13" s="42">
        <v>10000</v>
      </c>
      <c r="N13" s="42">
        <v>10000</v>
      </c>
    </row>
    <row r="14" spans="2:14" ht="15" x14ac:dyDescent="0.2">
      <c r="B14" s="8" t="s">
        <v>6</v>
      </c>
      <c r="C14" s="43">
        <f t="shared" ref="C14:N14" si="1">SUM(C5:C13)</f>
        <v>32700</v>
      </c>
      <c r="D14" s="43">
        <f t="shared" si="1"/>
        <v>32700</v>
      </c>
      <c r="E14" s="43">
        <f t="shared" si="1"/>
        <v>32700</v>
      </c>
      <c r="F14" s="43">
        <f t="shared" si="1"/>
        <v>32700</v>
      </c>
      <c r="G14" s="43">
        <f t="shared" si="1"/>
        <v>32700</v>
      </c>
      <c r="H14" s="43">
        <f t="shared" si="1"/>
        <v>32700</v>
      </c>
      <c r="I14" s="43">
        <f t="shared" si="1"/>
        <v>38000</v>
      </c>
      <c r="J14" s="43">
        <f t="shared" si="1"/>
        <v>38000</v>
      </c>
      <c r="K14" s="43">
        <f t="shared" si="1"/>
        <v>38000</v>
      </c>
      <c r="L14" s="43">
        <f t="shared" si="1"/>
        <v>38000</v>
      </c>
      <c r="M14" s="43">
        <f t="shared" si="1"/>
        <v>38000</v>
      </c>
      <c r="N14" s="43">
        <f t="shared" si="1"/>
        <v>38000</v>
      </c>
    </row>
    <row r="15" spans="2:14" ht="15.75" thickBot="1" x14ac:dyDescent="0.25">
      <c r="B15" s="8" t="s">
        <v>7</v>
      </c>
      <c r="C15" s="44">
        <v>32700</v>
      </c>
      <c r="D15" s="44">
        <v>32700</v>
      </c>
      <c r="E15" s="44">
        <v>32700</v>
      </c>
      <c r="F15" s="44">
        <v>32700</v>
      </c>
      <c r="G15" s="44">
        <v>32700</v>
      </c>
      <c r="H15" s="44">
        <v>32700</v>
      </c>
      <c r="I15" s="44">
        <v>38000</v>
      </c>
      <c r="J15" s="44">
        <v>38000</v>
      </c>
      <c r="K15" s="44">
        <v>38000</v>
      </c>
      <c r="L15" s="44">
        <v>38000</v>
      </c>
      <c r="M15" s="44">
        <v>38000</v>
      </c>
      <c r="N15" s="44">
        <v>38000</v>
      </c>
    </row>
    <row r="16" spans="2:14" ht="15.75" thickBot="1" x14ac:dyDescent="0.25">
      <c r="B16" s="8" t="s">
        <v>111</v>
      </c>
      <c r="C16" s="45">
        <f t="shared" ref="C16:N16" si="2">C14-C15</f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>G14-G15</f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  <c r="N16" s="47">
        <f t="shared" si="2"/>
        <v>0</v>
      </c>
    </row>
    <row r="21" spans="2:14" x14ac:dyDescent="0.2">
      <c r="B21" s="81"/>
      <c r="C21" s="82">
        <v>46023</v>
      </c>
      <c r="D21" s="82">
        <v>46054</v>
      </c>
      <c r="E21" s="82">
        <v>46082</v>
      </c>
      <c r="F21" s="82">
        <v>46113</v>
      </c>
      <c r="G21" s="82">
        <v>46143</v>
      </c>
      <c r="H21" s="82">
        <v>46174</v>
      </c>
      <c r="I21" s="82">
        <v>46204</v>
      </c>
      <c r="J21" s="82">
        <v>46235</v>
      </c>
      <c r="K21" s="82">
        <v>46266</v>
      </c>
      <c r="L21" s="82">
        <v>46296</v>
      </c>
      <c r="M21" s="82">
        <v>46327</v>
      </c>
      <c r="N21" s="82">
        <v>46357</v>
      </c>
    </row>
    <row r="22" spans="2:14" x14ac:dyDescent="0.2">
      <c r="B22" s="78" t="s">
        <v>110</v>
      </c>
      <c r="C22" s="42"/>
      <c r="D22" s="42">
        <f>C33</f>
        <v>0</v>
      </c>
      <c r="E22" s="42">
        <f t="shared" ref="E22:N22" si="3">D33</f>
        <v>0</v>
      </c>
      <c r="F22" s="42">
        <f t="shared" si="3"/>
        <v>0</v>
      </c>
      <c r="G22" s="42">
        <f t="shared" si="3"/>
        <v>0</v>
      </c>
      <c r="H22" s="42">
        <f t="shared" si="3"/>
        <v>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 t="shared" si="3"/>
        <v>0</v>
      </c>
      <c r="N22" s="42">
        <f t="shared" si="3"/>
        <v>0</v>
      </c>
    </row>
    <row r="23" spans="2:14" x14ac:dyDescent="0.2">
      <c r="B23" s="78" t="s">
        <v>2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2:14" x14ac:dyDescent="0.2">
      <c r="B24" s="78" t="s">
        <v>3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x14ac:dyDescent="0.2">
      <c r="B25" s="78" t="s">
        <v>4</v>
      </c>
      <c r="C25" s="42">
        <v>30000</v>
      </c>
      <c r="D25" s="42">
        <v>30000</v>
      </c>
      <c r="E25" s="42">
        <v>30000</v>
      </c>
      <c r="F25" s="42">
        <v>30000</v>
      </c>
      <c r="G25" s="42">
        <v>30000</v>
      </c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73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74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75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2:14" x14ac:dyDescent="0.2">
      <c r="B30" s="78" t="s">
        <v>5</v>
      </c>
      <c r="C30" s="42">
        <v>15000</v>
      </c>
      <c r="D30" s="42">
        <v>15000</v>
      </c>
      <c r="E30" s="42">
        <v>15000</v>
      </c>
      <c r="F30" s="42">
        <v>15000</v>
      </c>
      <c r="G30" s="42">
        <v>15000</v>
      </c>
      <c r="H30" s="42"/>
      <c r="I30" s="42"/>
      <c r="J30" s="42"/>
      <c r="K30" s="42"/>
      <c r="L30" s="42"/>
      <c r="M30" s="42"/>
      <c r="N30" s="42"/>
    </row>
    <row r="31" spans="2:14" x14ac:dyDescent="0.2">
      <c r="B31" s="78" t="s">
        <v>6</v>
      </c>
      <c r="C31" s="43">
        <f t="shared" ref="C31:N31" si="4">SUM(C22:C30)</f>
        <v>45000</v>
      </c>
      <c r="D31" s="43">
        <f t="shared" si="4"/>
        <v>45000</v>
      </c>
      <c r="E31" s="43">
        <f t="shared" si="4"/>
        <v>45000</v>
      </c>
      <c r="F31" s="43">
        <f t="shared" si="4"/>
        <v>45000</v>
      </c>
      <c r="G31" s="43">
        <f t="shared" si="4"/>
        <v>45000</v>
      </c>
      <c r="H31" s="43">
        <f t="shared" si="4"/>
        <v>0</v>
      </c>
      <c r="I31" s="43">
        <f t="shared" si="4"/>
        <v>0</v>
      </c>
      <c r="J31" s="43">
        <f t="shared" si="4"/>
        <v>0</v>
      </c>
      <c r="K31" s="43">
        <f t="shared" si="4"/>
        <v>0</v>
      </c>
      <c r="L31" s="43">
        <f t="shared" si="4"/>
        <v>0</v>
      </c>
      <c r="M31" s="43">
        <f t="shared" si="4"/>
        <v>0</v>
      </c>
      <c r="N31" s="43">
        <f t="shared" si="4"/>
        <v>0</v>
      </c>
    </row>
    <row r="32" spans="2:14" ht="13.5" thickBot="1" x14ac:dyDescent="0.25">
      <c r="B32" s="78" t="s">
        <v>7</v>
      </c>
      <c r="C32" s="44">
        <v>45000</v>
      </c>
      <c r="D32" s="44">
        <v>45000</v>
      </c>
      <c r="E32" s="44">
        <v>45000</v>
      </c>
      <c r="F32" s="44">
        <v>45000</v>
      </c>
      <c r="G32" s="44">
        <v>45000</v>
      </c>
      <c r="H32" s="44"/>
      <c r="I32" s="44"/>
      <c r="J32" s="44"/>
      <c r="K32" s="44"/>
      <c r="L32" s="44"/>
      <c r="M32" s="44"/>
      <c r="N32" s="44"/>
    </row>
    <row r="33" spans="2:14" ht="13.5" thickBot="1" x14ac:dyDescent="0.25">
      <c r="B33" s="78" t="s">
        <v>111</v>
      </c>
      <c r="C33" s="45">
        <f t="shared" ref="C33:N33" si="5">C31-C32</f>
        <v>0</v>
      </c>
      <c r="D33" s="46">
        <f t="shared" si="5"/>
        <v>0</v>
      </c>
      <c r="E33" s="46">
        <f t="shared" si="5"/>
        <v>0</v>
      </c>
      <c r="F33" s="46">
        <f t="shared" si="5"/>
        <v>0</v>
      </c>
      <c r="G33" s="46">
        <f t="shared" si="5"/>
        <v>0</v>
      </c>
      <c r="H33" s="46">
        <f t="shared" si="5"/>
        <v>0</v>
      </c>
      <c r="I33" s="46">
        <f t="shared" si="5"/>
        <v>0</v>
      </c>
      <c r="J33" s="46">
        <f t="shared" si="5"/>
        <v>0</v>
      </c>
      <c r="K33" s="46">
        <f t="shared" si="5"/>
        <v>0</v>
      </c>
      <c r="L33" s="46">
        <f t="shared" si="5"/>
        <v>0</v>
      </c>
      <c r="M33" s="46">
        <f t="shared" si="5"/>
        <v>0</v>
      </c>
      <c r="N33" s="47">
        <f t="shared" si="5"/>
        <v>0</v>
      </c>
    </row>
    <row r="36" spans="2:14" x14ac:dyDescent="0.2">
      <c r="I36">
        <f>1534+1155</f>
        <v>2689</v>
      </c>
    </row>
  </sheetData>
  <phoneticPr fontId="4" type="noConversion"/>
  <pageMargins left="0.75" right="0.75" top="1" bottom="1" header="0" footer="0"/>
  <pageSetup paperSize="9" orientation="portrait" horizontalDpi="4294967295" verticalDpi="4294967295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M37"/>
  <sheetViews>
    <sheetView topLeftCell="A19" workbookViewId="0">
      <selection activeCell="F33" sqref="F33"/>
    </sheetView>
  </sheetViews>
  <sheetFormatPr baseColWidth="10" defaultRowHeight="20.25" x14ac:dyDescent="0.3"/>
  <cols>
    <col min="1" max="1" width="33.28515625" style="2" customWidth="1"/>
    <col min="2" max="2" width="12" style="2" bestFit="1" customWidth="1"/>
    <col min="3" max="4" width="11.85546875" style="2" bestFit="1" customWidth="1"/>
    <col min="5" max="5" width="11.5703125" style="2" customWidth="1"/>
    <col min="6" max="7" width="11.85546875" style="2" bestFit="1" customWidth="1"/>
    <col min="8" max="8" width="12" style="2" customWidth="1"/>
    <col min="9" max="13" width="11.85546875" style="2" bestFit="1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15</v>
      </c>
      <c r="C2" s="216"/>
      <c r="D2" s="216"/>
      <c r="E2" s="216"/>
      <c r="F2" s="216"/>
      <c r="G2" s="216"/>
    </row>
    <row r="4" spans="1:13" x14ac:dyDescent="0.3">
      <c r="A4" s="1" t="s">
        <v>0</v>
      </c>
      <c r="B4" s="1" t="s">
        <v>1</v>
      </c>
    </row>
    <row r="5" spans="1:13" x14ac:dyDescent="0.3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3">
      <c r="A6" s="60" t="s">
        <v>114</v>
      </c>
      <c r="B6" s="188">
        <v>57600</v>
      </c>
      <c r="C6" s="188"/>
      <c r="D6" s="188">
        <f t="shared" ref="D6:M6" si="0">C17</f>
        <v>0</v>
      </c>
      <c r="E6" s="188">
        <f t="shared" si="0"/>
        <v>0</v>
      </c>
      <c r="F6" s="188">
        <f t="shared" si="0"/>
        <v>0</v>
      </c>
      <c r="G6" s="188">
        <f t="shared" si="0"/>
        <v>91700</v>
      </c>
      <c r="H6" s="188">
        <f t="shared" si="0"/>
        <v>83400</v>
      </c>
      <c r="I6" s="188">
        <f t="shared" si="0"/>
        <v>0</v>
      </c>
      <c r="J6" s="188">
        <f t="shared" si="0"/>
        <v>0</v>
      </c>
      <c r="K6" s="188">
        <f t="shared" si="0"/>
        <v>0</v>
      </c>
      <c r="L6" s="188">
        <f t="shared" si="0"/>
        <v>0</v>
      </c>
      <c r="M6" s="188">
        <f t="shared" si="0"/>
        <v>0</v>
      </c>
    </row>
    <row r="7" spans="1:13" x14ac:dyDescent="0.3">
      <c r="A7" s="60" t="s">
        <v>2</v>
      </c>
      <c r="B7" s="189">
        <v>29100</v>
      </c>
      <c r="C7" s="189">
        <v>39400</v>
      </c>
      <c r="D7" s="189">
        <v>39400</v>
      </c>
      <c r="E7" s="189">
        <v>39400</v>
      </c>
      <c r="F7" s="189">
        <v>39400</v>
      </c>
      <c r="G7" s="189">
        <v>39400</v>
      </c>
      <c r="H7" s="189">
        <v>39400</v>
      </c>
      <c r="I7" s="189">
        <v>44300</v>
      </c>
      <c r="J7" s="189">
        <v>44300</v>
      </c>
      <c r="K7" s="189">
        <v>65000</v>
      </c>
      <c r="L7" s="189">
        <v>65000</v>
      </c>
      <c r="M7" s="189">
        <v>65000</v>
      </c>
    </row>
    <row r="8" spans="1:13" x14ac:dyDescent="0.3">
      <c r="A8" s="60" t="s">
        <v>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</row>
    <row r="9" spans="1:13" x14ac:dyDescent="0.3">
      <c r="A9" s="60" t="s">
        <v>4</v>
      </c>
      <c r="B9" s="189">
        <v>22300</v>
      </c>
      <c r="C9" s="189">
        <v>22300</v>
      </c>
      <c r="D9" s="192">
        <v>22300</v>
      </c>
      <c r="E9" s="189">
        <v>22300</v>
      </c>
      <c r="F9" s="189">
        <v>22300</v>
      </c>
      <c r="G9" s="189">
        <v>22300</v>
      </c>
      <c r="H9" s="189">
        <v>28000</v>
      </c>
      <c r="I9" s="189">
        <v>28000</v>
      </c>
      <c r="J9" s="189">
        <v>28000</v>
      </c>
      <c r="K9" s="189">
        <v>28000</v>
      </c>
      <c r="L9" s="189">
        <v>28000</v>
      </c>
      <c r="M9" s="189">
        <v>28000</v>
      </c>
    </row>
    <row r="10" spans="1:13" x14ac:dyDescent="0.3">
      <c r="A10" s="60" t="s">
        <v>9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</row>
    <row r="11" spans="1:13" x14ac:dyDescent="0.3">
      <c r="A11" s="60" t="s">
        <v>73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</row>
    <row r="12" spans="1:13" x14ac:dyDescent="0.3">
      <c r="A12" s="60" t="s">
        <v>74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</row>
    <row r="13" spans="1:13" x14ac:dyDescent="0.3">
      <c r="A13" s="60" t="s">
        <v>75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</row>
    <row r="14" spans="1:13" x14ac:dyDescent="0.3">
      <c r="A14" s="60" t="s">
        <v>5</v>
      </c>
      <c r="B14" s="189">
        <v>30000</v>
      </c>
      <c r="C14" s="189">
        <v>30000</v>
      </c>
      <c r="D14" s="189">
        <v>30000</v>
      </c>
      <c r="E14" s="189">
        <v>30000</v>
      </c>
      <c r="F14" s="189">
        <v>30000</v>
      </c>
      <c r="G14" s="189">
        <v>30000</v>
      </c>
      <c r="H14" s="189">
        <v>30000</v>
      </c>
      <c r="I14" s="189">
        <v>35000</v>
      </c>
      <c r="J14" s="189">
        <v>35000</v>
      </c>
      <c r="K14" s="189">
        <v>35000</v>
      </c>
      <c r="L14" s="189">
        <v>35000</v>
      </c>
      <c r="M14" s="189">
        <v>35000</v>
      </c>
    </row>
    <row r="15" spans="1:13" x14ac:dyDescent="0.3">
      <c r="A15" s="60" t="s">
        <v>6</v>
      </c>
      <c r="B15" s="190">
        <f>SUM(B6:B14)</f>
        <v>139000</v>
      </c>
      <c r="C15" s="190">
        <f t="shared" ref="C15:M15" si="1">SUM(C6:C14)</f>
        <v>91700</v>
      </c>
      <c r="D15" s="190">
        <f t="shared" si="1"/>
        <v>91700</v>
      </c>
      <c r="E15" s="190">
        <f t="shared" si="1"/>
        <v>91700</v>
      </c>
      <c r="F15" s="190">
        <f t="shared" si="1"/>
        <v>91700</v>
      </c>
      <c r="G15" s="190">
        <f t="shared" si="1"/>
        <v>183400</v>
      </c>
      <c r="H15" s="190">
        <f t="shared" si="1"/>
        <v>180800</v>
      </c>
      <c r="I15" s="190">
        <f t="shared" si="1"/>
        <v>107300</v>
      </c>
      <c r="J15" s="190">
        <f t="shared" si="1"/>
        <v>107300</v>
      </c>
      <c r="K15" s="190">
        <f t="shared" si="1"/>
        <v>128000</v>
      </c>
      <c r="L15" s="190">
        <f t="shared" si="1"/>
        <v>128000</v>
      </c>
      <c r="M15" s="190">
        <f t="shared" si="1"/>
        <v>128000</v>
      </c>
    </row>
    <row r="16" spans="1:13" x14ac:dyDescent="0.3">
      <c r="A16" s="60" t="s">
        <v>7</v>
      </c>
      <c r="B16" s="191">
        <v>69500</v>
      </c>
      <c r="C16" s="191">
        <v>91700</v>
      </c>
      <c r="D16" s="191">
        <v>91700</v>
      </c>
      <c r="E16" s="191">
        <v>91700</v>
      </c>
      <c r="F16" s="190"/>
      <c r="G16" s="190">
        <v>100000</v>
      </c>
      <c r="H16" s="190">
        <v>180800</v>
      </c>
      <c r="I16" s="190">
        <v>107300</v>
      </c>
      <c r="J16" s="190">
        <v>107300</v>
      </c>
      <c r="K16" s="190">
        <v>128000</v>
      </c>
      <c r="L16" s="190">
        <v>128000</v>
      </c>
      <c r="M16" s="190">
        <v>128000</v>
      </c>
    </row>
    <row r="17" spans="1:13" x14ac:dyDescent="0.3">
      <c r="A17" s="60" t="s">
        <v>115</v>
      </c>
      <c r="B17" s="190">
        <f>B15-B16</f>
        <v>69500</v>
      </c>
      <c r="C17" s="190">
        <f t="shared" ref="C17:M17" si="2">C15-C16</f>
        <v>0</v>
      </c>
      <c r="D17" s="190">
        <f t="shared" si="2"/>
        <v>0</v>
      </c>
      <c r="E17" s="190">
        <f t="shared" si="2"/>
        <v>0</v>
      </c>
      <c r="F17" s="190">
        <f t="shared" si="2"/>
        <v>91700</v>
      </c>
      <c r="G17" s="190">
        <f t="shared" si="2"/>
        <v>83400</v>
      </c>
      <c r="H17" s="190">
        <f t="shared" si="2"/>
        <v>0</v>
      </c>
      <c r="I17" s="190">
        <f t="shared" si="2"/>
        <v>0</v>
      </c>
      <c r="J17" s="190">
        <f t="shared" si="2"/>
        <v>0</v>
      </c>
      <c r="K17" s="190">
        <f t="shared" si="2"/>
        <v>0</v>
      </c>
      <c r="L17" s="190">
        <f t="shared" si="2"/>
        <v>0</v>
      </c>
      <c r="M17" s="190">
        <f t="shared" si="2"/>
        <v>0</v>
      </c>
    </row>
    <row r="19" spans="1:13" x14ac:dyDescent="0.3">
      <c r="J19" s="159"/>
      <c r="K19" s="159"/>
    </row>
    <row r="20" spans="1:13" x14ac:dyDescent="0.3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3">
      <c r="A21" s="78"/>
      <c r="B21" s="82">
        <v>46023</v>
      </c>
      <c r="C21" s="82">
        <v>46054</v>
      </c>
      <c r="D21" s="82">
        <v>46082</v>
      </c>
      <c r="E21" s="82">
        <v>46113</v>
      </c>
      <c r="F21" s="82">
        <v>46143</v>
      </c>
      <c r="G21" s="82">
        <v>46174</v>
      </c>
      <c r="H21" s="82">
        <v>46204</v>
      </c>
      <c r="I21" s="82">
        <v>46235</v>
      </c>
      <c r="J21" s="82">
        <v>46266</v>
      </c>
      <c r="K21" s="82">
        <v>46296</v>
      </c>
      <c r="L21" s="82">
        <v>46327</v>
      </c>
      <c r="M21" s="82">
        <v>46357</v>
      </c>
    </row>
    <row r="22" spans="1:13" x14ac:dyDescent="0.3">
      <c r="A22" s="78" t="s">
        <v>110</v>
      </c>
      <c r="B22" s="42"/>
      <c r="C22" s="42">
        <f t="shared" ref="C22:M22" si="3">B33</f>
        <v>0</v>
      </c>
      <c r="D22" s="42">
        <f t="shared" si="3"/>
        <v>0</v>
      </c>
      <c r="E22" s="42">
        <f t="shared" si="3"/>
        <v>0</v>
      </c>
      <c r="F22" s="42">
        <f t="shared" si="3"/>
        <v>0</v>
      </c>
      <c r="G22" s="42">
        <f t="shared" si="3"/>
        <v>0</v>
      </c>
      <c r="H22" s="42">
        <f t="shared" si="3"/>
        <v>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 t="shared" si="3"/>
        <v>0</v>
      </c>
    </row>
    <row r="23" spans="1:13" x14ac:dyDescent="0.3">
      <c r="A23" s="78" t="s">
        <v>2</v>
      </c>
      <c r="B23" s="42">
        <v>73660</v>
      </c>
      <c r="C23" s="42">
        <v>73660</v>
      </c>
      <c r="D23" s="42">
        <v>73660</v>
      </c>
      <c r="E23" s="42">
        <v>73660</v>
      </c>
      <c r="F23" s="42">
        <v>73660</v>
      </c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105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4</v>
      </c>
      <c r="B25" s="42">
        <v>30000</v>
      </c>
      <c r="C25" s="42">
        <v>30000</v>
      </c>
      <c r="D25" s="42">
        <v>30000</v>
      </c>
      <c r="E25" s="42">
        <v>30000</v>
      </c>
      <c r="F25" s="42">
        <v>30000</v>
      </c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</v>
      </c>
      <c r="B30" s="42">
        <v>40000</v>
      </c>
      <c r="C30" s="42">
        <v>40000</v>
      </c>
      <c r="D30" s="42">
        <v>40000</v>
      </c>
      <c r="E30" s="42">
        <v>40000</v>
      </c>
      <c r="F30" s="42">
        <v>40000</v>
      </c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6</v>
      </c>
      <c r="B31" s="43">
        <f t="shared" ref="B31:M31" si="4">SUM(B22:B30)</f>
        <v>143660</v>
      </c>
      <c r="C31" s="43">
        <f t="shared" si="4"/>
        <v>143660</v>
      </c>
      <c r="D31" s="43">
        <f t="shared" si="4"/>
        <v>143660</v>
      </c>
      <c r="E31" s="43">
        <f t="shared" si="4"/>
        <v>143660</v>
      </c>
      <c r="F31" s="43">
        <f t="shared" si="4"/>
        <v>143660</v>
      </c>
      <c r="G31" s="43">
        <f t="shared" si="4"/>
        <v>0</v>
      </c>
      <c r="H31" s="43">
        <f t="shared" si="4"/>
        <v>0</v>
      </c>
      <c r="I31" s="43">
        <f t="shared" si="4"/>
        <v>0</v>
      </c>
      <c r="J31" s="43">
        <f t="shared" si="4"/>
        <v>0</v>
      </c>
      <c r="K31" s="43">
        <f t="shared" si="4"/>
        <v>0</v>
      </c>
      <c r="L31" s="43">
        <f t="shared" si="4"/>
        <v>0</v>
      </c>
      <c r="M31" s="43">
        <f t="shared" si="4"/>
        <v>0</v>
      </c>
    </row>
    <row r="32" spans="1:13" ht="21" thickBot="1" x14ac:dyDescent="0.35">
      <c r="A32" s="78" t="s">
        <v>7</v>
      </c>
      <c r="B32" s="44">
        <v>143660</v>
      </c>
      <c r="C32" s="44">
        <v>143660</v>
      </c>
      <c r="D32" s="44">
        <v>143660</v>
      </c>
      <c r="E32" s="44">
        <v>143660</v>
      </c>
      <c r="F32" s="44">
        <v>143660</v>
      </c>
      <c r="G32" s="44"/>
      <c r="H32" s="44"/>
      <c r="I32" s="44"/>
      <c r="J32" s="44"/>
      <c r="K32" s="44"/>
      <c r="L32" s="44"/>
      <c r="M32" s="44"/>
    </row>
    <row r="33" spans="1:13" ht="21" thickBot="1" x14ac:dyDescent="0.35">
      <c r="A33" s="78" t="s">
        <v>111</v>
      </c>
      <c r="B33" s="45">
        <f t="shared" ref="B33:M33" si="5">B31-B32</f>
        <v>0</v>
      </c>
      <c r="C33" s="46">
        <f t="shared" si="5"/>
        <v>0</v>
      </c>
      <c r="D33" s="46">
        <f t="shared" si="5"/>
        <v>0</v>
      </c>
      <c r="E33" s="46">
        <f t="shared" si="5"/>
        <v>0</v>
      </c>
      <c r="F33" s="46">
        <f t="shared" si="5"/>
        <v>0</v>
      </c>
      <c r="G33" s="46">
        <f t="shared" si="5"/>
        <v>0</v>
      </c>
      <c r="H33" s="46">
        <f t="shared" si="5"/>
        <v>0</v>
      </c>
      <c r="I33" s="46">
        <f t="shared" si="5"/>
        <v>0</v>
      </c>
      <c r="J33" s="46">
        <f t="shared" si="5"/>
        <v>0</v>
      </c>
      <c r="K33" s="46">
        <f t="shared" si="5"/>
        <v>0</v>
      </c>
      <c r="L33" s="46">
        <f t="shared" si="5"/>
        <v>0</v>
      </c>
      <c r="M33" s="47">
        <f t="shared" si="5"/>
        <v>0</v>
      </c>
    </row>
    <row r="35" spans="1:13" x14ac:dyDescent="0.3">
      <c r="A35" s="32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x14ac:dyDescent="0.3">
      <c r="A36" s="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x14ac:dyDescent="0.3">
      <c r="A37" s="8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2"/>
  <dimension ref="A3:M17"/>
  <sheetViews>
    <sheetView workbookViewId="0">
      <selection activeCell="F16" sqref="F16"/>
    </sheetView>
  </sheetViews>
  <sheetFormatPr baseColWidth="10" defaultRowHeight="12.75" x14ac:dyDescent="0.2"/>
  <cols>
    <col min="1" max="1" width="31.140625" customWidth="1"/>
  </cols>
  <sheetData>
    <row r="3" spans="1:13" x14ac:dyDescent="0.2">
      <c r="A3" s="72" t="s">
        <v>0</v>
      </c>
      <c r="B3" s="72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x14ac:dyDescent="0.2">
      <c r="A4" s="65"/>
      <c r="B4" s="74">
        <v>46023</v>
      </c>
      <c r="C4" s="74">
        <v>46054</v>
      </c>
      <c r="D4" s="74">
        <v>46082</v>
      </c>
      <c r="E4" s="74">
        <v>46113</v>
      </c>
      <c r="F4" s="74">
        <v>46143</v>
      </c>
      <c r="G4" s="74">
        <v>46174</v>
      </c>
      <c r="H4" s="74">
        <v>46204</v>
      </c>
      <c r="I4" s="74">
        <v>46235</v>
      </c>
      <c r="J4" s="74">
        <v>46266</v>
      </c>
      <c r="K4" s="74">
        <v>46296</v>
      </c>
      <c r="L4" s="74">
        <v>46327</v>
      </c>
      <c r="M4" s="74">
        <v>46357</v>
      </c>
    </row>
    <row r="5" spans="1:13" x14ac:dyDescent="0.2">
      <c r="A5" s="65" t="s">
        <v>110</v>
      </c>
      <c r="B5" s="69"/>
      <c r="C5" s="69">
        <f>B17</f>
        <v>0</v>
      </c>
      <c r="D5" s="69">
        <f>C17</f>
        <v>0</v>
      </c>
      <c r="E5" s="69">
        <f t="shared" ref="E5:M5" si="0">D17</f>
        <v>0</v>
      </c>
      <c r="F5" s="69">
        <f t="shared" si="0"/>
        <v>0</v>
      </c>
      <c r="G5" s="69">
        <f t="shared" si="0"/>
        <v>244200</v>
      </c>
      <c r="H5" s="69">
        <f t="shared" si="0"/>
        <v>624200</v>
      </c>
      <c r="I5" s="69">
        <f t="shared" si="0"/>
        <v>624200</v>
      </c>
      <c r="J5" s="69">
        <f t="shared" si="0"/>
        <v>624200</v>
      </c>
      <c r="K5" s="69">
        <f t="shared" si="0"/>
        <v>624200</v>
      </c>
      <c r="L5" s="69">
        <f t="shared" si="0"/>
        <v>624200</v>
      </c>
      <c r="M5" s="69">
        <f t="shared" si="0"/>
        <v>624200</v>
      </c>
    </row>
    <row r="6" spans="1:13" x14ac:dyDescent="0.2">
      <c r="A6" s="65" t="s">
        <v>2</v>
      </c>
      <c r="B6" s="69"/>
      <c r="C6" s="69"/>
      <c r="D6" s="69"/>
      <c r="E6" s="69"/>
      <c r="F6" s="69"/>
      <c r="G6" s="69">
        <v>380000</v>
      </c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/>
      <c r="C7" s="69"/>
      <c r="D7" s="69"/>
      <c r="E7" s="69"/>
      <c r="F7" s="69">
        <v>124200</v>
      </c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/>
      <c r="C14" s="69"/>
      <c r="D14" s="69"/>
      <c r="E14" s="69"/>
      <c r="F14" s="69">
        <v>120000</v>
      </c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6</v>
      </c>
      <c r="B15" s="70">
        <f>SUM(B5:B14)</f>
        <v>0</v>
      </c>
      <c r="C15" s="70">
        <f t="shared" ref="C15:M15" si="1">SUM(C5:C14)</f>
        <v>0</v>
      </c>
      <c r="D15" s="70">
        <f t="shared" si="1"/>
        <v>0</v>
      </c>
      <c r="E15" s="70">
        <f t="shared" si="1"/>
        <v>0</v>
      </c>
      <c r="F15" s="70">
        <f t="shared" si="1"/>
        <v>244200</v>
      </c>
      <c r="G15" s="70">
        <f t="shared" si="1"/>
        <v>624200</v>
      </c>
      <c r="H15" s="70">
        <f t="shared" si="1"/>
        <v>624200</v>
      </c>
      <c r="I15" s="70">
        <f t="shared" si="1"/>
        <v>624200</v>
      </c>
      <c r="J15" s="70">
        <f t="shared" si="1"/>
        <v>624200</v>
      </c>
      <c r="K15" s="70">
        <f t="shared" si="1"/>
        <v>624200</v>
      </c>
      <c r="L15" s="70">
        <f t="shared" si="1"/>
        <v>624200</v>
      </c>
      <c r="M15" s="70">
        <f t="shared" si="1"/>
        <v>624200</v>
      </c>
    </row>
    <row r="16" spans="1:13" ht="13.5" thickBot="1" x14ac:dyDescent="0.25">
      <c r="A16" s="65" t="s">
        <v>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1:13" ht="13.5" thickBot="1" x14ac:dyDescent="0.25">
      <c r="A17" s="65" t="s">
        <v>111</v>
      </c>
      <c r="B17" s="75">
        <f>B15-B16</f>
        <v>0</v>
      </c>
      <c r="C17" s="76">
        <f t="shared" ref="C17:L17" si="2">C15-C16</f>
        <v>0</v>
      </c>
      <c r="D17" s="76">
        <f t="shared" si="2"/>
        <v>0</v>
      </c>
      <c r="E17" s="76">
        <f t="shared" si="2"/>
        <v>0</v>
      </c>
      <c r="F17" s="76">
        <f t="shared" si="2"/>
        <v>244200</v>
      </c>
      <c r="G17" s="76">
        <f t="shared" si="2"/>
        <v>624200</v>
      </c>
      <c r="H17" s="76">
        <f t="shared" si="2"/>
        <v>624200</v>
      </c>
      <c r="I17" s="76">
        <f t="shared" si="2"/>
        <v>624200</v>
      </c>
      <c r="J17" s="76">
        <f t="shared" si="2"/>
        <v>624200</v>
      </c>
      <c r="K17" s="76">
        <f t="shared" si="2"/>
        <v>624200</v>
      </c>
      <c r="L17" s="76">
        <f t="shared" si="2"/>
        <v>624200</v>
      </c>
      <c r="M17" s="77">
        <f>M15-M16</f>
        <v>624200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M38"/>
  <sheetViews>
    <sheetView topLeftCell="A5" workbookViewId="0">
      <selection activeCell="A5" sqref="A5:M19"/>
    </sheetView>
  </sheetViews>
  <sheetFormatPr baseColWidth="10" defaultRowHeight="20.25" x14ac:dyDescent="0.3"/>
  <cols>
    <col min="1" max="1" width="30.85546875" style="2" customWidth="1"/>
    <col min="2" max="2" width="12.140625" style="2" customWidth="1"/>
    <col min="3" max="4" width="11.42578125" style="2" bestFit="1" customWidth="1"/>
    <col min="5" max="5" width="11.85546875" style="2" customWidth="1"/>
    <col min="6" max="6" width="11.5703125" style="2" bestFit="1" customWidth="1"/>
    <col min="7" max="7" width="11.85546875" style="2" bestFit="1" customWidth="1"/>
    <col min="8" max="8" width="11.7109375" style="2" customWidth="1"/>
    <col min="9" max="12" width="11.85546875" style="2" bestFit="1" customWidth="1"/>
    <col min="13" max="13" width="12.5703125" style="2" bestFit="1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16</v>
      </c>
      <c r="C2" s="216"/>
      <c r="D2" s="216"/>
      <c r="E2" s="216"/>
      <c r="F2" s="216"/>
      <c r="G2" s="216"/>
    </row>
    <row r="5" spans="1:13" x14ac:dyDescent="0.3">
      <c r="A5" s="80" t="s">
        <v>0</v>
      </c>
      <c r="B5" s="80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x14ac:dyDescent="0.3">
      <c r="A6" s="78"/>
      <c r="B6" s="82">
        <v>46023</v>
      </c>
      <c r="C6" s="82">
        <v>46054</v>
      </c>
      <c r="D6" s="82">
        <v>46082</v>
      </c>
      <c r="E6" s="82">
        <v>46113</v>
      </c>
      <c r="F6" s="82">
        <v>46143</v>
      </c>
      <c r="G6" s="82">
        <v>46174</v>
      </c>
      <c r="H6" s="82">
        <v>46204</v>
      </c>
      <c r="I6" s="82">
        <v>46235</v>
      </c>
      <c r="J6" s="82">
        <v>46266</v>
      </c>
      <c r="K6" s="82">
        <v>46296</v>
      </c>
      <c r="L6" s="82">
        <v>46327</v>
      </c>
      <c r="M6" s="82">
        <v>46357</v>
      </c>
    </row>
    <row r="7" spans="1:13" x14ac:dyDescent="0.3">
      <c r="A7" s="78" t="s">
        <v>110</v>
      </c>
      <c r="B7" s="42"/>
      <c r="C7" s="42">
        <f>B19</f>
        <v>0</v>
      </c>
      <c r="D7" s="42">
        <f>C19</f>
        <v>0</v>
      </c>
      <c r="E7" s="42">
        <f t="shared" ref="E7:M7" si="0">D19</f>
        <v>0</v>
      </c>
      <c r="F7" s="42">
        <f t="shared" si="0"/>
        <v>0</v>
      </c>
      <c r="G7" s="42">
        <f t="shared" si="0"/>
        <v>246420</v>
      </c>
      <c r="H7" s="42">
        <f t="shared" si="0"/>
        <v>246420</v>
      </c>
      <c r="I7" s="42">
        <f t="shared" si="0"/>
        <v>246420</v>
      </c>
      <c r="J7" s="42">
        <f t="shared" si="0"/>
        <v>246420</v>
      </c>
      <c r="K7" s="42">
        <f t="shared" si="0"/>
        <v>246420</v>
      </c>
      <c r="L7" s="42">
        <f t="shared" si="0"/>
        <v>246420</v>
      </c>
      <c r="M7" s="42">
        <f t="shared" si="0"/>
        <v>246420</v>
      </c>
    </row>
    <row r="8" spans="1:13" x14ac:dyDescent="0.3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3</v>
      </c>
      <c r="B9" s="42"/>
      <c r="C9" s="42"/>
      <c r="D9" s="42"/>
      <c r="E9" s="42">
        <v>26032</v>
      </c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4</v>
      </c>
      <c r="B10" s="42">
        <v>24400</v>
      </c>
      <c r="C10" s="42">
        <v>27800</v>
      </c>
      <c r="D10" s="42">
        <v>25650</v>
      </c>
      <c r="E10" s="42">
        <v>15000</v>
      </c>
      <c r="F10" s="42">
        <v>46420</v>
      </c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3">
      <c r="A16" s="78" t="s">
        <v>5</v>
      </c>
      <c r="B16" s="42">
        <v>180000</v>
      </c>
      <c r="C16" s="42">
        <v>180000</v>
      </c>
      <c r="D16" s="42">
        <v>200000</v>
      </c>
      <c r="E16" s="42">
        <v>200000</v>
      </c>
      <c r="F16" s="42">
        <v>200000</v>
      </c>
      <c r="G16" s="42"/>
      <c r="H16" s="42"/>
      <c r="I16" s="42"/>
      <c r="J16" s="42"/>
      <c r="K16" s="42"/>
      <c r="L16" s="42"/>
      <c r="M16" s="42"/>
    </row>
    <row r="17" spans="1:13" x14ac:dyDescent="0.3">
      <c r="A17" s="78" t="s">
        <v>6</v>
      </c>
      <c r="B17" s="43">
        <f>SUM(B7:B16)</f>
        <v>204400</v>
      </c>
      <c r="C17" s="43">
        <f t="shared" ref="C17:M17" si="1">SUM(C7:C16)</f>
        <v>207800</v>
      </c>
      <c r="D17" s="43">
        <f t="shared" si="1"/>
        <v>225650</v>
      </c>
      <c r="E17" s="43">
        <f t="shared" si="1"/>
        <v>241032</v>
      </c>
      <c r="F17" s="43">
        <f t="shared" si="1"/>
        <v>246420</v>
      </c>
      <c r="G17" s="43">
        <f t="shared" si="1"/>
        <v>246420</v>
      </c>
      <c r="H17" s="43">
        <f t="shared" si="1"/>
        <v>246420</v>
      </c>
      <c r="I17" s="43">
        <f t="shared" si="1"/>
        <v>246420</v>
      </c>
      <c r="J17" s="43">
        <f t="shared" si="1"/>
        <v>246420</v>
      </c>
      <c r="K17" s="43">
        <f t="shared" si="1"/>
        <v>246420</v>
      </c>
      <c r="L17" s="43">
        <f t="shared" si="1"/>
        <v>246420</v>
      </c>
      <c r="M17" s="43">
        <f t="shared" si="1"/>
        <v>246420</v>
      </c>
    </row>
    <row r="18" spans="1:13" ht="21" thickBot="1" x14ac:dyDescent="0.35">
      <c r="A18" s="78" t="s">
        <v>7</v>
      </c>
      <c r="B18" s="44">
        <v>204400</v>
      </c>
      <c r="C18" s="44">
        <v>207800</v>
      </c>
      <c r="D18" s="44">
        <v>225650</v>
      </c>
      <c r="E18" s="44">
        <v>241032</v>
      </c>
      <c r="F18" s="44"/>
      <c r="G18" s="44"/>
      <c r="H18" s="44"/>
      <c r="I18" s="44"/>
      <c r="J18" s="44"/>
      <c r="K18" s="44"/>
      <c r="L18" s="44"/>
      <c r="M18" s="44"/>
    </row>
    <row r="19" spans="1:13" ht="21" thickBot="1" x14ac:dyDescent="0.35">
      <c r="A19" s="78" t="s">
        <v>111</v>
      </c>
      <c r="B19" s="45">
        <f>B17-B18</f>
        <v>0</v>
      </c>
      <c r="C19" s="46">
        <f t="shared" ref="C19:L19" si="2">C17-C18</f>
        <v>0</v>
      </c>
      <c r="D19" s="46">
        <f t="shared" si="2"/>
        <v>0</v>
      </c>
      <c r="E19" s="46">
        <f t="shared" si="2"/>
        <v>0</v>
      </c>
      <c r="F19" s="46">
        <f t="shared" si="2"/>
        <v>246420</v>
      </c>
      <c r="G19" s="46">
        <f t="shared" si="2"/>
        <v>246420</v>
      </c>
      <c r="H19" s="46">
        <f t="shared" si="2"/>
        <v>246420</v>
      </c>
      <c r="I19" s="46">
        <f t="shared" si="2"/>
        <v>246420</v>
      </c>
      <c r="J19" s="46">
        <f t="shared" si="2"/>
        <v>246420</v>
      </c>
      <c r="K19" s="46">
        <f t="shared" si="2"/>
        <v>246420</v>
      </c>
      <c r="L19" s="46">
        <f t="shared" si="2"/>
        <v>246420</v>
      </c>
      <c r="M19" s="47">
        <f>M17-M18</f>
        <v>246420</v>
      </c>
    </row>
    <row r="20" spans="1:13" x14ac:dyDescent="0.3">
      <c r="A20" s="78"/>
      <c r="B20" s="78"/>
      <c r="C20" s="78"/>
      <c r="D20" s="78"/>
      <c r="E20" s="78"/>
      <c r="F20" s="78"/>
      <c r="G20" s="149">
        <v>44012</v>
      </c>
      <c r="H20" s="78"/>
      <c r="I20" s="78"/>
      <c r="J20" s="78"/>
      <c r="K20" s="78"/>
      <c r="L20" s="78"/>
      <c r="M20" s="78" t="s">
        <v>322</v>
      </c>
    </row>
    <row r="21" spans="1:13" x14ac:dyDescent="0.3">
      <c r="A21" s="80" t="s">
        <v>0</v>
      </c>
      <c r="B21" s="80" t="s">
        <v>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x14ac:dyDescent="0.3">
      <c r="A22" s="78"/>
      <c r="B22" s="82">
        <v>45658</v>
      </c>
      <c r="C22" s="82">
        <v>45689</v>
      </c>
      <c r="D22" s="82">
        <v>45717</v>
      </c>
      <c r="E22" s="82">
        <v>45748</v>
      </c>
      <c r="F22" s="82">
        <v>45778</v>
      </c>
      <c r="G22" s="82">
        <v>45809</v>
      </c>
      <c r="H22" s="82">
        <v>45839</v>
      </c>
      <c r="I22" s="82">
        <v>45870</v>
      </c>
      <c r="J22" s="82">
        <v>45901</v>
      </c>
      <c r="K22" s="82">
        <v>45931</v>
      </c>
      <c r="L22" s="82">
        <v>45962</v>
      </c>
      <c r="M22" s="82">
        <v>45992</v>
      </c>
    </row>
    <row r="23" spans="1:13" x14ac:dyDescent="0.3">
      <c r="A23" s="78" t="s">
        <v>110</v>
      </c>
      <c r="B23" s="42"/>
      <c r="C23" s="42">
        <f>B34</f>
        <v>0</v>
      </c>
      <c r="D23" s="42">
        <f t="shared" ref="D23:M23" si="3">C34</f>
        <v>0</v>
      </c>
      <c r="E23" s="42">
        <f t="shared" si="3"/>
        <v>0</v>
      </c>
      <c r="F23" s="42">
        <f t="shared" si="3"/>
        <v>152290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3">
      <c r="A24" s="78" t="s">
        <v>626</v>
      </c>
      <c r="B24" s="42">
        <v>330000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3</v>
      </c>
      <c r="B25" s="42">
        <v>23500</v>
      </c>
      <c r="C25" s="42">
        <v>22300</v>
      </c>
      <c r="D25" s="42">
        <v>48500</v>
      </c>
      <c r="E25" s="42">
        <v>42340</v>
      </c>
      <c r="F25" s="42">
        <v>111200</v>
      </c>
      <c r="G25" s="42">
        <f>54000+20000</f>
        <v>74000</v>
      </c>
      <c r="H25" s="42">
        <v>98000</v>
      </c>
      <c r="I25" s="42">
        <v>68800</v>
      </c>
      <c r="J25" s="42"/>
      <c r="K25" s="42">
        <v>34230</v>
      </c>
      <c r="L25" s="42"/>
      <c r="M25" s="42">
        <v>42000</v>
      </c>
    </row>
    <row r="26" spans="1:13" x14ac:dyDescent="0.3">
      <c r="A26" s="78" t="s">
        <v>4</v>
      </c>
      <c r="B26" s="42">
        <v>15200</v>
      </c>
      <c r="C26" s="42">
        <v>43100</v>
      </c>
      <c r="D26" s="42">
        <v>14750</v>
      </c>
      <c r="E26" s="42">
        <v>14950</v>
      </c>
      <c r="F26" s="42">
        <v>25000</v>
      </c>
      <c r="G26" s="42">
        <f>17500+5000</f>
        <v>22500</v>
      </c>
      <c r="H26" s="42">
        <v>22500</v>
      </c>
      <c r="I26" s="42">
        <v>22500</v>
      </c>
      <c r="J26" s="42">
        <v>26500</v>
      </c>
      <c r="K26" s="42">
        <v>26128</v>
      </c>
      <c r="L26" s="42">
        <v>41320</v>
      </c>
      <c r="M26" s="42">
        <v>30460</v>
      </c>
    </row>
    <row r="27" spans="1:13" s="78" customFormat="1" ht="12.75" x14ac:dyDescent="0.2">
      <c r="A27" s="78" t="s">
        <v>5</v>
      </c>
      <c r="B27" s="42"/>
      <c r="C27" s="42"/>
      <c r="D27" s="42"/>
      <c r="E27" s="42"/>
      <c r="F27" s="196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2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231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5</v>
      </c>
      <c r="B31" s="42">
        <v>90000</v>
      </c>
      <c r="C31" s="42">
        <v>90000</v>
      </c>
      <c r="D31" s="42">
        <v>90000</v>
      </c>
      <c r="E31" s="42">
        <v>95000</v>
      </c>
      <c r="F31" s="42">
        <v>95000</v>
      </c>
      <c r="G31" s="42">
        <v>100000</v>
      </c>
      <c r="H31" s="42">
        <v>100000</v>
      </c>
      <c r="I31" s="42">
        <v>120000</v>
      </c>
      <c r="J31" s="42">
        <v>130000</v>
      </c>
      <c r="K31" s="42">
        <v>130000</v>
      </c>
      <c r="L31" s="42">
        <v>150000</v>
      </c>
      <c r="M31" s="42">
        <v>180000</v>
      </c>
    </row>
    <row r="32" spans="1:13" x14ac:dyDescent="0.3">
      <c r="A32" s="78" t="s">
        <v>6</v>
      </c>
      <c r="B32" s="43">
        <f t="shared" ref="B32:M32" si="4">SUM(B23:B31)</f>
        <v>458700</v>
      </c>
      <c r="C32" s="43">
        <f t="shared" si="4"/>
        <v>155400</v>
      </c>
      <c r="D32" s="43">
        <f t="shared" si="4"/>
        <v>153250</v>
      </c>
      <c r="E32" s="43">
        <f t="shared" si="4"/>
        <v>152290</v>
      </c>
      <c r="F32" s="43">
        <f t="shared" si="4"/>
        <v>383490</v>
      </c>
      <c r="G32" s="43">
        <f t="shared" si="4"/>
        <v>196500</v>
      </c>
      <c r="H32" s="43">
        <f t="shared" si="4"/>
        <v>220500</v>
      </c>
      <c r="I32" s="43">
        <f t="shared" si="4"/>
        <v>211300</v>
      </c>
      <c r="J32" s="43">
        <f t="shared" si="4"/>
        <v>156500</v>
      </c>
      <c r="K32" s="43">
        <f t="shared" si="4"/>
        <v>190358</v>
      </c>
      <c r="L32" s="43">
        <f t="shared" si="4"/>
        <v>191320</v>
      </c>
      <c r="M32" s="43">
        <f t="shared" si="4"/>
        <v>252460</v>
      </c>
    </row>
    <row r="33" spans="1:13" ht="21" thickBot="1" x14ac:dyDescent="0.35">
      <c r="A33" s="78" t="s">
        <v>7</v>
      </c>
      <c r="B33" s="44">
        <v>458700</v>
      </c>
      <c r="C33" s="44">
        <v>155400</v>
      </c>
      <c r="D33" s="44">
        <v>153250</v>
      </c>
      <c r="E33" s="44"/>
      <c r="F33" s="44">
        <v>383490</v>
      </c>
      <c r="G33" s="44">
        <v>196500</v>
      </c>
      <c r="H33" s="44">
        <v>220500</v>
      </c>
      <c r="I33" s="44">
        <v>211300</v>
      </c>
      <c r="J33" s="44">
        <v>156500</v>
      </c>
      <c r="K33" s="44">
        <v>190358</v>
      </c>
      <c r="L33" s="44">
        <v>191320</v>
      </c>
      <c r="M33" s="44">
        <v>252460</v>
      </c>
    </row>
    <row r="34" spans="1:13" ht="21" thickBot="1" x14ac:dyDescent="0.35">
      <c r="A34" s="78" t="s">
        <v>111</v>
      </c>
      <c r="B34" s="45">
        <f>B32-B33</f>
        <v>0</v>
      </c>
      <c r="C34" s="46">
        <f t="shared" ref="C34:M34" si="5">C32-C33</f>
        <v>0</v>
      </c>
      <c r="D34" s="46">
        <f t="shared" si="5"/>
        <v>0</v>
      </c>
      <c r="E34" s="46">
        <f t="shared" si="5"/>
        <v>152290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7">
        <f t="shared" si="5"/>
        <v>0</v>
      </c>
    </row>
    <row r="35" spans="1:13" x14ac:dyDescent="0.3">
      <c r="I35" s="2" t="s">
        <v>644</v>
      </c>
    </row>
    <row r="36" spans="1:13" x14ac:dyDescent="0.3">
      <c r="F36" s="60"/>
      <c r="G36" s="60"/>
      <c r="L36" s="60"/>
      <c r="M36" s="107"/>
    </row>
    <row r="37" spans="1:13" x14ac:dyDescent="0.3">
      <c r="F37" s="60"/>
      <c r="G37" s="60"/>
      <c r="L37" s="60"/>
      <c r="M37" s="107"/>
    </row>
    <row r="38" spans="1:13" x14ac:dyDescent="0.3">
      <c r="M38" s="107"/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3:M33"/>
  <sheetViews>
    <sheetView workbookViewId="0">
      <selection activeCell="L8" sqref="L8"/>
    </sheetView>
  </sheetViews>
  <sheetFormatPr baseColWidth="10" defaultRowHeight="12.75" x14ac:dyDescent="0.2"/>
  <cols>
    <col min="1" max="1" width="36.85546875" customWidth="1"/>
    <col min="11" max="11" width="10.85546875" customWidth="1"/>
    <col min="13" max="13" width="12.85546875" customWidth="1"/>
  </cols>
  <sheetData>
    <row r="3" spans="1:13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x14ac:dyDescent="0.2">
      <c r="A4" s="72" t="s">
        <v>0</v>
      </c>
      <c r="B4" s="72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x14ac:dyDescent="0.2">
      <c r="A5" s="65"/>
      <c r="B5" s="74">
        <v>42736</v>
      </c>
      <c r="C5" s="74">
        <v>42767</v>
      </c>
      <c r="D5" s="74">
        <v>42795</v>
      </c>
      <c r="E5" s="74">
        <v>42826</v>
      </c>
      <c r="F5" s="74">
        <v>42856</v>
      </c>
      <c r="G5" s="74">
        <v>42887</v>
      </c>
      <c r="H5" s="74">
        <v>42917</v>
      </c>
      <c r="I5" s="74">
        <v>42948</v>
      </c>
      <c r="J5" s="74">
        <v>42979</v>
      </c>
      <c r="K5" s="74">
        <v>43009</v>
      </c>
      <c r="L5" s="74">
        <v>43040</v>
      </c>
      <c r="M5" s="74">
        <v>43070</v>
      </c>
    </row>
    <row r="6" spans="1:13" x14ac:dyDescent="0.2">
      <c r="A6" s="65" t="s">
        <v>110</v>
      </c>
      <c r="B6" s="69">
        <v>13535</v>
      </c>
      <c r="C6" s="69">
        <f t="shared" ref="C6:M6" si="0">B17</f>
        <v>0</v>
      </c>
      <c r="D6" s="69">
        <f t="shared" si="0"/>
        <v>2465</v>
      </c>
      <c r="E6" s="69">
        <f t="shared" si="0"/>
        <v>0</v>
      </c>
      <c r="F6" s="69">
        <f t="shared" si="0"/>
        <v>2490</v>
      </c>
      <c r="G6" s="69">
        <f t="shared" si="0"/>
        <v>0</v>
      </c>
      <c r="H6" s="69">
        <f t="shared" si="0"/>
        <v>0</v>
      </c>
      <c r="I6" s="69">
        <f t="shared" si="0"/>
        <v>2566</v>
      </c>
      <c r="J6" s="69">
        <f t="shared" si="0"/>
        <v>0</v>
      </c>
      <c r="K6" s="69">
        <f t="shared" si="0"/>
        <v>941</v>
      </c>
      <c r="L6" s="69">
        <f t="shared" si="0"/>
        <v>0</v>
      </c>
      <c r="M6" s="69">
        <f t="shared" si="0"/>
        <v>941</v>
      </c>
    </row>
    <row r="7" spans="1:13" x14ac:dyDescent="0.2">
      <c r="A7" s="65" t="s">
        <v>2</v>
      </c>
      <c r="B7" s="69">
        <v>1625</v>
      </c>
      <c r="C7" s="69">
        <v>1625</v>
      </c>
      <c r="D7" s="69">
        <v>1625</v>
      </c>
      <c r="E7" s="69">
        <v>1625</v>
      </c>
      <c r="F7" s="69">
        <v>1625</v>
      </c>
      <c r="G7" s="69">
        <v>1625</v>
      </c>
      <c r="H7" s="69">
        <v>1625</v>
      </c>
      <c r="I7" s="69"/>
      <c r="J7" s="69"/>
      <c r="K7" s="69"/>
      <c r="L7" s="69"/>
      <c r="M7" s="69"/>
    </row>
    <row r="8" spans="1:13" x14ac:dyDescent="0.2">
      <c r="A8" s="65" t="s">
        <v>3</v>
      </c>
      <c r="B8" s="69">
        <v>190</v>
      </c>
      <c r="C8" s="69">
        <v>190</v>
      </c>
      <c r="D8" s="69">
        <v>190</v>
      </c>
      <c r="E8" s="69">
        <v>190</v>
      </c>
      <c r="F8" s="69">
        <v>240</v>
      </c>
      <c r="G8" s="69">
        <v>240</v>
      </c>
      <c r="H8" s="69">
        <v>240</v>
      </c>
      <c r="I8" s="69">
        <v>240</v>
      </c>
      <c r="J8" s="69">
        <v>240</v>
      </c>
      <c r="K8" s="69">
        <v>240</v>
      </c>
      <c r="L8" s="69">
        <v>240</v>
      </c>
      <c r="M8" s="69"/>
    </row>
    <row r="9" spans="1:13" x14ac:dyDescent="0.2">
      <c r="A9" s="65" t="s">
        <v>4</v>
      </c>
      <c r="B9" s="69">
        <v>250</v>
      </c>
      <c r="C9" s="69">
        <v>250</v>
      </c>
      <c r="D9" s="69">
        <v>250</v>
      </c>
      <c r="E9" s="69">
        <v>275</v>
      </c>
      <c r="F9" s="69">
        <v>301</v>
      </c>
      <c r="G9" s="69">
        <v>301</v>
      </c>
      <c r="H9" s="69">
        <v>301</v>
      </c>
      <c r="I9" s="69">
        <v>301</v>
      </c>
      <c r="J9" s="69">
        <v>301</v>
      </c>
      <c r="K9" s="69">
        <v>301</v>
      </c>
      <c r="L9" s="69">
        <v>301</v>
      </c>
      <c r="M9" s="69"/>
    </row>
    <row r="10" spans="1:13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289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>
        <v>300</v>
      </c>
      <c r="C14" s="69">
        <v>400</v>
      </c>
      <c r="D14" s="69">
        <v>400</v>
      </c>
      <c r="E14" s="69">
        <v>400</v>
      </c>
      <c r="F14" s="69">
        <v>400</v>
      </c>
      <c r="G14" s="69">
        <v>400</v>
      </c>
      <c r="H14" s="69">
        <v>400</v>
      </c>
      <c r="I14" s="69">
        <v>400</v>
      </c>
      <c r="J14" s="69">
        <v>400</v>
      </c>
      <c r="K14" s="69">
        <v>400</v>
      </c>
      <c r="L14" s="69">
        <v>400</v>
      </c>
      <c r="M14" s="69"/>
    </row>
    <row r="15" spans="1:13" x14ac:dyDescent="0.2">
      <c r="A15" s="65" t="s">
        <v>6</v>
      </c>
      <c r="B15" s="70">
        <f t="shared" ref="B15:M15" si="1">SUM(B6:B14)</f>
        <v>15900</v>
      </c>
      <c r="C15" s="70">
        <f t="shared" si="1"/>
        <v>2465</v>
      </c>
      <c r="D15" s="70">
        <f t="shared" si="1"/>
        <v>4930</v>
      </c>
      <c r="E15" s="70">
        <f t="shared" si="1"/>
        <v>2490</v>
      </c>
      <c r="F15" s="70">
        <f t="shared" si="1"/>
        <v>5056</v>
      </c>
      <c r="G15" s="70">
        <f t="shared" si="1"/>
        <v>2566</v>
      </c>
      <c r="H15" s="70">
        <f t="shared" si="1"/>
        <v>2566</v>
      </c>
      <c r="I15" s="70">
        <f t="shared" si="1"/>
        <v>3507</v>
      </c>
      <c r="J15" s="70">
        <f t="shared" si="1"/>
        <v>941</v>
      </c>
      <c r="K15" s="70">
        <f t="shared" si="1"/>
        <v>1882</v>
      </c>
      <c r="L15" s="70">
        <f t="shared" si="1"/>
        <v>941</v>
      </c>
      <c r="M15" s="70">
        <f t="shared" si="1"/>
        <v>941</v>
      </c>
    </row>
    <row r="16" spans="1:13" ht="13.5" thickBot="1" x14ac:dyDescent="0.25">
      <c r="A16" s="65" t="s">
        <v>7</v>
      </c>
      <c r="B16" s="71">
        <v>15900</v>
      </c>
      <c r="C16" s="71"/>
      <c r="D16" s="71">
        <v>4930</v>
      </c>
      <c r="E16" s="71"/>
      <c r="F16" s="71">
        <v>5056</v>
      </c>
      <c r="G16" s="71">
        <v>2566</v>
      </c>
      <c r="H16" s="71"/>
      <c r="I16" s="71">
        <v>3507</v>
      </c>
      <c r="J16" s="71"/>
      <c r="K16" s="71">
        <v>1882</v>
      </c>
      <c r="L16" s="71"/>
      <c r="M16" s="71"/>
    </row>
    <row r="17" spans="1:13" ht="13.5" thickBot="1" x14ac:dyDescent="0.25">
      <c r="A17" s="65" t="s">
        <v>111</v>
      </c>
      <c r="B17" s="75">
        <f t="shared" ref="B17:M17" si="2">B15-B16</f>
        <v>0</v>
      </c>
      <c r="C17" s="76">
        <f t="shared" si="2"/>
        <v>2465</v>
      </c>
      <c r="D17" s="76">
        <f t="shared" si="2"/>
        <v>0</v>
      </c>
      <c r="E17" s="76">
        <f t="shared" si="2"/>
        <v>2490</v>
      </c>
      <c r="F17" s="76">
        <f t="shared" si="2"/>
        <v>0</v>
      </c>
      <c r="G17" s="76">
        <f t="shared" si="2"/>
        <v>0</v>
      </c>
      <c r="H17" s="76">
        <f t="shared" si="2"/>
        <v>2566</v>
      </c>
      <c r="I17" s="76">
        <f t="shared" si="2"/>
        <v>0</v>
      </c>
      <c r="J17" s="76">
        <f t="shared" si="2"/>
        <v>941</v>
      </c>
      <c r="K17" s="76">
        <f t="shared" si="2"/>
        <v>0</v>
      </c>
      <c r="L17" s="76">
        <f t="shared" si="2"/>
        <v>941</v>
      </c>
      <c r="M17" s="76">
        <f t="shared" si="2"/>
        <v>941</v>
      </c>
    </row>
    <row r="20" spans="1:13" x14ac:dyDescent="0.2">
      <c r="A20" s="72" t="s">
        <v>0</v>
      </c>
      <c r="B20" s="72" t="s">
        <v>1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</row>
    <row r="21" spans="1:13" x14ac:dyDescent="0.2">
      <c r="A21" s="65"/>
      <c r="B21" s="74">
        <v>42370</v>
      </c>
      <c r="C21" s="74">
        <v>42401</v>
      </c>
      <c r="D21" s="74">
        <v>42430</v>
      </c>
      <c r="E21" s="74">
        <v>42461</v>
      </c>
      <c r="F21" s="74">
        <v>42491</v>
      </c>
      <c r="G21" s="74">
        <v>42522</v>
      </c>
      <c r="H21" s="74">
        <v>42552</v>
      </c>
      <c r="I21" s="74">
        <v>42583</v>
      </c>
      <c r="J21" s="74">
        <v>42614</v>
      </c>
      <c r="K21" s="74">
        <v>42644</v>
      </c>
      <c r="L21" s="74">
        <v>42675</v>
      </c>
      <c r="M21" s="74">
        <v>42705</v>
      </c>
    </row>
    <row r="22" spans="1:13" x14ac:dyDescent="0.2">
      <c r="A22" s="65" t="s">
        <v>110</v>
      </c>
      <c r="B22" s="69"/>
      <c r="C22" s="69">
        <f t="shared" ref="C22:M22" si="3">B33</f>
        <v>2</v>
      </c>
      <c r="D22" s="69">
        <f t="shared" si="3"/>
        <v>0</v>
      </c>
      <c r="E22" s="69">
        <f t="shared" si="3"/>
        <v>1702</v>
      </c>
      <c r="F22" s="69">
        <f t="shared" si="3"/>
        <v>1124</v>
      </c>
      <c r="G22" s="69">
        <f t="shared" si="3"/>
        <v>0</v>
      </c>
      <c r="H22" s="69">
        <f t="shared" si="3"/>
        <v>1855</v>
      </c>
      <c r="I22" s="69">
        <f t="shared" si="3"/>
        <v>3710</v>
      </c>
      <c r="J22" s="69">
        <f t="shared" si="3"/>
        <v>5565</v>
      </c>
      <c r="K22" s="69">
        <f t="shared" si="3"/>
        <v>7420</v>
      </c>
      <c r="L22" s="69">
        <f t="shared" si="3"/>
        <v>9275</v>
      </c>
      <c r="M22" s="69">
        <f t="shared" si="3"/>
        <v>11330</v>
      </c>
    </row>
    <row r="23" spans="1:13" x14ac:dyDescent="0.2">
      <c r="A23" s="65" t="s">
        <v>2</v>
      </c>
      <c r="B23" s="69">
        <v>1165</v>
      </c>
      <c r="C23" s="69">
        <v>1165</v>
      </c>
      <c r="D23" s="69">
        <v>1165</v>
      </c>
      <c r="E23" s="69">
        <v>1165</v>
      </c>
      <c r="F23" s="69">
        <v>1165</v>
      </c>
      <c r="G23" s="69">
        <v>1165</v>
      </c>
      <c r="H23" s="69">
        <v>1165</v>
      </c>
      <c r="I23" s="69">
        <v>1165</v>
      </c>
      <c r="J23" s="69">
        <v>1165</v>
      </c>
      <c r="K23" s="69">
        <v>1165</v>
      </c>
      <c r="L23" s="69">
        <v>1165</v>
      </c>
      <c r="M23" s="69">
        <v>1165</v>
      </c>
    </row>
    <row r="24" spans="1:13" x14ac:dyDescent="0.2">
      <c r="A24" s="65" t="s">
        <v>3</v>
      </c>
      <c r="B24" s="69">
        <v>95</v>
      </c>
      <c r="C24" s="69">
        <v>95</v>
      </c>
      <c r="D24" s="69">
        <v>95</v>
      </c>
      <c r="E24" s="69">
        <v>95</v>
      </c>
      <c r="F24" s="69">
        <v>190</v>
      </c>
      <c r="G24" s="69">
        <v>190</v>
      </c>
      <c r="H24" s="69">
        <v>190</v>
      </c>
      <c r="I24" s="69">
        <v>190</v>
      </c>
      <c r="J24" s="69">
        <v>190</v>
      </c>
      <c r="K24" s="69">
        <v>190</v>
      </c>
      <c r="L24" s="69">
        <v>190</v>
      </c>
      <c r="M24" s="69">
        <v>190</v>
      </c>
    </row>
    <row r="25" spans="1:13" x14ac:dyDescent="0.2">
      <c r="A25" s="65" t="s">
        <v>4</v>
      </c>
      <c r="B25" s="69">
        <v>142</v>
      </c>
      <c r="C25" s="69">
        <v>142</v>
      </c>
      <c r="D25" s="69">
        <v>142</v>
      </c>
      <c r="E25" s="69">
        <v>142</v>
      </c>
      <c r="F25" s="69">
        <v>142</v>
      </c>
      <c r="G25" s="69">
        <v>200</v>
      </c>
      <c r="H25" s="69">
        <v>200</v>
      </c>
      <c r="I25" s="69">
        <v>200</v>
      </c>
      <c r="J25" s="69">
        <v>200</v>
      </c>
      <c r="K25" s="69">
        <v>200</v>
      </c>
      <c r="L25" s="69">
        <v>200</v>
      </c>
      <c r="M25" s="69">
        <v>250</v>
      </c>
    </row>
    <row r="26" spans="1:13" x14ac:dyDescent="0.2">
      <c r="A26" s="65" t="s">
        <v>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289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5</v>
      </c>
      <c r="B30" s="69">
        <v>300</v>
      </c>
      <c r="C30" s="69">
        <v>300</v>
      </c>
      <c r="D30" s="69">
        <v>300</v>
      </c>
      <c r="E30" s="69">
        <v>300</v>
      </c>
      <c r="F30" s="69">
        <v>300</v>
      </c>
      <c r="G30" s="69">
        <v>300</v>
      </c>
      <c r="H30" s="69">
        <v>300</v>
      </c>
      <c r="I30" s="69">
        <v>300</v>
      </c>
      <c r="J30" s="69">
        <v>300</v>
      </c>
      <c r="K30" s="69">
        <v>300</v>
      </c>
      <c r="L30" s="69">
        <v>500</v>
      </c>
      <c r="M30" s="69">
        <v>600</v>
      </c>
    </row>
    <row r="31" spans="1:13" x14ac:dyDescent="0.2">
      <c r="A31" s="65" t="s">
        <v>6</v>
      </c>
      <c r="B31" s="70">
        <f t="shared" ref="B31:M31" si="4">SUM(B22:B30)</f>
        <v>1702</v>
      </c>
      <c r="C31" s="70">
        <f t="shared" si="4"/>
        <v>1704</v>
      </c>
      <c r="D31" s="70">
        <f t="shared" si="4"/>
        <v>1702</v>
      </c>
      <c r="E31" s="70">
        <f t="shared" si="4"/>
        <v>3404</v>
      </c>
      <c r="F31" s="70">
        <f t="shared" si="4"/>
        <v>2921</v>
      </c>
      <c r="G31" s="70">
        <f t="shared" si="4"/>
        <v>1855</v>
      </c>
      <c r="H31" s="70">
        <f t="shared" si="4"/>
        <v>3710</v>
      </c>
      <c r="I31" s="70">
        <f t="shared" si="4"/>
        <v>5565</v>
      </c>
      <c r="J31" s="70">
        <f t="shared" si="4"/>
        <v>7420</v>
      </c>
      <c r="K31" s="70">
        <f t="shared" si="4"/>
        <v>9275</v>
      </c>
      <c r="L31" s="70">
        <f t="shared" si="4"/>
        <v>11330</v>
      </c>
      <c r="M31" s="70">
        <f t="shared" si="4"/>
        <v>13535</v>
      </c>
    </row>
    <row r="32" spans="1:13" ht="13.5" thickBot="1" x14ac:dyDescent="0.25">
      <c r="A32" s="65" t="s">
        <v>7</v>
      </c>
      <c r="B32" s="71">
        <v>1700</v>
      </c>
      <c r="C32" s="71">
        <v>1704</v>
      </c>
      <c r="D32" s="71"/>
      <c r="E32" s="71">
        <v>2280</v>
      </c>
      <c r="F32" s="71">
        <v>2921</v>
      </c>
      <c r="G32" s="71"/>
      <c r="H32" s="71"/>
      <c r="I32" s="71"/>
      <c r="J32" s="71"/>
      <c r="K32" s="71"/>
      <c r="L32" s="71"/>
      <c r="M32" s="71"/>
    </row>
    <row r="33" spans="1:13" ht="13.5" thickBot="1" x14ac:dyDescent="0.25">
      <c r="A33" s="65" t="s">
        <v>111</v>
      </c>
      <c r="B33" s="75">
        <f t="shared" ref="B33:M33" si="5">B31-B32</f>
        <v>2</v>
      </c>
      <c r="C33" s="76">
        <f t="shared" si="5"/>
        <v>0</v>
      </c>
      <c r="D33" s="76">
        <f t="shared" si="5"/>
        <v>1702</v>
      </c>
      <c r="E33" s="76">
        <f t="shared" si="5"/>
        <v>1124</v>
      </c>
      <c r="F33" s="76">
        <f t="shared" si="5"/>
        <v>0</v>
      </c>
      <c r="G33" s="76">
        <f t="shared" si="5"/>
        <v>1855</v>
      </c>
      <c r="H33" s="76">
        <f t="shared" si="5"/>
        <v>3710</v>
      </c>
      <c r="I33" s="76">
        <f t="shared" si="5"/>
        <v>5565</v>
      </c>
      <c r="J33" s="76">
        <f t="shared" si="5"/>
        <v>7420</v>
      </c>
      <c r="K33" s="76">
        <f t="shared" si="5"/>
        <v>9275</v>
      </c>
      <c r="L33" s="76">
        <f t="shared" si="5"/>
        <v>11330</v>
      </c>
      <c r="M33" s="76">
        <f t="shared" si="5"/>
        <v>13535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3:M49"/>
  <sheetViews>
    <sheetView workbookViewId="0">
      <selection activeCell="I19" sqref="I19"/>
    </sheetView>
  </sheetViews>
  <sheetFormatPr baseColWidth="10" defaultRowHeight="12.75" x14ac:dyDescent="0.2"/>
  <cols>
    <col min="1" max="1" width="35.42578125" customWidth="1"/>
    <col min="6" max="6" width="12.5703125" bestFit="1" customWidth="1"/>
    <col min="9" max="9" width="12.140625" customWidth="1"/>
    <col min="10" max="10" width="11.42578125" customWidth="1"/>
  </cols>
  <sheetData>
    <row r="3" spans="1:13" ht="15" x14ac:dyDescent="0.2">
      <c r="A3" s="83" t="s">
        <v>11</v>
      </c>
      <c r="B3" s="217" t="s">
        <v>350</v>
      </c>
      <c r="C3" s="217"/>
      <c r="D3" s="217"/>
      <c r="E3" s="217"/>
      <c r="F3" s="217"/>
      <c r="G3" s="217"/>
      <c r="H3" s="8"/>
      <c r="I3" s="8"/>
      <c r="J3" s="8"/>
      <c r="K3" s="8"/>
      <c r="L3" s="8"/>
      <c r="M3" s="8"/>
    </row>
    <row r="4" spans="1:13" ht="15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A6" s="80" t="s">
        <v>0</v>
      </c>
      <c r="B6" s="80" t="s">
        <v>1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x14ac:dyDescent="0.2">
      <c r="A7" s="78"/>
      <c r="B7" s="82">
        <v>43101</v>
      </c>
      <c r="C7" s="82">
        <v>43132</v>
      </c>
      <c r="D7" s="82">
        <v>43160</v>
      </c>
      <c r="E7" s="82">
        <v>43191</v>
      </c>
      <c r="F7" s="82">
        <v>43221</v>
      </c>
      <c r="G7" s="82">
        <v>43252</v>
      </c>
      <c r="H7" s="82">
        <v>43282</v>
      </c>
      <c r="I7" s="82">
        <v>43313</v>
      </c>
      <c r="J7" s="82">
        <v>43344</v>
      </c>
      <c r="K7" s="82">
        <v>43374</v>
      </c>
      <c r="L7" s="82">
        <v>43405</v>
      </c>
      <c r="M7" s="82">
        <v>43435</v>
      </c>
    </row>
    <row r="8" spans="1:13" x14ac:dyDescent="0.2">
      <c r="A8" s="78" t="s">
        <v>110</v>
      </c>
      <c r="B8" s="42"/>
      <c r="C8" s="42">
        <f>B19</f>
        <v>-0.1999999999998181</v>
      </c>
      <c r="D8" s="42">
        <f>C19</f>
        <v>-0.1999999999998181</v>
      </c>
      <c r="E8" s="42">
        <f>D19</f>
        <v>-0.1999999999998181</v>
      </c>
      <c r="F8" s="42">
        <f>E19</f>
        <v>0</v>
      </c>
      <c r="G8" s="42">
        <f t="shared" ref="G8:M8" si="0">F19</f>
        <v>0</v>
      </c>
      <c r="H8" s="42">
        <f t="shared" si="0"/>
        <v>0</v>
      </c>
      <c r="I8" s="42">
        <f t="shared" si="0"/>
        <v>0</v>
      </c>
      <c r="J8" s="42">
        <f t="shared" si="0"/>
        <v>0</v>
      </c>
      <c r="K8" s="42">
        <f t="shared" si="0"/>
        <v>0</v>
      </c>
      <c r="L8" s="42">
        <f t="shared" si="0"/>
        <v>0</v>
      </c>
      <c r="M8" s="42">
        <f t="shared" si="0"/>
        <v>0</v>
      </c>
    </row>
    <row r="9" spans="1:13" x14ac:dyDescent="0.2">
      <c r="A9" s="78" t="s">
        <v>2</v>
      </c>
      <c r="B9" s="42">
        <v>2727.5</v>
      </c>
      <c r="C9" s="42">
        <v>3100</v>
      </c>
      <c r="D9" s="42"/>
      <c r="E9" s="42"/>
      <c r="F9" s="42">
        <v>61765</v>
      </c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>
        <v>350</v>
      </c>
      <c r="C10" s="42"/>
      <c r="D10" s="42"/>
      <c r="E10" s="42">
        <v>350</v>
      </c>
      <c r="F10" s="42">
        <v>1500</v>
      </c>
      <c r="G10" s="42">
        <v>550</v>
      </c>
      <c r="H10" s="42">
        <v>550</v>
      </c>
      <c r="I10" s="42"/>
      <c r="J10" s="42"/>
      <c r="K10" s="42"/>
      <c r="L10" s="42"/>
      <c r="M10" s="42"/>
    </row>
    <row r="11" spans="1:13" x14ac:dyDescent="0.2">
      <c r="A11" s="78" t="s">
        <v>4</v>
      </c>
      <c r="B11" s="42">
        <v>287.3</v>
      </c>
      <c r="C11" s="42">
        <v>311</v>
      </c>
      <c r="D11" s="42">
        <v>197.57</v>
      </c>
      <c r="E11" s="42">
        <v>200</v>
      </c>
      <c r="F11" s="42">
        <v>200</v>
      </c>
      <c r="G11" s="42">
        <v>200</v>
      </c>
      <c r="H11" s="42">
        <v>200</v>
      </c>
      <c r="I11" s="42"/>
      <c r="J11" s="42"/>
      <c r="K11" s="42"/>
      <c r="L11" s="42"/>
      <c r="M11" s="42"/>
    </row>
    <row r="12" spans="1:13" x14ac:dyDescent="0.2">
      <c r="A12" s="78" t="s">
        <v>9</v>
      </c>
      <c r="B12" s="42"/>
      <c r="C12" s="42"/>
      <c r="D12" s="42">
        <v>0.43</v>
      </c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4</v>
      </c>
      <c r="B15" s="42"/>
      <c r="C15" s="42"/>
      <c r="D15" s="42"/>
      <c r="E15" s="42">
        <v>0.2</v>
      </c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1300</v>
      </c>
      <c r="C16" s="42">
        <v>1000</v>
      </c>
      <c r="D16" s="42">
        <v>1000</v>
      </c>
      <c r="E16" s="42">
        <v>1000</v>
      </c>
      <c r="F16" s="42">
        <v>2000</v>
      </c>
      <c r="G16" s="42">
        <v>2000</v>
      </c>
      <c r="H16" s="42">
        <v>2000</v>
      </c>
      <c r="I16" s="42">
        <v>1200</v>
      </c>
      <c r="J16" s="42"/>
      <c r="K16" s="42"/>
      <c r="L16" s="42"/>
      <c r="M16" s="42"/>
    </row>
    <row r="17" spans="1:13" x14ac:dyDescent="0.2">
      <c r="A17" s="78" t="s">
        <v>6</v>
      </c>
      <c r="B17" s="43">
        <f t="shared" ref="B17:M17" si="1">SUM(B8:B16)</f>
        <v>4664.8</v>
      </c>
      <c r="C17" s="43">
        <f t="shared" si="1"/>
        <v>4410.8</v>
      </c>
      <c r="D17" s="43">
        <f t="shared" si="1"/>
        <v>1197.8000000000002</v>
      </c>
      <c r="E17" s="43">
        <f t="shared" si="1"/>
        <v>1550.0000000000002</v>
      </c>
      <c r="F17" s="43">
        <f t="shared" si="1"/>
        <v>65465</v>
      </c>
      <c r="G17" s="43">
        <f t="shared" si="1"/>
        <v>2750</v>
      </c>
      <c r="H17" s="43">
        <f t="shared" si="1"/>
        <v>2750</v>
      </c>
      <c r="I17" s="43">
        <f t="shared" si="1"/>
        <v>1200</v>
      </c>
      <c r="J17" s="43">
        <f t="shared" si="1"/>
        <v>0</v>
      </c>
      <c r="K17" s="43">
        <f t="shared" si="1"/>
        <v>0</v>
      </c>
      <c r="L17" s="43">
        <f t="shared" si="1"/>
        <v>0</v>
      </c>
      <c r="M17" s="43">
        <f t="shared" si="1"/>
        <v>0</v>
      </c>
    </row>
    <row r="18" spans="1:13" ht="13.5" thickBot="1" x14ac:dyDescent="0.25">
      <c r="A18" s="78" t="s">
        <v>7</v>
      </c>
      <c r="B18" s="44">
        <f>3000+600+1065</f>
        <v>4665</v>
      </c>
      <c r="C18" s="44">
        <f>3100+1311</f>
        <v>4411</v>
      </c>
      <c r="D18" s="44">
        <v>1198</v>
      </c>
      <c r="E18" s="44">
        <v>1550</v>
      </c>
      <c r="F18" s="44">
        <v>65465</v>
      </c>
      <c r="G18" s="44">
        <v>2750</v>
      </c>
      <c r="H18" s="44">
        <v>2750</v>
      </c>
      <c r="I18" s="44">
        <v>1200</v>
      </c>
      <c r="J18" s="44"/>
      <c r="K18" s="44"/>
      <c r="L18" s="44"/>
      <c r="M18" s="44"/>
    </row>
    <row r="19" spans="1:13" ht="13.5" thickBot="1" x14ac:dyDescent="0.25">
      <c r="A19" s="78" t="s">
        <v>111</v>
      </c>
      <c r="B19" s="45">
        <f>B17-B18</f>
        <v>-0.1999999999998181</v>
      </c>
      <c r="C19" s="46">
        <f t="shared" ref="C19:M19" si="2">C17-C18</f>
        <v>-0.1999999999998181</v>
      </c>
      <c r="D19" s="46">
        <f t="shared" si="2"/>
        <v>-0.1999999999998181</v>
      </c>
      <c r="E19" s="46">
        <f t="shared" si="2"/>
        <v>0</v>
      </c>
      <c r="F19" s="46">
        <f t="shared" si="2"/>
        <v>0</v>
      </c>
      <c r="G19" s="46">
        <f t="shared" si="2"/>
        <v>0</v>
      </c>
      <c r="H19" s="46">
        <f t="shared" si="2"/>
        <v>0</v>
      </c>
      <c r="I19" s="46">
        <f t="shared" si="2"/>
        <v>0</v>
      </c>
      <c r="J19" s="46">
        <f t="shared" si="2"/>
        <v>0</v>
      </c>
      <c r="K19" s="46">
        <f t="shared" si="2"/>
        <v>0</v>
      </c>
      <c r="L19" s="46">
        <f>L17-L18</f>
        <v>0</v>
      </c>
      <c r="M19" s="46">
        <f t="shared" si="2"/>
        <v>0</v>
      </c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.75" x14ac:dyDescent="0.25">
      <c r="A24" s="8"/>
      <c r="B24" s="34">
        <v>42736</v>
      </c>
      <c r="C24" s="34">
        <v>42767</v>
      </c>
      <c r="D24" s="34">
        <v>42795</v>
      </c>
      <c r="E24" s="34">
        <v>42826</v>
      </c>
      <c r="F24" s="34">
        <v>42856</v>
      </c>
      <c r="G24" s="34">
        <v>42887</v>
      </c>
      <c r="H24" s="34">
        <v>42917</v>
      </c>
      <c r="I24" s="34">
        <v>42948</v>
      </c>
      <c r="J24" s="34">
        <v>42979</v>
      </c>
      <c r="K24" s="34">
        <v>43009</v>
      </c>
      <c r="L24" s="34">
        <v>43040</v>
      </c>
      <c r="M24" s="34">
        <v>43070</v>
      </c>
    </row>
    <row r="25" spans="1:13" ht="15" x14ac:dyDescent="0.2">
      <c r="A25" s="8" t="s">
        <v>110</v>
      </c>
      <c r="B25" s="22"/>
      <c r="C25" s="22">
        <f t="shared" ref="C25:M25" si="3">B36</f>
        <v>0</v>
      </c>
      <c r="D25" s="22">
        <f t="shared" si="3"/>
        <v>0</v>
      </c>
      <c r="E25" s="22">
        <f t="shared" si="3"/>
        <v>0</v>
      </c>
      <c r="F25" s="22">
        <f t="shared" si="3"/>
        <v>0.23000000000001819</v>
      </c>
      <c r="G25" s="22">
        <f t="shared" si="3"/>
        <v>0.23000000000001819</v>
      </c>
      <c r="H25" s="22">
        <f t="shared" si="3"/>
        <v>-0.76999999999998181</v>
      </c>
      <c r="I25" s="22">
        <f t="shared" si="3"/>
        <v>0</v>
      </c>
      <c r="J25" s="22">
        <f t="shared" si="3"/>
        <v>0</v>
      </c>
      <c r="K25" s="22">
        <f t="shared" si="3"/>
        <v>0</v>
      </c>
      <c r="L25" s="22">
        <f t="shared" si="3"/>
        <v>0</v>
      </c>
      <c r="M25" s="22">
        <f t="shared" si="3"/>
        <v>0</v>
      </c>
    </row>
    <row r="26" spans="1:13" ht="15" x14ac:dyDescent="0.2">
      <c r="A26" s="8" t="s">
        <v>2</v>
      </c>
      <c r="B26" s="22">
        <v>6168.29</v>
      </c>
      <c r="C26" s="22"/>
      <c r="D26" s="22"/>
      <c r="E26" s="22"/>
      <c r="F26" s="22">
        <v>1291</v>
      </c>
      <c r="G26" s="22"/>
      <c r="H26" s="22">
        <v>0.77</v>
      </c>
      <c r="I26" s="22"/>
      <c r="J26" s="22">
        <v>4100</v>
      </c>
      <c r="K26" s="22"/>
      <c r="L26" s="22"/>
      <c r="M26" s="22"/>
    </row>
    <row r="27" spans="1:13" ht="15" x14ac:dyDescent="0.2">
      <c r="A27" s="8" t="s">
        <v>3</v>
      </c>
      <c r="B27" s="22">
        <v>540</v>
      </c>
      <c r="C27" s="22"/>
      <c r="D27" s="22">
        <v>442</v>
      </c>
      <c r="E27" s="22">
        <v>615</v>
      </c>
      <c r="F27" s="22">
        <v>240</v>
      </c>
      <c r="G27" s="22">
        <v>464</v>
      </c>
      <c r="H27" s="22">
        <v>435</v>
      </c>
      <c r="I27" s="22"/>
      <c r="J27" s="22">
        <v>350</v>
      </c>
      <c r="K27" s="22">
        <v>240</v>
      </c>
      <c r="L27" s="22">
        <v>350</v>
      </c>
      <c r="M27" s="22">
        <v>350</v>
      </c>
    </row>
    <row r="28" spans="1:13" ht="15" x14ac:dyDescent="0.2">
      <c r="A28" s="8" t="s">
        <v>4</v>
      </c>
      <c r="B28" s="22">
        <v>564</v>
      </c>
      <c r="C28" s="22"/>
      <c r="D28" s="22">
        <v>700</v>
      </c>
      <c r="E28" s="22">
        <v>1287.23</v>
      </c>
      <c r="F28" s="22">
        <v>246</v>
      </c>
      <c r="G28" s="22">
        <v>485</v>
      </c>
      <c r="H28" s="22"/>
      <c r="I28" s="22">
        <v>400</v>
      </c>
      <c r="J28" s="22">
        <v>300</v>
      </c>
      <c r="K28" s="22">
        <v>200</v>
      </c>
      <c r="L28" s="22">
        <v>317</v>
      </c>
      <c r="M28" s="22">
        <v>198</v>
      </c>
    </row>
    <row r="29" spans="1:13" ht="15" x14ac:dyDescent="0.2">
      <c r="A29" s="8" t="s">
        <v>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ht="15" x14ac:dyDescent="0.2">
      <c r="A30" s="8" t="s">
        <v>289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15" x14ac:dyDescent="0.2">
      <c r="A31" s="8" t="s">
        <v>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15" x14ac:dyDescent="0.2">
      <c r="A32" s="8" t="s">
        <v>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5" x14ac:dyDescent="0.2">
      <c r="A33" s="8" t="s">
        <v>5</v>
      </c>
      <c r="B33" s="22">
        <v>1000</v>
      </c>
      <c r="C33" s="22"/>
      <c r="D33" s="22">
        <v>1000</v>
      </c>
      <c r="E33" s="22">
        <v>1000</v>
      </c>
      <c r="F33" s="22">
        <v>1000</v>
      </c>
      <c r="G33" s="22">
        <v>1000</v>
      </c>
      <c r="H33" s="22">
        <v>1000</v>
      </c>
      <c r="I33" s="22">
        <v>1000</v>
      </c>
      <c r="J33" s="22">
        <v>1000</v>
      </c>
      <c r="K33" s="22">
        <v>1000</v>
      </c>
      <c r="L33" s="22">
        <v>1000</v>
      </c>
      <c r="M33" s="22">
        <v>1300</v>
      </c>
    </row>
    <row r="34" spans="1:13" ht="15" x14ac:dyDescent="0.2">
      <c r="A34" s="8" t="s">
        <v>6</v>
      </c>
      <c r="B34" s="16">
        <f t="shared" ref="B34:M34" si="4">SUM(B25:B33)</f>
        <v>8272.2900000000009</v>
      </c>
      <c r="C34" s="16">
        <f t="shared" si="4"/>
        <v>0</v>
      </c>
      <c r="D34" s="16">
        <f t="shared" si="4"/>
        <v>2142</v>
      </c>
      <c r="E34" s="16">
        <f t="shared" si="4"/>
        <v>2902.23</v>
      </c>
      <c r="F34" s="16">
        <f t="shared" si="4"/>
        <v>2777.23</v>
      </c>
      <c r="G34" s="16">
        <f t="shared" si="4"/>
        <v>1949.23</v>
      </c>
      <c r="H34" s="16">
        <f t="shared" si="4"/>
        <v>1435</v>
      </c>
      <c r="I34" s="16">
        <f t="shared" si="4"/>
        <v>1400</v>
      </c>
      <c r="J34" s="16">
        <f t="shared" si="4"/>
        <v>5750</v>
      </c>
      <c r="K34" s="16">
        <f t="shared" si="4"/>
        <v>1440</v>
      </c>
      <c r="L34" s="16">
        <f t="shared" si="4"/>
        <v>1667</v>
      </c>
      <c r="M34" s="16">
        <f t="shared" si="4"/>
        <v>1848</v>
      </c>
    </row>
    <row r="35" spans="1:13" ht="15.75" thickBot="1" x14ac:dyDescent="0.25">
      <c r="A35" s="8" t="s">
        <v>7</v>
      </c>
      <c r="B35" s="23">
        <f>540+564+7168.29</f>
        <v>8272.2900000000009</v>
      </c>
      <c r="C35" s="23"/>
      <c r="D35" s="23">
        <v>2142</v>
      </c>
      <c r="E35" s="23">
        <v>2902</v>
      </c>
      <c r="F35" s="23">
        <f>1531+1246</f>
        <v>2777</v>
      </c>
      <c r="G35" s="23">
        <v>1950</v>
      </c>
      <c r="H35" s="23">
        <v>1435</v>
      </c>
      <c r="I35" s="23">
        <v>1400</v>
      </c>
      <c r="J35" s="23">
        <v>5750</v>
      </c>
      <c r="K35" s="23">
        <v>1440</v>
      </c>
      <c r="L35" s="23">
        <f>667+1000</f>
        <v>1667</v>
      </c>
      <c r="M35" s="23">
        <v>1848</v>
      </c>
    </row>
    <row r="36" spans="1:13" ht="15.75" thickBot="1" x14ac:dyDescent="0.25">
      <c r="A36" s="8" t="s">
        <v>111</v>
      </c>
      <c r="B36" s="111">
        <f t="shared" ref="B36:M36" si="5">B34-B35</f>
        <v>0</v>
      </c>
      <c r="C36" s="112">
        <f t="shared" si="5"/>
        <v>0</v>
      </c>
      <c r="D36" s="112">
        <f t="shared" si="5"/>
        <v>0</v>
      </c>
      <c r="E36" s="112">
        <f t="shared" si="5"/>
        <v>0.23000000000001819</v>
      </c>
      <c r="F36" s="112">
        <f t="shared" si="5"/>
        <v>0.23000000000001819</v>
      </c>
      <c r="G36" s="112">
        <f t="shared" si="5"/>
        <v>-0.76999999999998181</v>
      </c>
      <c r="H36" s="112">
        <f t="shared" si="5"/>
        <v>0</v>
      </c>
      <c r="I36" s="112">
        <f t="shared" si="5"/>
        <v>0</v>
      </c>
      <c r="J36" s="112">
        <f t="shared" si="5"/>
        <v>0</v>
      </c>
      <c r="K36" s="112">
        <f t="shared" si="5"/>
        <v>0</v>
      </c>
      <c r="L36" s="112">
        <f t="shared" si="5"/>
        <v>0</v>
      </c>
      <c r="M36" s="112">
        <f t="shared" si="5"/>
        <v>0</v>
      </c>
    </row>
    <row r="49" spans="4:5" x14ac:dyDescent="0.2">
      <c r="D49" t="s">
        <v>379</v>
      </c>
      <c r="E49">
        <v>4850</v>
      </c>
    </row>
  </sheetData>
  <mergeCells count="1">
    <mergeCell ref="B3:G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6"/>
  <dimension ref="A3:M32"/>
  <sheetViews>
    <sheetView topLeftCell="A13" workbookViewId="0">
      <selection activeCell="F30" sqref="F30"/>
    </sheetView>
  </sheetViews>
  <sheetFormatPr baseColWidth="10" defaultRowHeight="12.75" x14ac:dyDescent="0.2"/>
  <cols>
    <col min="1" max="1" width="25.57031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65"/>
      <c r="B4" s="74">
        <v>45658</v>
      </c>
      <c r="C4" s="74">
        <v>45689</v>
      </c>
      <c r="D4" s="74">
        <v>45717</v>
      </c>
      <c r="E4" s="74">
        <v>45748</v>
      </c>
      <c r="F4" s="74">
        <v>45778</v>
      </c>
      <c r="G4" s="74">
        <v>45809</v>
      </c>
      <c r="H4" s="74">
        <v>45839</v>
      </c>
      <c r="I4" s="74">
        <v>45870</v>
      </c>
      <c r="J4" s="74">
        <v>45901</v>
      </c>
      <c r="K4" s="74">
        <v>45931</v>
      </c>
      <c r="L4" s="74">
        <v>45962</v>
      </c>
      <c r="M4" s="74">
        <v>45992</v>
      </c>
    </row>
    <row r="5" spans="1:13" x14ac:dyDescent="0.2">
      <c r="A5" s="65" t="s">
        <v>110</v>
      </c>
      <c r="B5" s="69"/>
      <c r="C5" s="69">
        <f>B16</f>
        <v>0</v>
      </c>
      <c r="D5" s="69">
        <f>C16</f>
        <v>0</v>
      </c>
      <c r="E5" s="69">
        <f>D16</f>
        <v>0</v>
      </c>
      <c r="F5" s="69">
        <f>E16</f>
        <v>0</v>
      </c>
      <c r="G5" s="69">
        <f t="shared" ref="G5:M5" si="0">F16</f>
        <v>0</v>
      </c>
      <c r="H5" s="69">
        <f t="shared" si="0"/>
        <v>0</v>
      </c>
      <c r="I5" s="69">
        <f t="shared" si="0"/>
        <v>0</v>
      </c>
      <c r="J5" s="69">
        <f t="shared" si="0"/>
        <v>50</v>
      </c>
      <c r="K5" s="69">
        <f t="shared" si="0"/>
        <v>55550</v>
      </c>
      <c r="L5" s="69">
        <f t="shared" si="0"/>
        <v>111050</v>
      </c>
      <c r="M5" s="69">
        <f t="shared" si="0"/>
        <v>100000</v>
      </c>
    </row>
    <row r="6" spans="1:13" x14ac:dyDescent="0.2">
      <c r="A6" s="65" t="s">
        <v>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>
        <v>25500</v>
      </c>
      <c r="J8" s="69">
        <v>25500</v>
      </c>
      <c r="K8" s="69">
        <v>25500</v>
      </c>
      <c r="L8" s="69">
        <v>25500</v>
      </c>
      <c r="M8" s="69">
        <v>25500</v>
      </c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/>
      <c r="C13" s="69"/>
      <c r="D13" s="69"/>
      <c r="E13" s="69"/>
      <c r="F13" s="69"/>
      <c r="G13" s="69"/>
      <c r="H13" s="69"/>
      <c r="I13" s="69"/>
      <c r="J13" s="69">
        <v>30000</v>
      </c>
      <c r="K13" s="69">
        <v>30000</v>
      </c>
      <c r="L13" s="69">
        <v>30000</v>
      </c>
      <c r="M13" s="69">
        <v>30000</v>
      </c>
    </row>
    <row r="14" spans="1:13" x14ac:dyDescent="0.2">
      <c r="A14" s="65" t="s">
        <v>6</v>
      </c>
      <c r="B14" s="70">
        <f t="shared" ref="B14:M14" si="1">SUM(B5:B13)</f>
        <v>0</v>
      </c>
      <c r="C14" s="70">
        <f t="shared" si="1"/>
        <v>0</v>
      </c>
      <c r="D14" s="70">
        <f t="shared" si="1"/>
        <v>0</v>
      </c>
      <c r="E14" s="70">
        <f t="shared" si="1"/>
        <v>0</v>
      </c>
      <c r="F14" s="70">
        <f t="shared" si="1"/>
        <v>0</v>
      </c>
      <c r="G14" s="70">
        <f t="shared" si="1"/>
        <v>0</v>
      </c>
      <c r="H14" s="70">
        <f t="shared" si="1"/>
        <v>0</v>
      </c>
      <c r="I14" s="70">
        <f t="shared" si="1"/>
        <v>25500</v>
      </c>
      <c r="J14" s="70">
        <f t="shared" si="1"/>
        <v>55550</v>
      </c>
      <c r="K14" s="70">
        <f t="shared" si="1"/>
        <v>111050</v>
      </c>
      <c r="L14" s="70">
        <f t="shared" si="1"/>
        <v>166550</v>
      </c>
      <c r="M14" s="70">
        <f t="shared" si="1"/>
        <v>155500</v>
      </c>
    </row>
    <row r="15" spans="1:13" ht="13.5" thickBot="1" x14ac:dyDescent="0.25">
      <c r="A15" s="65" t="s">
        <v>7</v>
      </c>
      <c r="B15" s="71"/>
      <c r="C15" s="71"/>
      <c r="D15" s="71"/>
      <c r="E15" s="71"/>
      <c r="F15" s="71"/>
      <c r="G15" s="71"/>
      <c r="H15" s="71"/>
      <c r="I15" s="71">
        <v>25450</v>
      </c>
      <c r="J15" s="71"/>
      <c r="K15" s="71"/>
      <c r="L15" s="71">
        <f>20000+46550</f>
        <v>66550</v>
      </c>
      <c r="M15" s="71"/>
    </row>
    <row r="16" spans="1:13" ht="13.5" thickBot="1" x14ac:dyDescent="0.25">
      <c r="A16" s="65" t="s">
        <v>111</v>
      </c>
      <c r="B16" s="75">
        <f t="shared" ref="B16:M16" si="2">B14-B15</f>
        <v>0</v>
      </c>
      <c r="C16" s="76">
        <f t="shared" si="2"/>
        <v>0</v>
      </c>
      <c r="D16" s="76">
        <f t="shared" si="2"/>
        <v>0</v>
      </c>
      <c r="E16" s="76">
        <f t="shared" si="2"/>
        <v>0</v>
      </c>
      <c r="F16" s="76">
        <f t="shared" si="2"/>
        <v>0</v>
      </c>
      <c r="G16" s="76">
        <f t="shared" si="2"/>
        <v>0</v>
      </c>
      <c r="H16" s="76">
        <f t="shared" si="2"/>
        <v>0</v>
      </c>
      <c r="I16" s="76">
        <f t="shared" si="2"/>
        <v>50</v>
      </c>
      <c r="J16" s="76">
        <f t="shared" si="2"/>
        <v>55550</v>
      </c>
      <c r="K16" s="76">
        <f t="shared" si="2"/>
        <v>111050</v>
      </c>
      <c r="L16" s="76">
        <f t="shared" si="2"/>
        <v>100000</v>
      </c>
      <c r="M16" s="76">
        <f t="shared" si="2"/>
        <v>155500</v>
      </c>
    </row>
    <row r="19" spans="1:13" ht="15.75" x14ac:dyDescent="0.25">
      <c r="A19" s="32" t="s">
        <v>0</v>
      </c>
      <c r="B19" s="32" t="s">
        <v>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x14ac:dyDescent="0.2">
      <c r="A20" s="65"/>
      <c r="B20" s="74">
        <v>46023</v>
      </c>
      <c r="C20" s="74">
        <v>46054</v>
      </c>
      <c r="D20" s="74">
        <v>46082</v>
      </c>
      <c r="E20" s="74">
        <v>46113</v>
      </c>
      <c r="F20" s="74">
        <v>46143</v>
      </c>
      <c r="G20" s="74">
        <v>46174</v>
      </c>
      <c r="H20" s="74">
        <v>46204</v>
      </c>
      <c r="I20" s="74">
        <v>46235</v>
      </c>
      <c r="J20" s="74">
        <v>46266</v>
      </c>
      <c r="K20" s="74">
        <v>46296</v>
      </c>
      <c r="L20" s="74">
        <v>46327</v>
      </c>
      <c r="M20" s="74">
        <v>46357</v>
      </c>
    </row>
    <row r="21" spans="1:13" x14ac:dyDescent="0.2">
      <c r="A21" s="65" t="s">
        <v>110</v>
      </c>
      <c r="B21" s="69">
        <v>155500</v>
      </c>
      <c r="C21" s="69">
        <f t="shared" ref="C21:M21" si="3">B32</f>
        <v>214000</v>
      </c>
      <c r="D21" s="69">
        <f t="shared" si="3"/>
        <v>272500</v>
      </c>
      <c r="E21" s="69">
        <f t="shared" si="3"/>
        <v>281000</v>
      </c>
      <c r="F21" s="69">
        <f t="shared" si="3"/>
        <v>339500</v>
      </c>
      <c r="G21" s="69">
        <f t="shared" si="3"/>
        <v>398000</v>
      </c>
      <c r="H21" s="69">
        <f t="shared" si="3"/>
        <v>398000</v>
      </c>
      <c r="I21" s="69">
        <f t="shared" si="3"/>
        <v>398000</v>
      </c>
      <c r="J21" s="69">
        <f t="shared" si="3"/>
        <v>398000</v>
      </c>
      <c r="K21" s="69">
        <f t="shared" si="3"/>
        <v>398000</v>
      </c>
      <c r="L21" s="69">
        <f t="shared" si="3"/>
        <v>398000</v>
      </c>
      <c r="M21" s="69">
        <f t="shared" si="3"/>
        <v>398000</v>
      </c>
    </row>
    <row r="22" spans="1:13" x14ac:dyDescent="0.2">
      <c r="A22" s="65" t="s">
        <v>2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 x14ac:dyDescent="0.2">
      <c r="A23" s="65" t="s">
        <v>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4</v>
      </c>
      <c r="B24" s="69">
        <v>28500</v>
      </c>
      <c r="C24" s="69">
        <v>28500</v>
      </c>
      <c r="D24" s="69">
        <v>28500</v>
      </c>
      <c r="E24" s="69">
        <v>28500</v>
      </c>
      <c r="F24" s="69">
        <v>28500</v>
      </c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2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5</v>
      </c>
      <c r="B29" s="69">
        <v>30000</v>
      </c>
      <c r="C29" s="69">
        <v>30000</v>
      </c>
      <c r="D29" s="69">
        <v>30000</v>
      </c>
      <c r="E29" s="69">
        <v>30000</v>
      </c>
      <c r="F29" s="69">
        <v>30000</v>
      </c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6</v>
      </c>
      <c r="B30" s="70">
        <f t="shared" ref="B30:M30" si="4">SUM(B21:B29)</f>
        <v>214000</v>
      </c>
      <c r="C30" s="70">
        <f t="shared" si="4"/>
        <v>272500</v>
      </c>
      <c r="D30" s="70">
        <f t="shared" si="4"/>
        <v>331000</v>
      </c>
      <c r="E30" s="70">
        <f t="shared" si="4"/>
        <v>339500</v>
      </c>
      <c r="F30" s="70">
        <f t="shared" si="4"/>
        <v>398000</v>
      </c>
      <c r="G30" s="70">
        <f t="shared" si="4"/>
        <v>398000</v>
      </c>
      <c r="H30" s="70">
        <f t="shared" si="4"/>
        <v>398000</v>
      </c>
      <c r="I30" s="70">
        <f t="shared" si="4"/>
        <v>398000</v>
      </c>
      <c r="J30" s="70">
        <f t="shared" si="4"/>
        <v>398000</v>
      </c>
      <c r="K30" s="70">
        <f t="shared" si="4"/>
        <v>398000</v>
      </c>
      <c r="L30" s="70">
        <f t="shared" si="4"/>
        <v>398000</v>
      </c>
      <c r="M30" s="70">
        <f t="shared" si="4"/>
        <v>398000</v>
      </c>
    </row>
    <row r="31" spans="1:13" ht="13.5" thickBot="1" x14ac:dyDescent="0.25">
      <c r="A31" s="65" t="s">
        <v>7</v>
      </c>
      <c r="B31" s="71"/>
      <c r="C31" s="71"/>
      <c r="D31" s="71">
        <v>50000</v>
      </c>
      <c r="E31" s="71"/>
      <c r="F31" s="71"/>
      <c r="G31" s="71"/>
      <c r="H31" s="71"/>
      <c r="I31" s="71"/>
      <c r="J31" s="71"/>
      <c r="K31" s="71"/>
      <c r="L31" s="71"/>
      <c r="M31" s="71"/>
    </row>
    <row r="32" spans="1:13" ht="13.5" thickBot="1" x14ac:dyDescent="0.25">
      <c r="A32" s="65" t="s">
        <v>111</v>
      </c>
      <c r="B32" s="75">
        <f t="shared" ref="B32:M32" si="5">B30-B31</f>
        <v>214000</v>
      </c>
      <c r="C32" s="76">
        <f t="shared" si="5"/>
        <v>272500</v>
      </c>
      <c r="D32" s="76">
        <f t="shared" si="5"/>
        <v>281000</v>
      </c>
      <c r="E32" s="76">
        <f t="shared" si="5"/>
        <v>339500</v>
      </c>
      <c r="F32" s="76">
        <f t="shared" si="5"/>
        <v>398000</v>
      </c>
      <c r="G32" s="76">
        <f t="shared" si="5"/>
        <v>398000</v>
      </c>
      <c r="H32" s="76">
        <f t="shared" si="5"/>
        <v>398000</v>
      </c>
      <c r="I32" s="76">
        <f t="shared" si="5"/>
        <v>398000</v>
      </c>
      <c r="J32" s="76">
        <f t="shared" si="5"/>
        <v>398000</v>
      </c>
      <c r="K32" s="76">
        <f t="shared" si="5"/>
        <v>398000</v>
      </c>
      <c r="L32" s="76">
        <f t="shared" si="5"/>
        <v>398000</v>
      </c>
      <c r="M32" s="76">
        <f t="shared" si="5"/>
        <v>398000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3:M34"/>
  <sheetViews>
    <sheetView topLeftCell="A4" workbookViewId="0">
      <selection activeCell="F17" sqref="F17"/>
    </sheetView>
  </sheetViews>
  <sheetFormatPr baseColWidth="10" defaultRowHeight="12.75" x14ac:dyDescent="0.2"/>
  <cols>
    <col min="1" max="1" width="32.7109375" customWidth="1"/>
    <col min="5" max="5" width="11.42578125" customWidth="1"/>
  </cols>
  <sheetData>
    <row r="3" spans="1:13" ht="20.25" x14ac:dyDescent="0.3">
      <c r="A3" s="11" t="s">
        <v>11</v>
      </c>
      <c r="B3" s="216" t="s">
        <v>689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32" t="s">
        <v>0</v>
      </c>
      <c r="B6" s="32" t="s">
        <v>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x14ac:dyDescent="0.2">
      <c r="A7" s="65"/>
      <c r="B7" s="74">
        <v>46023</v>
      </c>
      <c r="C7" s="74">
        <v>46054</v>
      </c>
      <c r="D7" s="74">
        <v>46082</v>
      </c>
      <c r="E7" s="74">
        <v>46113</v>
      </c>
      <c r="F7" s="74">
        <v>46143</v>
      </c>
      <c r="G7" s="74">
        <v>46174</v>
      </c>
      <c r="H7" s="74">
        <v>46204</v>
      </c>
      <c r="I7" s="74">
        <v>46235</v>
      </c>
      <c r="J7" s="74">
        <v>46266</v>
      </c>
      <c r="K7" s="74">
        <v>46296</v>
      </c>
      <c r="L7" s="74">
        <v>46327</v>
      </c>
      <c r="M7" s="74">
        <v>46357</v>
      </c>
    </row>
    <row r="8" spans="1:13" x14ac:dyDescent="0.2">
      <c r="A8" s="65" t="s">
        <v>110</v>
      </c>
      <c r="B8" s="69"/>
      <c r="C8" s="69">
        <f>B19</f>
        <v>0</v>
      </c>
      <c r="D8" s="69">
        <f>C19</f>
        <v>80000</v>
      </c>
      <c r="E8" s="69">
        <f>D19</f>
        <v>0</v>
      </c>
      <c r="F8" s="69">
        <f>E19</f>
        <v>66200</v>
      </c>
      <c r="G8" s="69">
        <f t="shared" ref="G8:M8" si="0">F19</f>
        <v>146200</v>
      </c>
      <c r="H8" s="69">
        <f t="shared" si="0"/>
        <v>146200</v>
      </c>
      <c r="I8" s="69">
        <f t="shared" si="0"/>
        <v>146200</v>
      </c>
      <c r="J8" s="69">
        <f t="shared" si="0"/>
        <v>146200</v>
      </c>
      <c r="K8" s="69">
        <f t="shared" si="0"/>
        <v>146200</v>
      </c>
      <c r="L8" s="69">
        <f t="shared" si="0"/>
        <v>146200</v>
      </c>
      <c r="M8" s="69">
        <f t="shared" si="0"/>
        <v>146200</v>
      </c>
    </row>
    <row r="9" spans="1:13" x14ac:dyDescent="0.2">
      <c r="A9" s="65" t="s">
        <v>2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9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3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4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5</v>
      </c>
      <c r="B16" s="69">
        <v>50000</v>
      </c>
      <c r="C16" s="69">
        <v>80000</v>
      </c>
      <c r="D16" s="69">
        <v>80000</v>
      </c>
      <c r="E16" s="69">
        <v>80000</v>
      </c>
      <c r="F16" s="69">
        <v>80000</v>
      </c>
      <c r="G16" s="69"/>
      <c r="H16" s="69"/>
      <c r="I16" s="69"/>
      <c r="J16" s="69"/>
      <c r="K16" s="69"/>
      <c r="L16" s="69"/>
      <c r="M16" s="69"/>
    </row>
    <row r="17" spans="1:13" x14ac:dyDescent="0.2">
      <c r="A17" s="65" t="s">
        <v>6</v>
      </c>
      <c r="B17" s="70">
        <f t="shared" ref="B17:M17" si="1">SUM(B8:B16)</f>
        <v>50000</v>
      </c>
      <c r="C17" s="70">
        <f t="shared" si="1"/>
        <v>80000</v>
      </c>
      <c r="D17" s="70">
        <f t="shared" si="1"/>
        <v>160000</v>
      </c>
      <c r="E17" s="70">
        <f t="shared" si="1"/>
        <v>80000</v>
      </c>
      <c r="F17" s="70">
        <f t="shared" si="1"/>
        <v>146200</v>
      </c>
      <c r="G17" s="70">
        <f t="shared" si="1"/>
        <v>146200</v>
      </c>
      <c r="H17" s="70">
        <f t="shared" si="1"/>
        <v>146200</v>
      </c>
      <c r="I17" s="70">
        <f t="shared" si="1"/>
        <v>146200</v>
      </c>
      <c r="J17" s="70">
        <f t="shared" si="1"/>
        <v>146200</v>
      </c>
      <c r="K17" s="70">
        <f t="shared" si="1"/>
        <v>146200</v>
      </c>
      <c r="L17" s="70">
        <f t="shared" si="1"/>
        <v>146200</v>
      </c>
      <c r="M17" s="70">
        <f t="shared" si="1"/>
        <v>146200</v>
      </c>
    </row>
    <row r="18" spans="1:13" ht="13.5" thickBot="1" x14ac:dyDescent="0.25">
      <c r="A18" s="65" t="s">
        <v>7</v>
      </c>
      <c r="B18" s="71">
        <v>50000</v>
      </c>
      <c r="C18" s="71"/>
      <c r="D18" s="71">
        <v>160000</v>
      </c>
      <c r="E18" s="71">
        <v>13800</v>
      </c>
      <c r="F18" s="71"/>
      <c r="G18" s="71"/>
      <c r="H18" s="71"/>
      <c r="I18" s="71"/>
      <c r="J18" s="71"/>
      <c r="K18" s="71"/>
      <c r="L18" s="71"/>
      <c r="M18" s="71"/>
    </row>
    <row r="19" spans="1:13" ht="13.5" thickBot="1" x14ac:dyDescent="0.25">
      <c r="A19" s="65" t="s">
        <v>111</v>
      </c>
      <c r="B19" s="75">
        <f t="shared" ref="B19:M19" si="2">B17-B18</f>
        <v>0</v>
      </c>
      <c r="C19" s="76">
        <f t="shared" si="2"/>
        <v>80000</v>
      </c>
      <c r="D19" s="76">
        <f t="shared" si="2"/>
        <v>0</v>
      </c>
      <c r="E19" s="76">
        <f t="shared" si="2"/>
        <v>66200</v>
      </c>
      <c r="F19" s="76">
        <f t="shared" si="2"/>
        <v>146200</v>
      </c>
      <c r="G19" s="76">
        <f t="shared" si="2"/>
        <v>146200</v>
      </c>
      <c r="H19" s="76">
        <f t="shared" si="2"/>
        <v>146200</v>
      </c>
      <c r="I19" s="76">
        <f t="shared" si="2"/>
        <v>146200</v>
      </c>
      <c r="J19" s="76">
        <f t="shared" si="2"/>
        <v>146200</v>
      </c>
      <c r="K19" s="76">
        <f t="shared" si="2"/>
        <v>146200</v>
      </c>
      <c r="L19" s="76">
        <f t="shared" si="2"/>
        <v>146200</v>
      </c>
      <c r="M19" s="76">
        <f t="shared" si="2"/>
        <v>146200</v>
      </c>
    </row>
    <row r="21" spans="1:13" ht="15.75" x14ac:dyDescent="0.25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2">
      <c r="A22" s="65"/>
      <c r="B22" s="74">
        <v>45658</v>
      </c>
      <c r="C22" s="74">
        <v>45689</v>
      </c>
      <c r="D22" s="74">
        <v>45717</v>
      </c>
      <c r="E22" s="74">
        <v>45748</v>
      </c>
      <c r="F22" s="74">
        <v>45778</v>
      </c>
      <c r="G22" s="74">
        <v>45809</v>
      </c>
      <c r="H22" s="74">
        <v>45839</v>
      </c>
      <c r="I22" s="74">
        <v>45870</v>
      </c>
      <c r="J22" s="74">
        <v>45901</v>
      </c>
      <c r="K22" s="74">
        <v>45931</v>
      </c>
      <c r="L22" s="74">
        <v>45962</v>
      </c>
      <c r="M22" s="74">
        <v>45992</v>
      </c>
    </row>
    <row r="23" spans="1:13" x14ac:dyDescent="0.2">
      <c r="A23" s="65" t="s">
        <v>110</v>
      </c>
      <c r="B23" s="69">
        <v>15000</v>
      </c>
      <c r="C23" s="69">
        <f t="shared" ref="C23:M23" si="3">B34</f>
        <v>45000</v>
      </c>
      <c r="D23" s="69">
        <f t="shared" si="3"/>
        <v>75000</v>
      </c>
      <c r="E23" s="69">
        <f t="shared" si="3"/>
        <v>105000</v>
      </c>
      <c r="F23" s="69">
        <f t="shared" si="3"/>
        <v>5000</v>
      </c>
      <c r="G23" s="69">
        <f t="shared" si="3"/>
        <v>55000</v>
      </c>
      <c r="H23" s="69">
        <f t="shared" si="3"/>
        <v>0</v>
      </c>
      <c r="I23" s="69">
        <f t="shared" si="3"/>
        <v>0</v>
      </c>
      <c r="J23" s="69">
        <f t="shared" si="3"/>
        <v>0</v>
      </c>
      <c r="K23" s="69">
        <f t="shared" si="3"/>
        <v>0</v>
      </c>
      <c r="L23" s="69">
        <f t="shared" si="3"/>
        <v>50000</v>
      </c>
      <c r="M23" s="69">
        <f t="shared" si="3"/>
        <v>100000</v>
      </c>
    </row>
    <row r="24" spans="1:13" x14ac:dyDescent="0.2">
      <c r="A24" s="65" t="s">
        <v>2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4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4</v>
      </c>
      <c r="B30" s="69"/>
      <c r="C30" s="69"/>
      <c r="D30" s="69"/>
      <c r="E30" s="69"/>
      <c r="F30" s="69"/>
      <c r="G30" s="69">
        <v>-5000</v>
      </c>
      <c r="H30" s="69"/>
      <c r="I30" s="69"/>
      <c r="J30" s="69"/>
      <c r="K30" s="69"/>
      <c r="L30" s="69"/>
      <c r="M30" s="69"/>
    </row>
    <row r="31" spans="1:13" x14ac:dyDescent="0.2">
      <c r="A31" s="65" t="s">
        <v>5</v>
      </c>
      <c r="B31" s="69">
        <v>30000</v>
      </c>
      <c r="C31" s="69">
        <v>30000</v>
      </c>
      <c r="D31" s="69">
        <v>30000</v>
      </c>
      <c r="E31" s="69">
        <v>50000</v>
      </c>
      <c r="F31" s="69">
        <v>50000</v>
      </c>
      <c r="G31" s="69">
        <v>50000</v>
      </c>
      <c r="H31" s="69">
        <v>50000</v>
      </c>
      <c r="I31" s="69">
        <v>50000</v>
      </c>
      <c r="J31" s="69">
        <v>50000</v>
      </c>
      <c r="K31" s="69">
        <v>50000</v>
      </c>
      <c r="L31" s="69">
        <v>50000</v>
      </c>
      <c r="M31" s="69">
        <v>50000</v>
      </c>
    </row>
    <row r="32" spans="1:13" x14ac:dyDescent="0.2">
      <c r="A32" s="65" t="s">
        <v>6</v>
      </c>
      <c r="B32" s="70">
        <f t="shared" ref="B32:M32" si="4">SUM(B23:B31)</f>
        <v>45000</v>
      </c>
      <c r="C32" s="70">
        <f t="shared" si="4"/>
        <v>75000</v>
      </c>
      <c r="D32" s="70">
        <f>SUM(D23:D31)</f>
        <v>105000</v>
      </c>
      <c r="E32" s="70">
        <f t="shared" si="4"/>
        <v>155000</v>
      </c>
      <c r="F32" s="70">
        <f t="shared" si="4"/>
        <v>55000</v>
      </c>
      <c r="G32" s="70">
        <f t="shared" si="4"/>
        <v>100000</v>
      </c>
      <c r="H32" s="70">
        <f t="shared" si="4"/>
        <v>50000</v>
      </c>
      <c r="I32" s="70">
        <f t="shared" si="4"/>
        <v>50000</v>
      </c>
      <c r="J32" s="70">
        <f t="shared" si="4"/>
        <v>50000</v>
      </c>
      <c r="K32" s="70">
        <f t="shared" si="4"/>
        <v>50000</v>
      </c>
      <c r="L32" s="70">
        <f t="shared" si="4"/>
        <v>100000</v>
      </c>
      <c r="M32" s="70">
        <f t="shared" si="4"/>
        <v>150000</v>
      </c>
    </row>
    <row r="33" spans="1:13" ht="13.5" thickBot="1" x14ac:dyDescent="0.25">
      <c r="A33" s="65" t="s">
        <v>7</v>
      </c>
      <c r="B33" s="71"/>
      <c r="C33" s="71"/>
      <c r="D33" s="71"/>
      <c r="E33" s="71">
        <v>150000</v>
      </c>
      <c r="F33" s="71"/>
      <c r="G33" s="71">
        <v>100000</v>
      </c>
      <c r="H33" s="71">
        <v>50000</v>
      </c>
      <c r="I33" s="71">
        <v>50000</v>
      </c>
      <c r="J33" s="71">
        <v>50000</v>
      </c>
      <c r="K33" s="71"/>
      <c r="L33" s="71"/>
      <c r="M33" s="71">
        <v>150000</v>
      </c>
    </row>
    <row r="34" spans="1:13" ht="13.5" thickBot="1" x14ac:dyDescent="0.25">
      <c r="A34" s="65" t="s">
        <v>111</v>
      </c>
      <c r="B34" s="75">
        <f t="shared" ref="B34:M34" si="5">B32-B33</f>
        <v>45000</v>
      </c>
      <c r="C34" s="76">
        <f>C32-C33</f>
        <v>75000</v>
      </c>
      <c r="D34" s="208">
        <f>D32-D33</f>
        <v>105000</v>
      </c>
      <c r="E34" s="76">
        <f t="shared" si="5"/>
        <v>5000</v>
      </c>
      <c r="F34" s="76">
        <f t="shared" si="5"/>
        <v>55000</v>
      </c>
      <c r="G34" s="76">
        <f t="shared" si="5"/>
        <v>0</v>
      </c>
      <c r="H34" s="76">
        <f t="shared" si="5"/>
        <v>0</v>
      </c>
      <c r="I34" s="76">
        <f t="shared" si="5"/>
        <v>0</v>
      </c>
      <c r="J34" s="76">
        <f t="shared" si="5"/>
        <v>0</v>
      </c>
      <c r="K34" s="76">
        <f t="shared" si="5"/>
        <v>50000</v>
      </c>
      <c r="L34" s="76">
        <f t="shared" si="5"/>
        <v>100000</v>
      </c>
      <c r="M34" s="76">
        <f t="shared" si="5"/>
        <v>0</v>
      </c>
    </row>
  </sheetData>
  <mergeCells count="1">
    <mergeCell ref="B3:G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M34"/>
  <sheetViews>
    <sheetView showGridLines="0" topLeftCell="A22" workbookViewId="0">
      <selection activeCell="F32" sqref="F32"/>
    </sheetView>
  </sheetViews>
  <sheetFormatPr baseColWidth="10" defaultRowHeight="20.25" x14ac:dyDescent="0.3"/>
  <cols>
    <col min="1" max="1" width="27.85546875" style="2" customWidth="1"/>
    <col min="2" max="4" width="11.28515625" style="2" bestFit="1" customWidth="1"/>
    <col min="5" max="5" width="12.7109375" style="2" customWidth="1"/>
    <col min="6" max="6" width="11.42578125" style="2"/>
    <col min="7" max="7" width="11.28515625" style="2" bestFit="1" customWidth="1"/>
    <col min="8" max="8" width="11.5703125" style="2" customWidth="1"/>
    <col min="9" max="9" width="11.5703125" style="2" bestFit="1" customWidth="1"/>
    <col min="10" max="10" width="11.28515625" style="2" bestFit="1" customWidth="1"/>
    <col min="11" max="12" width="11.42578125" style="2"/>
    <col min="13" max="13" width="12.85546875" style="2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737</v>
      </c>
      <c r="C2" s="216"/>
      <c r="D2" s="216"/>
      <c r="E2" s="216"/>
      <c r="F2" s="216"/>
      <c r="G2" s="216"/>
    </row>
    <row r="4" spans="1:13" x14ac:dyDescent="0.3">
      <c r="A4" s="54"/>
      <c r="B4" s="54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x14ac:dyDescent="0.3">
      <c r="A5" s="72" t="s">
        <v>0</v>
      </c>
      <c r="B5" s="72" t="s">
        <v>1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1:13" x14ac:dyDescent="0.3">
      <c r="A6" s="73"/>
      <c r="B6" s="74">
        <v>45658</v>
      </c>
      <c r="C6" s="74">
        <v>45689</v>
      </c>
      <c r="D6" s="74">
        <v>45717</v>
      </c>
      <c r="E6" s="74">
        <v>45748</v>
      </c>
      <c r="F6" s="74">
        <v>45778</v>
      </c>
      <c r="G6" s="74">
        <v>45809</v>
      </c>
      <c r="H6" s="74">
        <v>45839</v>
      </c>
      <c r="I6" s="74">
        <v>45870</v>
      </c>
      <c r="J6" s="74">
        <v>45901</v>
      </c>
      <c r="K6" s="74">
        <v>45931</v>
      </c>
      <c r="L6" s="74">
        <v>45962</v>
      </c>
      <c r="M6" s="74">
        <v>45992</v>
      </c>
    </row>
    <row r="7" spans="1:13" x14ac:dyDescent="0.3">
      <c r="A7" s="65" t="s">
        <v>110</v>
      </c>
      <c r="B7" s="69"/>
      <c r="C7" s="69">
        <f t="shared" ref="C7:M7" si="0">B18</f>
        <v>0</v>
      </c>
      <c r="D7" s="69">
        <f t="shared" si="0"/>
        <v>0</v>
      </c>
      <c r="E7" s="69">
        <f t="shared" si="0"/>
        <v>0</v>
      </c>
      <c r="F7" s="69">
        <f t="shared" si="0"/>
        <v>0</v>
      </c>
      <c r="G7" s="69">
        <f t="shared" si="0"/>
        <v>0</v>
      </c>
      <c r="H7" s="69">
        <f t="shared" si="0"/>
        <v>0</v>
      </c>
      <c r="I7" s="69">
        <f t="shared" si="0"/>
        <v>0</v>
      </c>
      <c r="J7" s="69">
        <f t="shared" si="0"/>
        <v>0</v>
      </c>
      <c r="K7" s="69">
        <f t="shared" si="0"/>
        <v>0</v>
      </c>
      <c r="L7" s="69">
        <f t="shared" si="0"/>
        <v>0</v>
      </c>
      <c r="M7" s="69">
        <f t="shared" si="0"/>
        <v>0</v>
      </c>
    </row>
    <row r="8" spans="1:13" x14ac:dyDescent="0.3">
      <c r="A8" s="65" t="s">
        <v>2</v>
      </c>
      <c r="B8" s="69"/>
      <c r="C8" s="69"/>
      <c r="D8" s="69"/>
      <c r="E8" s="69"/>
      <c r="F8" s="69"/>
      <c r="G8" s="69">
        <v>40000</v>
      </c>
      <c r="H8" s="69">
        <v>40000</v>
      </c>
      <c r="I8" s="69">
        <v>44300</v>
      </c>
      <c r="J8" s="69">
        <v>44300</v>
      </c>
      <c r="K8" s="69">
        <v>44300</v>
      </c>
      <c r="L8" s="69">
        <v>44300</v>
      </c>
      <c r="M8" s="69">
        <v>44300</v>
      </c>
    </row>
    <row r="9" spans="1:13" x14ac:dyDescent="0.3">
      <c r="A9" s="65" t="s">
        <v>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3">
      <c r="A10" s="65" t="s">
        <v>4</v>
      </c>
      <c r="B10" s="69"/>
      <c r="C10" s="69"/>
      <c r="D10" s="69"/>
      <c r="E10" s="69"/>
      <c r="F10" s="69"/>
      <c r="G10" s="69">
        <v>22800</v>
      </c>
      <c r="H10" s="69">
        <v>30000</v>
      </c>
      <c r="I10" s="69">
        <v>30000</v>
      </c>
      <c r="J10" s="69">
        <v>30000</v>
      </c>
      <c r="K10" s="69">
        <v>30000</v>
      </c>
      <c r="L10" s="69">
        <v>30000</v>
      </c>
      <c r="M10" s="69">
        <v>30000</v>
      </c>
    </row>
    <row r="11" spans="1:13" x14ac:dyDescent="0.3">
      <c r="A11" s="65" t="s">
        <v>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3">
      <c r="A12" s="65" t="s">
        <v>73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3">
      <c r="A13" s="65" t="s">
        <v>74</v>
      </c>
      <c r="B13" s="69"/>
      <c r="C13" s="69"/>
      <c r="D13" s="69"/>
      <c r="E13" s="69"/>
      <c r="F13" s="69"/>
      <c r="G13" s="69"/>
      <c r="H13" s="69">
        <v>12000</v>
      </c>
      <c r="I13" s="69">
        <v>33200</v>
      </c>
      <c r="J13" s="69">
        <v>33700</v>
      </c>
      <c r="K13" s="69">
        <v>33700</v>
      </c>
      <c r="L13" s="69">
        <v>33700</v>
      </c>
      <c r="M13" s="69">
        <v>33700</v>
      </c>
    </row>
    <row r="14" spans="1:13" x14ac:dyDescent="0.3">
      <c r="A14" s="65" t="s">
        <v>75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3">
      <c r="A15" s="65" t="s">
        <v>5</v>
      </c>
      <c r="B15" s="69"/>
      <c r="C15" s="69"/>
      <c r="D15" s="69"/>
      <c r="E15" s="69"/>
      <c r="F15" s="69"/>
      <c r="G15" s="69">
        <v>30000</v>
      </c>
      <c r="H15" s="69">
        <v>30000</v>
      </c>
      <c r="I15" s="69">
        <v>30000</v>
      </c>
      <c r="J15" s="69">
        <v>35000</v>
      </c>
      <c r="K15" s="69">
        <v>35000</v>
      </c>
      <c r="L15" s="69">
        <v>35000</v>
      </c>
      <c r="M15" s="69">
        <v>35000</v>
      </c>
    </row>
    <row r="16" spans="1:13" x14ac:dyDescent="0.3">
      <c r="A16" s="65" t="s">
        <v>6</v>
      </c>
      <c r="B16" s="70">
        <f>SUM(B7:B15)</f>
        <v>0</v>
      </c>
      <c r="C16" s="70">
        <f t="shared" ref="C16:M16" si="1">SUM(C7:C15)</f>
        <v>0</v>
      </c>
      <c r="D16" s="70">
        <f t="shared" si="1"/>
        <v>0</v>
      </c>
      <c r="E16" s="70">
        <f t="shared" si="1"/>
        <v>0</v>
      </c>
      <c r="F16" s="70">
        <f t="shared" si="1"/>
        <v>0</v>
      </c>
      <c r="G16" s="70">
        <f t="shared" si="1"/>
        <v>92800</v>
      </c>
      <c r="H16" s="70">
        <f t="shared" si="1"/>
        <v>112000</v>
      </c>
      <c r="I16" s="70">
        <f t="shared" si="1"/>
        <v>137500</v>
      </c>
      <c r="J16" s="70">
        <f t="shared" si="1"/>
        <v>143000</v>
      </c>
      <c r="K16" s="70">
        <f t="shared" si="1"/>
        <v>143000</v>
      </c>
      <c r="L16" s="70">
        <f t="shared" si="1"/>
        <v>143000</v>
      </c>
      <c r="M16" s="70">
        <f t="shared" si="1"/>
        <v>143000</v>
      </c>
    </row>
    <row r="17" spans="1:13" ht="21" thickBot="1" x14ac:dyDescent="0.35">
      <c r="A17" s="65" t="s">
        <v>7</v>
      </c>
      <c r="B17" s="71"/>
      <c r="C17" s="71"/>
      <c r="D17" s="71"/>
      <c r="E17" s="71"/>
      <c r="F17" s="71"/>
      <c r="G17" s="71">
        <v>92800</v>
      </c>
      <c r="H17" s="71">
        <v>112000</v>
      </c>
      <c r="I17" s="71">
        <v>137500</v>
      </c>
      <c r="J17" s="71">
        <v>143000</v>
      </c>
      <c r="K17" s="71">
        <v>143000</v>
      </c>
      <c r="L17" s="71">
        <v>143000</v>
      </c>
      <c r="M17" s="71">
        <v>143000</v>
      </c>
    </row>
    <row r="18" spans="1:13" ht="21" thickBot="1" x14ac:dyDescent="0.35">
      <c r="A18" s="65" t="s">
        <v>111</v>
      </c>
      <c r="B18" s="75">
        <f t="shared" ref="B18:M18" si="2">B16-B17</f>
        <v>0</v>
      </c>
      <c r="C18" s="76">
        <f t="shared" si="2"/>
        <v>0</v>
      </c>
      <c r="D18" s="76">
        <f t="shared" si="2"/>
        <v>0</v>
      </c>
      <c r="E18" s="76">
        <f t="shared" si="2"/>
        <v>0</v>
      </c>
      <c r="F18" s="76">
        <f t="shared" si="2"/>
        <v>0</v>
      </c>
      <c r="G18" s="76">
        <f t="shared" si="2"/>
        <v>0</v>
      </c>
      <c r="H18" s="76">
        <f t="shared" si="2"/>
        <v>0</v>
      </c>
      <c r="I18" s="76">
        <f t="shared" si="2"/>
        <v>0</v>
      </c>
      <c r="J18" s="76">
        <f t="shared" si="2"/>
        <v>0</v>
      </c>
      <c r="K18" s="76">
        <f t="shared" si="2"/>
        <v>0</v>
      </c>
      <c r="L18" s="76">
        <f t="shared" si="2"/>
        <v>0</v>
      </c>
      <c r="M18" s="77">
        <f t="shared" si="2"/>
        <v>0</v>
      </c>
    </row>
    <row r="21" spans="1:13" x14ac:dyDescent="0.3">
      <c r="A21" s="72" t="s">
        <v>0</v>
      </c>
      <c r="B21" s="72" t="s">
        <v>1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</row>
    <row r="22" spans="1:13" x14ac:dyDescent="0.3">
      <c r="A22" s="73"/>
      <c r="B22" s="74">
        <v>46023</v>
      </c>
      <c r="C22" s="74">
        <v>46054</v>
      </c>
      <c r="D22" s="74">
        <v>46082</v>
      </c>
      <c r="E22" s="74">
        <v>46113</v>
      </c>
      <c r="F22" s="74">
        <v>46143</v>
      </c>
      <c r="G22" s="74">
        <v>46174</v>
      </c>
      <c r="H22" s="74">
        <v>46204</v>
      </c>
      <c r="I22" s="74">
        <v>46235</v>
      </c>
      <c r="J22" s="74">
        <v>46266</v>
      </c>
      <c r="K22" s="74">
        <v>46296</v>
      </c>
      <c r="L22" s="74">
        <v>46327</v>
      </c>
      <c r="M22" s="74">
        <v>46357</v>
      </c>
    </row>
    <row r="23" spans="1:13" x14ac:dyDescent="0.3">
      <c r="A23" s="65" t="s">
        <v>110</v>
      </c>
      <c r="B23" s="69"/>
      <c r="C23" s="69">
        <f t="shared" ref="C23:M23" si="3">B34</f>
        <v>0</v>
      </c>
      <c r="D23" s="69">
        <f t="shared" si="3"/>
        <v>100</v>
      </c>
      <c r="E23" s="69">
        <f t="shared" si="3"/>
        <v>0</v>
      </c>
      <c r="F23" s="69">
        <f t="shared" si="3"/>
        <v>169100</v>
      </c>
      <c r="G23" s="69">
        <f t="shared" si="3"/>
        <v>338600</v>
      </c>
      <c r="H23" s="69">
        <f t="shared" si="3"/>
        <v>338600</v>
      </c>
      <c r="I23" s="69">
        <f t="shared" si="3"/>
        <v>338600</v>
      </c>
      <c r="J23" s="69">
        <f t="shared" si="3"/>
        <v>338600</v>
      </c>
      <c r="K23" s="69">
        <f t="shared" si="3"/>
        <v>338600</v>
      </c>
      <c r="L23" s="69">
        <f t="shared" si="3"/>
        <v>338600</v>
      </c>
      <c r="M23" s="69">
        <f t="shared" si="3"/>
        <v>338600</v>
      </c>
    </row>
    <row r="24" spans="1:13" x14ac:dyDescent="0.3">
      <c r="A24" s="65" t="s">
        <v>2</v>
      </c>
      <c r="B24" s="69">
        <v>52000</v>
      </c>
      <c r="C24" s="69">
        <v>52000</v>
      </c>
      <c r="D24" s="69">
        <v>52000</v>
      </c>
      <c r="E24" s="69">
        <v>52000</v>
      </c>
      <c r="F24" s="69">
        <v>52000</v>
      </c>
      <c r="G24" s="69"/>
      <c r="H24" s="69"/>
      <c r="I24" s="69"/>
      <c r="J24" s="69"/>
      <c r="K24" s="69"/>
      <c r="L24" s="69"/>
      <c r="M24" s="69"/>
    </row>
    <row r="25" spans="1:13" x14ac:dyDescent="0.3">
      <c r="A25" s="65" t="s">
        <v>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3">
      <c r="A26" s="65" t="s">
        <v>4</v>
      </c>
      <c r="B26" s="69">
        <v>30000</v>
      </c>
      <c r="C26" s="69">
        <v>30000</v>
      </c>
      <c r="D26" s="69">
        <v>30000</v>
      </c>
      <c r="E26" s="69">
        <v>30000</v>
      </c>
      <c r="F26" s="69">
        <v>30000</v>
      </c>
      <c r="G26" s="69"/>
      <c r="H26" s="69"/>
      <c r="I26" s="69"/>
      <c r="J26" s="69"/>
      <c r="K26" s="69"/>
      <c r="L26" s="69"/>
      <c r="M26" s="69"/>
    </row>
    <row r="27" spans="1:13" x14ac:dyDescent="0.3">
      <c r="A27" s="65" t="s">
        <v>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3">
      <c r="A28" s="65" t="s">
        <v>73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3">
      <c r="A29" s="65" t="s">
        <v>74</v>
      </c>
      <c r="B29" s="69">
        <v>35000</v>
      </c>
      <c r="C29" s="69">
        <v>37100</v>
      </c>
      <c r="D29" s="69">
        <v>37100</v>
      </c>
      <c r="E29" s="69">
        <v>37100</v>
      </c>
      <c r="F29" s="69">
        <v>37500</v>
      </c>
      <c r="G29" s="69"/>
      <c r="H29" s="69"/>
      <c r="I29" s="69"/>
      <c r="J29" s="69"/>
      <c r="K29" s="69"/>
      <c r="L29" s="69"/>
      <c r="M29" s="69"/>
    </row>
    <row r="30" spans="1:13" x14ac:dyDescent="0.3">
      <c r="A30" s="65" t="s">
        <v>75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3">
      <c r="A31" s="65" t="s">
        <v>5</v>
      </c>
      <c r="B31" s="69">
        <v>50000</v>
      </c>
      <c r="C31" s="69">
        <v>50000</v>
      </c>
      <c r="D31" s="69">
        <v>50000</v>
      </c>
      <c r="E31" s="69">
        <v>50000</v>
      </c>
      <c r="F31" s="69">
        <v>50000</v>
      </c>
      <c r="G31" s="69"/>
      <c r="H31" s="69"/>
      <c r="I31" s="69"/>
      <c r="J31" s="69"/>
      <c r="K31" s="69"/>
      <c r="L31" s="69"/>
      <c r="M31" s="69"/>
    </row>
    <row r="32" spans="1:13" x14ac:dyDescent="0.3">
      <c r="A32" s="65" t="s">
        <v>6</v>
      </c>
      <c r="B32" s="70">
        <f>SUM(B23:B31)</f>
        <v>167000</v>
      </c>
      <c r="C32" s="70">
        <f t="shared" ref="C32:M32" si="4">SUM(C23:C31)</f>
        <v>169100</v>
      </c>
      <c r="D32" s="70">
        <f t="shared" si="4"/>
        <v>169200</v>
      </c>
      <c r="E32" s="70">
        <f t="shared" si="4"/>
        <v>169100</v>
      </c>
      <c r="F32" s="70">
        <f t="shared" si="4"/>
        <v>338600</v>
      </c>
      <c r="G32" s="70">
        <f t="shared" si="4"/>
        <v>338600</v>
      </c>
      <c r="H32" s="70">
        <f t="shared" si="4"/>
        <v>338600</v>
      </c>
      <c r="I32" s="70">
        <f t="shared" si="4"/>
        <v>338600</v>
      </c>
      <c r="J32" s="70">
        <f t="shared" si="4"/>
        <v>338600</v>
      </c>
      <c r="K32" s="70">
        <f t="shared" si="4"/>
        <v>338600</v>
      </c>
      <c r="L32" s="70">
        <f t="shared" si="4"/>
        <v>338600</v>
      </c>
      <c r="M32" s="70">
        <f t="shared" si="4"/>
        <v>338600</v>
      </c>
    </row>
    <row r="33" spans="1:13" ht="21" thickBot="1" x14ac:dyDescent="0.35">
      <c r="A33" s="65" t="s">
        <v>7</v>
      </c>
      <c r="B33" s="71">
        <v>167000</v>
      </c>
      <c r="C33" s="71">
        <v>169000</v>
      </c>
      <c r="D33" s="71">
        <v>169200</v>
      </c>
      <c r="E33" s="71"/>
      <c r="F33" s="71"/>
      <c r="G33" s="71"/>
      <c r="H33" s="71"/>
      <c r="I33" s="71"/>
      <c r="J33" s="71"/>
      <c r="K33" s="71"/>
      <c r="L33" s="71"/>
      <c r="M33" s="71"/>
    </row>
    <row r="34" spans="1:13" ht="21" thickBot="1" x14ac:dyDescent="0.35">
      <c r="A34" s="65" t="s">
        <v>111</v>
      </c>
      <c r="B34" s="75">
        <f t="shared" ref="B34:M34" si="5">B32-B33</f>
        <v>0</v>
      </c>
      <c r="C34" s="76">
        <f t="shared" si="5"/>
        <v>100</v>
      </c>
      <c r="D34" s="76">
        <f t="shared" si="5"/>
        <v>0</v>
      </c>
      <c r="E34" s="76">
        <f t="shared" si="5"/>
        <v>169100</v>
      </c>
      <c r="F34" s="76">
        <f t="shared" si="5"/>
        <v>338600</v>
      </c>
      <c r="G34" s="76">
        <f t="shared" si="5"/>
        <v>338600</v>
      </c>
      <c r="H34" s="76">
        <f t="shared" si="5"/>
        <v>338600</v>
      </c>
      <c r="I34" s="76">
        <f t="shared" si="5"/>
        <v>338600</v>
      </c>
      <c r="J34" s="76">
        <f t="shared" si="5"/>
        <v>338600</v>
      </c>
      <c r="K34" s="76">
        <f t="shared" si="5"/>
        <v>338600</v>
      </c>
      <c r="L34" s="76">
        <f t="shared" si="5"/>
        <v>338600</v>
      </c>
      <c r="M34" s="77">
        <f t="shared" si="5"/>
        <v>338600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"/>
  <sheetViews>
    <sheetView workbookViewId="0">
      <selection activeCell="I28" sqref="I28"/>
    </sheetView>
  </sheetViews>
  <sheetFormatPr baseColWidth="10" defaultRowHeight="12.75" x14ac:dyDescent="0.2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2:M62"/>
  <sheetViews>
    <sheetView showGridLines="0" topLeftCell="A28" workbookViewId="0">
      <selection activeCell="M41" sqref="M41"/>
    </sheetView>
  </sheetViews>
  <sheetFormatPr baseColWidth="10" defaultRowHeight="12.75" x14ac:dyDescent="0.2"/>
  <cols>
    <col min="1" max="1" width="26.28515625" customWidth="1"/>
    <col min="2" max="2" width="12.28515625" customWidth="1"/>
    <col min="3" max="3" width="10.5703125" customWidth="1"/>
    <col min="4" max="4" width="10.7109375" customWidth="1"/>
    <col min="5" max="5" width="10.5703125" customWidth="1"/>
    <col min="6" max="6" width="12.85546875" customWidth="1"/>
    <col min="7" max="7" width="12.7109375" customWidth="1"/>
    <col min="8" max="8" width="13" customWidth="1"/>
    <col min="9" max="9" width="12.5703125" customWidth="1"/>
    <col min="10" max="10" width="13.5703125" customWidth="1"/>
    <col min="11" max="11" width="13.5703125" bestFit="1" customWidth="1"/>
    <col min="12" max="12" width="12.7109375" customWidth="1"/>
    <col min="13" max="13" width="12.85546875" customWidth="1"/>
  </cols>
  <sheetData>
    <row r="2" spans="1:13" ht="27" x14ac:dyDescent="0.35">
      <c r="A2" s="7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.25" x14ac:dyDescent="0.3">
      <c r="A3" s="11" t="s">
        <v>11</v>
      </c>
      <c r="B3" s="216" t="s">
        <v>79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0.25" x14ac:dyDescent="0.3">
      <c r="A5" s="1" t="s">
        <v>0</v>
      </c>
      <c r="B5" s="1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8" x14ac:dyDescent="0.25">
      <c r="A6" s="17"/>
      <c r="B6" s="82">
        <v>43466</v>
      </c>
      <c r="C6" s="82">
        <v>43497</v>
      </c>
      <c r="D6" s="82">
        <v>43525</v>
      </c>
      <c r="E6" s="82">
        <v>43556</v>
      </c>
      <c r="F6" s="82">
        <v>43586</v>
      </c>
      <c r="G6" s="82">
        <v>43617</v>
      </c>
      <c r="H6" s="82">
        <v>43647</v>
      </c>
      <c r="I6" s="82">
        <v>43678</v>
      </c>
      <c r="J6" s="82">
        <v>43709</v>
      </c>
      <c r="K6" s="82">
        <v>43739</v>
      </c>
      <c r="L6" s="82">
        <v>43770</v>
      </c>
      <c r="M6" s="82">
        <v>43800</v>
      </c>
    </row>
    <row r="7" spans="1:13" x14ac:dyDescent="0.2">
      <c r="A7" s="78" t="s">
        <v>76</v>
      </c>
      <c r="B7" s="42">
        <v>50000</v>
      </c>
      <c r="C7" s="42">
        <f>B18</f>
        <v>52000</v>
      </c>
      <c r="D7" s="42">
        <f t="shared" ref="D7:M7" si="0">C18</f>
        <v>54000</v>
      </c>
      <c r="E7" s="42">
        <f t="shared" si="0"/>
        <v>56000</v>
      </c>
      <c r="F7" s="42">
        <f t="shared" si="0"/>
        <v>58000</v>
      </c>
      <c r="G7" s="42">
        <f t="shared" si="0"/>
        <v>60000</v>
      </c>
      <c r="H7" s="42">
        <f t="shared" si="0"/>
        <v>62000</v>
      </c>
      <c r="I7" s="42">
        <f t="shared" si="0"/>
        <v>64000</v>
      </c>
      <c r="J7" s="42">
        <f t="shared" si="0"/>
        <v>66000</v>
      </c>
      <c r="K7" s="42">
        <f t="shared" si="0"/>
        <v>68000</v>
      </c>
      <c r="L7" s="42">
        <f t="shared" si="0"/>
        <v>70000</v>
      </c>
      <c r="M7" s="42">
        <f t="shared" si="0"/>
        <v>72000</v>
      </c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>
        <v>-4000</v>
      </c>
    </row>
    <row r="14" spans="1:13" x14ac:dyDescent="0.2">
      <c r="A14" s="78" t="s">
        <v>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2">
        <v>2000</v>
      </c>
      <c r="C15" s="42">
        <v>2000</v>
      </c>
      <c r="D15" s="42">
        <v>2000</v>
      </c>
      <c r="E15" s="42">
        <v>2000</v>
      </c>
      <c r="F15" s="42">
        <v>2000</v>
      </c>
      <c r="G15" s="42">
        <v>2000</v>
      </c>
      <c r="H15" s="42">
        <v>2000</v>
      </c>
      <c r="I15" s="42">
        <v>2000</v>
      </c>
      <c r="J15" s="42">
        <v>2000</v>
      </c>
      <c r="K15" s="42">
        <v>2000</v>
      </c>
      <c r="L15" s="42">
        <v>2000</v>
      </c>
      <c r="M15" s="42">
        <v>2000</v>
      </c>
    </row>
    <row r="16" spans="1:13" x14ac:dyDescent="0.2">
      <c r="A16" s="78" t="s">
        <v>7</v>
      </c>
      <c r="B16" s="43">
        <f t="shared" ref="B16:M16" si="1">SUM(B7:B15)</f>
        <v>52000</v>
      </c>
      <c r="C16" s="43">
        <f t="shared" si="1"/>
        <v>54000</v>
      </c>
      <c r="D16" s="43">
        <f t="shared" si="1"/>
        <v>56000</v>
      </c>
      <c r="E16" s="43">
        <f t="shared" si="1"/>
        <v>58000</v>
      </c>
      <c r="F16" s="43">
        <f t="shared" si="1"/>
        <v>60000</v>
      </c>
      <c r="G16" s="43">
        <f t="shared" si="1"/>
        <v>62000</v>
      </c>
      <c r="H16" s="43">
        <f t="shared" si="1"/>
        <v>64000</v>
      </c>
      <c r="I16" s="43">
        <f t="shared" si="1"/>
        <v>66000</v>
      </c>
      <c r="J16" s="43">
        <f t="shared" si="1"/>
        <v>68000</v>
      </c>
      <c r="K16" s="43">
        <f t="shared" si="1"/>
        <v>70000</v>
      </c>
      <c r="L16" s="43">
        <f t="shared" si="1"/>
        <v>72000</v>
      </c>
      <c r="M16" s="43">
        <f t="shared" si="1"/>
        <v>70000</v>
      </c>
    </row>
    <row r="17" spans="1:13" ht="13.5" thickBot="1" x14ac:dyDescent="0.25">
      <c r="A17" s="78" t="s">
        <v>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>
        <v>70000</v>
      </c>
    </row>
    <row r="18" spans="1:13" ht="13.5" thickBot="1" x14ac:dyDescent="0.25">
      <c r="A18" s="78" t="s">
        <v>10</v>
      </c>
      <c r="B18" s="45">
        <f t="shared" ref="B18:M18" si="2">B16-B17</f>
        <v>52000</v>
      </c>
      <c r="C18" s="46">
        <f t="shared" si="2"/>
        <v>54000</v>
      </c>
      <c r="D18" s="46">
        <f t="shared" si="2"/>
        <v>56000</v>
      </c>
      <c r="E18" s="46">
        <f t="shared" si="2"/>
        <v>58000</v>
      </c>
      <c r="F18" s="46">
        <f t="shared" si="2"/>
        <v>60000</v>
      </c>
      <c r="G18" s="46">
        <f t="shared" si="2"/>
        <v>62000</v>
      </c>
      <c r="H18" s="46">
        <f t="shared" si="2"/>
        <v>64000</v>
      </c>
      <c r="I18" s="46">
        <f t="shared" si="2"/>
        <v>66000</v>
      </c>
      <c r="J18" s="46">
        <f t="shared" si="2"/>
        <v>68000</v>
      </c>
      <c r="K18" s="46">
        <f t="shared" si="2"/>
        <v>70000</v>
      </c>
      <c r="L18" s="46">
        <f t="shared" si="2"/>
        <v>72000</v>
      </c>
      <c r="M18" s="47">
        <f t="shared" si="2"/>
        <v>0</v>
      </c>
    </row>
    <row r="19" spans="1:13" x14ac:dyDescent="0.2">
      <c r="A19" s="78"/>
    </row>
    <row r="20" spans="1:13" x14ac:dyDescent="0.2">
      <c r="A20" s="78"/>
    </row>
    <row r="21" spans="1:13" x14ac:dyDescent="0.2">
      <c r="A21" s="78"/>
      <c r="E21" t="s">
        <v>461</v>
      </c>
    </row>
    <row r="22" spans="1:13" x14ac:dyDescent="0.2">
      <c r="A22" s="78"/>
      <c r="E22" t="s">
        <v>462</v>
      </c>
    </row>
    <row r="23" spans="1:13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x14ac:dyDescent="0.2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3" x14ac:dyDescent="0.2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</row>
    <row r="26" spans="1:13" x14ac:dyDescent="0.2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</row>
    <row r="27" spans="1:13" x14ac:dyDescent="0.2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</row>
    <row r="28" spans="1:13" x14ac:dyDescent="0.2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</row>
    <row r="29" spans="1:13" x14ac:dyDescent="0.2">
      <c r="A29" s="80" t="s">
        <v>0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</row>
    <row r="30" spans="1:13" x14ac:dyDescent="0.2">
      <c r="A30" s="81"/>
      <c r="B30" s="74">
        <v>45658</v>
      </c>
      <c r="C30" s="74">
        <v>45689</v>
      </c>
      <c r="D30" s="74">
        <v>45717</v>
      </c>
      <c r="E30" s="74">
        <v>45748</v>
      </c>
      <c r="F30" s="74">
        <v>45778</v>
      </c>
      <c r="G30" s="74">
        <v>45809</v>
      </c>
      <c r="H30" s="74">
        <v>45839</v>
      </c>
      <c r="I30" s="74">
        <v>45870</v>
      </c>
      <c r="J30" s="74">
        <v>45901</v>
      </c>
      <c r="K30" s="74">
        <v>45931</v>
      </c>
      <c r="L30" s="74">
        <v>45962</v>
      </c>
      <c r="M30" s="74">
        <v>45992</v>
      </c>
    </row>
    <row r="31" spans="1:13" x14ac:dyDescent="0.2">
      <c r="A31" s="78" t="s">
        <v>110</v>
      </c>
      <c r="B31" s="69"/>
      <c r="C31" s="69">
        <f t="shared" ref="C31:M31" si="3">B42</f>
        <v>150000</v>
      </c>
      <c r="D31" s="69">
        <f t="shared" si="3"/>
        <v>300000</v>
      </c>
      <c r="E31" s="69">
        <f t="shared" si="3"/>
        <v>450000</v>
      </c>
      <c r="F31" s="69">
        <f t="shared" si="3"/>
        <v>600000</v>
      </c>
      <c r="G31" s="69">
        <f t="shared" si="3"/>
        <v>750000</v>
      </c>
      <c r="H31" s="69">
        <f t="shared" si="3"/>
        <v>900000</v>
      </c>
      <c r="I31" s="69">
        <f t="shared" si="3"/>
        <v>1050000</v>
      </c>
      <c r="J31" s="69">
        <f t="shared" si="3"/>
        <v>1200000</v>
      </c>
      <c r="K31" s="69">
        <f t="shared" si="3"/>
        <v>1350000</v>
      </c>
      <c r="L31" s="69">
        <f t="shared" si="3"/>
        <v>1500000</v>
      </c>
      <c r="M31" s="69">
        <f t="shared" si="3"/>
        <v>1650000</v>
      </c>
    </row>
    <row r="32" spans="1:13" x14ac:dyDescent="0.2">
      <c r="A32" s="78" t="s">
        <v>144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1:13" x14ac:dyDescent="0.2">
      <c r="A33" s="78" t="s">
        <v>3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 x14ac:dyDescent="0.2">
      <c r="A34" s="78" t="s">
        <v>4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1:13" x14ac:dyDescent="0.2">
      <c r="A35" s="78" t="s">
        <v>9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</row>
    <row r="36" spans="1:13" x14ac:dyDescent="0.2">
      <c r="A36" s="78" t="s">
        <v>73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</row>
    <row r="37" spans="1:13" x14ac:dyDescent="0.2">
      <c r="A37" s="78" t="s">
        <v>74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</row>
    <row r="38" spans="1:13" x14ac:dyDescent="0.2">
      <c r="A38" s="78" t="s">
        <v>75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</row>
    <row r="39" spans="1:13" x14ac:dyDescent="0.2">
      <c r="A39" s="78" t="s">
        <v>5</v>
      </c>
      <c r="B39" s="69">
        <v>150000</v>
      </c>
      <c r="C39" s="69">
        <v>150000</v>
      </c>
      <c r="D39" s="69">
        <v>150000</v>
      </c>
      <c r="E39" s="69">
        <v>150000</v>
      </c>
      <c r="F39" s="69">
        <v>150000</v>
      </c>
      <c r="G39" s="69">
        <v>150000</v>
      </c>
      <c r="H39" s="69">
        <v>150000</v>
      </c>
      <c r="I39" s="69">
        <v>150000</v>
      </c>
      <c r="J39" s="69">
        <v>150000</v>
      </c>
      <c r="K39" s="69">
        <v>150000</v>
      </c>
      <c r="L39" s="69">
        <v>150000</v>
      </c>
      <c r="M39" s="69">
        <v>150000</v>
      </c>
    </row>
    <row r="40" spans="1:13" x14ac:dyDescent="0.2">
      <c r="A40" s="78" t="s">
        <v>6</v>
      </c>
      <c r="B40" s="70">
        <f t="shared" ref="B40:M40" si="4">SUM(B31:B39)</f>
        <v>150000</v>
      </c>
      <c r="C40" s="70">
        <f t="shared" si="4"/>
        <v>300000</v>
      </c>
      <c r="D40" s="70">
        <f t="shared" si="4"/>
        <v>450000</v>
      </c>
      <c r="E40" s="70">
        <f t="shared" si="4"/>
        <v>600000</v>
      </c>
      <c r="F40" s="70">
        <f t="shared" si="4"/>
        <v>750000</v>
      </c>
      <c r="G40" s="70">
        <f t="shared" si="4"/>
        <v>900000</v>
      </c>
      <c r="H40" s="70">
        <f t="shared" si="4"/>
        <v>1050000</v>
      </c>
      <c r="I40" s="70">
        <f t="shared" si="4"/>
        <v>1200000</v>
      </c>
      <c r="J40" s="70">
        <f t="shared" si="4"/>
        <v>1350000</v>
      </c>
      <c r="K40" s="70">
        <f t="shared" si="4"/>
        <v>1500000</v>
      </c>
      <c r="L40" s="70">
        <f t="shared" si="4"/>
        <v>1650000</v>
      </c>
      <c r="M40" s="70">
        <f t="shared" si="4"/>
        <v>1800000</v>
      </c>
    </row>
    <row r="41" spans="1:13" ht="13.5" thickBot="1" x14ac:dyDescent="0.25">
      <c r="A41" s="78" t="s">
        <v>7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</row>
    <row r="42" spans="1:13" ht="13.5" thickBot="1" x14ac:dyDescent="0.25">
      <c r="A42" s="78" t="s">
        <v>111</v>
      </c>
      <c r="B42" s="75">
        <f t="shared" ref="B42:M42" si="5">B40-B41</f>
        <v>150000</v>
      </c>
      <c r="C42" s="76">
        <f t="shared" si="5"/>
        <v>300000</v>
      </c>
      <c r="D42" s="76">
        <f t="shared" si="5"/>
        <v>450000</v>
      </c>
      <c r="E42" s="76">
        <f t="shared" si="5"/>
        <v>600000</v>
      </c>
      <c r="F42" s="76">
        <f t="shared" si="5"/>
        <v>750000</v>
      </c>
      <c r="G42" s="76">
        <f t="shared" si="5"/>
        <v>900000</v>
      </c>
      <c r="H42" s="76">
        <f t="shared" si="5"/>
        <v>1050000</v>
      </c>
      <c r="I42" s="76">
        <f t="shared" si="5"/>
        <v>1200000</v>
      </c>
      <c r="J42" s="76">
        <f t="shared" si="5"/>
        <v>1350000</v>
      </c>
      <c r="K42" s="76">
        <f t="shared" si="5"/>
        <v>1500000</v>
      </c>
      <c r="L42" s="76">
        <f t="shared" si="5"/>
        <v>1650000</v>
      </c>
      <c r="M42" s="76">
        <f t="shared" si="5"/>
        <v>1800000</v>
      </c>
    </row>
    <row r="43" spans="1:13" x14ac:dyDescent="0.2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r="44" spans="1:13" x14ac:dyDescent="0.2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  <row r="50" spans="1:13" x14ac:dyDescent="0.2">
      <c r="A50" s="78"/>
      <c r="B50" s="74">
        <v>45292</v>
      </c>
      <c r="C50" s="74">
        <v>45323</v>
      </c>
      <c r="D50" s="74">
        <v>45352</v>
      </c>
      <c r="E50" s="74">
        <v>45383</v>
      </c>
      <c r="F50" s="74">
        <v>45413</v>
      </c>
      <c r="G50" s="74">
        <v>45444</v>
      </c>
      <c r="H50" s="74">
        <v>45474</v>
      </c>
      <c r="I50" s="74">
        <v>45505</v>
      </c>
      <c r="J50" s="74">
        <v>45536</v>
      </c>
      <c r="K50" s="74">
        <v>45566</v>
      </c>
      <c r="L50" s="74">
        <v>45597</v>
      </c>
      <c r="M50" s="74">
        <v>45627</v>
      </c>
    </row>
    <row r="51" spans="1:13" x14ac:dyDescent="0.2">
      <c r="A51" s="78" t="s">
        <v>110</v>
      </c>
      <c r="B51" s="69">
        <v>120000</v>
      </c>
      <c r="C51" s="69">
        <f>B62</f>
        <v>210000</v>
      </c>
      <c r="D51" s="69">
        <f t="shared" ref="D51:M51" si="6">C62</f>
        <v>300000</v>
      </c>
      <c r="E51" s="69">
        <f t="shared" si="6"/>
        <v>390000</v>
      </c>
      <c r="F51" s="69">
        <f t="shared" si="6"/>
        <v>480000</v>
      </c>
      <c r="G51" s="69">
        <f t="shared" si="6"/>
        <v>570000</v>
      </c>
      <c r="H51" s="69">
        <f t="shared" si="6"/>
        <v>660000</v>
      </c>
      <c r="I51" s="69">
        <f t="shared" si="6"/>
        <v>750000</v>
      </c>
      <c r="J51" s="69">
        <f t="shared" si="6"/>
        <v>840000</v>
      </c>
      <c r="K51" s="69">
        <f t="shared" si="6"/>
        <v>930000</v>
      </c>
      <c r="L51" s="69">
        <f t="shared" si="6"/>
        <v>1020000</v>
      </c>
      <c r="M51" s="69">
        <f t="shared" si="6"/>
        <v>1110000</v>
      </c>
    </row>
    <row r="52" spans="1:13" x14ac:dyDescent="0.2">
      <c r="A52" s="78" t="s">
        <v>144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</row>
    <row r="53" spans="1:13" x14ac:dyDescent="0.2">
      <c r="A53" s="78" t="s">
        <v>3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</row>
    <row r="54" spans="1:13" x14ac:dyDescent="0.2">
      <c r="A54" s="78" t="s">
        <v>4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spans="1:13" x14ac:dyDescent="0.2">
      <c r="A55" s="78" t="s">
        <v>9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  <row r="56" spans="1:13" x14ac:dyDescent="0.2">
      <c r="A56" s="78" t="s">
        <v>73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spans="1:13" x14ac:dyDescent="0.2">
      <c r="A57" s="78" t="s">
        <v>74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spans="1:13" x14ac:dyDescent="0.2">
      <c r="A58" s="78" t="s">
        <v>75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spans="1:13" x14ac:dyDescent="0.2">
      <c r="A59" s="78" t="s">
        <v>5</v>
      </c>
      <c r="B59" s="69">
        <v>90000</v>
      </c>
      <c r="C59" s="69">
        <v>90000</v>
      </c>
      <c r="D59" s="69">
        <v>90000</v>
      </c>
      <c r="E59" s="69">
        <v>90000</v>
      </c>
      <c r="F59" s="69">
        <v>90000</v>
      </c>
      <c r="G59" s="69">
        <v>90000</v>
      </c>
      <c r="H59" s="69">
        <v>90000</v>
      </c>
      <c r="I59" s="69">
        <v>90000</v>
      </c>
      <c r="J59" s="69">
        <v>90000</v>
      </c>
      <c r="K59" s="69">
        <v>90000</v>
      </c>
      <c r="L59" s="69">
        <v>90000</v>
      </c>
      <c r="M59" s="69">
        <v>90000</v>
      </c>
    </row>
    <row r="60" spans="1:13" x14ac:dyDescent="0.2">
      <c r="A60" s="78" t="s">
        <v>6</v>
      </c>
      <c r="B60" s="69">
        <f>SUM(B51:B59)</f>
        <v>210000</v>
      </c>
      <c r="C60" s="70">
        <f t="shared" ref="C60:M60" si="7">SUM(C51:C59)</f>
        <v>300000</v>
      </c>
      <c r="D60" s="70">
        <f t="shared" si="7"/>
        <v>390000</v>
      </c>
      <c r="E60" s="70">
        <f t="shared" si="7"/>
        <v>480000</v>
      </c>
      <c r="F60" s="70">
        <f t="shared" si="7"/>
        <v>570000</v>
      </c>
      <c r="G60" s="70">
        <f t="shared" si="7"/>
        <v>660000</v>
      </c>
      <c r="H60" s="70">
        <f t="shared" si="7"/>
        <v>750000</v>
      </c>
      <c r="I60" s="70">
        <f t="shared" si="7"/>
        <v>840000</v>
      </c>
      <c r="J60" s="70">
        <f t="shared" si="7"/>
        <v>930000</v>
      </c>
      <c r="K60" s="70">
        <f t="shared" si="7"/>
        <v>1020000</v>
      </c>
      <c r="L60" s="70">
        <f t="shared" si="7"/>
        <v>1110000</v>
      </c>
      <c r="M60" s="70">
        <f t="shared" si="7"/>
        <v>1200000</v>
      </c>
    </row>
    <row r="61" spans="1:13" ht="13.5" thickBot="1" x14ac:dyDescent="0.25">
      <c r="A61" s="78" t="s">
        <v>7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>
        <v>1200000</v>
      </c>
    </row>
    <row r="62" spans="1:13" ht="13.5" thickBot="1" x14ac:dyDescent="0.25">
      <c r="A62" s="78" t="s">
        <v>111</v>
      </c>
      <c r="B62" s="75">
        <f t="shared" ref="B62:M62" si="8">B60-B61</f>
        <v>210000</v>
      </c>
      <c r="C62" s="76">
        <f t="shared" si="8"/>
        <v>300000</v>
      </c>
      <c r="D62" s="76">
        <f t="shared" si="8"/>
        <v>390000</v>
      </c>
      <c r="E62" s="76">
        <f t="shared" si="8"/>
        <v>480000</v>
      </c>
      <c r="F62" s="76">
        <f t="shared" si="8"/>
        <v>570000</v>
      </c>
      <c r="G62" s="76">
        <f t="shared" si="8"/>
        <v>660000</v>
      </c>
      <c r="H62" s="76">
        <f t="shared" si="8"/>
        <v>750000</v>
      </c>
      <c r="I62" s="76">
        <f t="shared" si="8"/>
        <v>840000</v>
      </c>
      <c r="J62" s="76">
        <f t="shared" si="8"/>
        <v>930000</v>
      </c>
      <c r="K62" s="76">
        <f t="shared" si="8"/>
        <v>1020000</v>
      </c>
      <c r="L62" s="76">
        <f t="shared" si="8"/>
        <v>1110000</v>
      </c>
      <c r="M62" s="77">
        <f t="shared" si="8"/>
        <v>0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4:M34"/>
  <sheetViews>
    <sheetView topLeftCell="A14" workbookViewId="0">
      <selection activeCell="G35" sqref="G35"/>
    </sheetView>
  </sheetViews>
  <sheetFormatPr baseColWidth="10" defaultRowHeight="12.75" x14ac:dyDescent="0.2"/>
  <cols>
    <col min="1" max="1" width="26.140625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2">
      <c r="A6" s="78" t="s">
        <v>110</v>
      </c>
      <c r="B6" s="42"/>
      <c r="C6" s="42">
        <f>B17</f>
        <v>42300</v>
      </c>
      <c r="D6" s="42">
        <f t="shared" ref="D6:M6" si="0">C17</f>
        <v>84600</v>
      </c>
      <c r="E6" s="42">
        <f t="shared" si="0"/>
        <v>69800</v>
      </c>
      <c r="F6" s="42">
        <f t="shared" si="0"/>
        <v>51500</v>
      </c>
      <c r="G6" s="42">
        <f t="shared" si="0"/>
        <v>103800</v>
      </c>
      <c r="H6" s="42">
        <f t="shared" si="0"/>
        <v>156100</v>
      </c>
      <c r="I6" s="42">
        <f t="shared" si="0"/>
        <v>408100</v>
      </c>
      <c r="J6" s="42">
        <f t="shared" si="0"/>
        <v>424100</v>
      </c>
      <c r="K6" s="42">
        <f>J17</f>
        <v>497100</v>
      </c>
      <c r="L6" s="42">
        <f t="shared" si="0"/>
        <v>570100</v>
      </c>
      <c r="M6" s="42">
        <f t="shared" si="0"/>
        <v>543100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>
        <v>22300</v>
      </c>
      <c r="C9" s="42">
        <v>22300</v>
      </c>
      <c r="D9" s="42">
        <v>22300</v>
      </c>
      <c r="E9" s="42">
        <v>22300</v>
      </c>
      <c r="F9" s="42">
        <v>22300</v>
      </c>
      <c r="G9" s="42">
        <v>22300</v>
      </c>
      <c r="H9" s="42">
        <v>28000</v>
      </c>
      <c r="I9" s="42">
        <v>28000</v>
      </c>
      <c r="J9" s="42">
        <v>28000</v>
      </c>
      <c r="K9" s="42">
        <v>28000</v>
      </c>
      <c r="L9" s="42">
        <v>28000</v>
      </c>
      <c r="M9" s="42">
        <v>28000</v>
      </c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633</v>
      </c>
      <c r="B12" s="42"/>
      <c r="C12" s="42"/>
      <c r="D12" s="42">
        <f>19200+11500+12200</f>
        <v>42900</v>
      </c>
      <c r="E12" s="42">
        <v>39400</v>
      </c>
      <c r="F12" s="42"/>
      <c r="G12" s="42"/>
      <c r="H12" s="42">
        <f>38000*13</f>
        <v>494000</v>
      </c>
      <c r="I12" s="42">
        <f>38000+20000</f>
        <v>58000</v>
      </c>
      <c r="J12" s="42">
        <v>15000</v>
      </c>
      <c r="K12" s="42">
        <v>15000</v>
      </c>
      <c r="L12" s="42">
        <v>15000</v>
      </c>
      <c r="M12" s="42">
        <v>15000</v>
      </c>
    </row>
    <row r="13" spans="1:13" x14ac:dyDescent="0.2">
      <c r="A13" s="7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20000</v>
      </c>
      <c r="C14" s="42">
        <v>20000</v>
      </c>
      <c r="D14" s="42">
        <v>20000</v>
      </c>
      <c r="E14" s="42">
        <v>20000</v>
      </c>
      <c r="F14" s="42">
        <v>30000</v>
      </c>
      <c r="G14" s="42">
        <v>30000</v>
      </c>
      <c r="H14" s="42">
        <v>30000</v>
      </c>
      <c r="I14" s="42">
        <v>30000</v>
      </c>
      <c r="J14" s="42">
        <v>30000</v>
      </c>
      <c r="K14" s="42">
        <v>30000</v>
      </c>
      <c r="L14" s="42">
        <v>30000</v>
      </c>
      <c r="M14" s="42">
        <v>30000</v>
      </c>
    </row>
    <row r="15" spans="1:13" x14ac:dyDescent="0.2">
      <c r="A15" s="78" t="s">
        <v>6</v>
      </c>
      <c r="B15" s="43">
        <f>SUM(B6:B14)</f>
        <v>42300</v>
      </c>
      <c r="C15" s="43">
        <f t="shared" ref="C15:M15" si="1">SUM(C6:C14)</f>
        <v>84600</v>
      </c>
      <c r="D15" s="43">
        <f t="shared" si="1"/>
        <v>169800</v>
      </c>
      <c r="E15" s="43">
        <f t="shared" si="1"/>
        <v>151500</v>
      </c>
      <c r="F15" s="43">
        <f t="shared" si="1"/>
        <v>103800</v>
      </c>
      <c r="G15" s="43">
        <f t="shared" si="1"/>
        <v>156100</v>
      </c>
      <c r="H15" s="43">
        <f t="shared" si="1"/>
        <v>708100</v>
      </c>
      <c r="I15" s="43">
        <f t="shared" si="1"/>
        <v>524100</v>
      </c>
      <c r="J15" s="43">
        <f t="shared" si="1"/>
        <v>497100</v>
      </c>
      <c r="K15" s="43">
        <f t="shared" si="1"/>
        <v>570100</v>
      </c>
      <c r="L15" s="43">
        <f t="shared" si="1"/>
        <v>643100</v>
      </c>
      <c r="M15" s="43">
        <f t="shared" si="1"/>
        <v>616100</v>
      </c>
    </row>
    <row r="16" spans="1:13" x14ac:dyDescent="0.2">
      <c r="A16" s="78" t="s">
        <v>7</v>
      </c>
      <c r="B16" s="44"/>
      <c r="C16" s="44"/>
      <c r="D16" s="44">
        <v>100000</v>
      </c>
      <c r="E16" s="44">
        <v>100000</v>
      </c>
      <c r="F16" s="44"/>
      <c r="G16" s="44"/>
      <c r="H16" s="44">
        <f>100000+100000+100000</f>
        <v>300000</v>
      </c>
      <c r="I16" s="44">
        <v>100000</v>
      </c>
      <c r="J16" s="44"/>
      <c r="K16" s="44"/>
      <c r="L16" s="44">
        <v>100000</v>
      </c>
      <c r="M16" s="44">
        <v>100000</v>
      </c>
    </row>
    <row r="17" spans="1:13" x14ac:dyDescent="0.2">
      <c r="A17" s="78" t="s">
        <v>111</v>
      </c>
      <c r="B17" s="43">
        <f>B15-B16</f>
        <v>42300</v>
      </c>
      <c r="C17" s="43">
        <f>C15-C16</f>
        <v>84600</v>
      </c>
      <c r="D17" s="43">
        <f t="shared" ref="D17:M17" si="2">D15-D16</f>
        <v>69800</v>
      </c>
      <c r="E17" s="43">
        <f>E15-E16</f>
        <v>51500</v>
      </c>
      <c r="F17" s="43">
        <f t="shared" si="2"/>
        <v>103800</v>
      </c>
      <c r="G17" s="43">
        <f t="shared" si="2"/>
        <v>156100</v>
      </c>
      <c r="H17" s="43">
        <f t="shared" si="2"/>
        <v>408100</v>
      </c>
      <c r="I17" s="43">
        <f t="shared" si="2"/>
        <v>424100</v>
      </c>
      <c r="J17" s="43">
        <f t="shared" si="2"/>
        <v>497100</v>
      </c>
      <c r="K17" s="43">
        <f t="shared" si="2"/>
        <v>570100</v>
      </c>
      <c r="L17" s="43">
        <f t="shared" si="2"/>
        <v>543100</v>
      </c>
      <c r="M17" s="43">
        <f t="shared" si="2"/>
        <v>516100</v>
      </c>
    </row>
    <row r="20" spans="1:13" ht="15.75" x14ac:dyDescent="0.25">
      <c r="A20" s="31" t="s">
        <v>0</v>
      </c>
      <c r="B20" s="31" t="s">
        <v>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">
      <c r="A21" s="78"/>
      <c r="B21" s="79">
        <v>46023</v>
      </c>
      <c r="C21" s="79">
        <v>46054</v>
      </c>
      <c r="D21" s="79">
        <v>46082</v>
      </c>
      <c r="E21" s="79">
        <v>46113</v>
      </c>
      <c r="F21" s="79">
        <v>46143</v>
      </c>
      <c r="G21" s="79">
        <v>46174</v>
      </c>
      <c r="H21" s="79">
        <v>46204</v>
      </c>
      <c r="I21" s="79">
        <v>46235</v>
      </c>
      <c r="J21" s="79">
        <v>46266</v>
      </c>
      <c r="K21" s="79">
        <v>46296</v>
      </c>
      <c r="L21" s="79">
        <v>46327</v>
      </c>
      <c r="M21" s="79">
        <v>46357</v>
      </c>
    </row>
    <row r="22" spans="1:13" x14ac:dyDescent="0.2">
      <c r="A22" s="78" t="s">
        <v>110</v>
      </c>
      <c r="B22" s="42">
        <v>516100</v>
      </c>
      <c r="C22" s="42">
        <f t="shared" ref="C22:M22" si="3">B33</f>
        <v>596100</v>
      </c>
      <c r="D22" s="42">
        <f t="shared" si="3"/>
        <v>681100</v>
      </c>
      <c r="E22" s="42">
        <f t="shared" si="3"/>
        <v>666100</v>
      </c>
      <c r="F22" s="42">
        <f t="shared" si="3"/>
        <v>751100</v>
      </c>
      <c r="G22" s="42">
        <f t="shared" si="3"/>
        <v>836100</v>
      </c>
      <c r="H22" s="42">
        <f t="shared" si="3"/>
        <v>836100</v>
      </c>
      <c r="I22" s="42">
        <f t="shared" si="3"/>
        <v>836100</v>
      </c>
      <c r="J22" s="42">
        <f t="shared" si="3"/>
        <v>836100</v>
      </c>
      <c r="K22" s="42">
        <f t="shared" si="3"/>
        <v>836100</v>
      </c>
      <c r="L22" s="42">
        <f t="shared" si="3"/>
        <v>836100</v>
      </c>
      <c r="M22" s="42">
        <f t="shared" si="3"/>
        <v>836100</v>
      </c>
    </row>
    <row r="23" spans="1:13" x14ac:dyDescent="0.2">
      <c r="A23" s="78" t="s">
        <v>76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>
        <v>30000</v>
      </c>
      <c r="C25" s="42">
        <v>30000</v>
      </c>
      <c r="D25" s="42">
        <v>30000</v>
      </c>
      <c r="E25" s="42">
        <v>30000</v>
      </c>
      <c r="F25" s="42">
        <v>30000</v>
      </c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633</v>
      </c>
      <c r="B28" s="42">
        <v>20000</v>
      </c>
      <c r="C28" s="42">
        <v>25000</v>
      </c>
      <c r="D28" s="42">
        <v>25000</v>
      </c>
      <c r="E28" s="42">
        <v>25000</v>
      </c>
      <c r="F28" s="42">
        <v>25000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30000</v>
      </c>
      <c r="C30" s="42">
        <v>30000</v>
      </c>
      <c r="D30" s="42">
        <v>30000</v>
      </c>
      <c r="E30" s="42">
        <v>30000</v>
      </c>
      <c r="F30" s="42">
        <v>30000</v>
      </c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6</v>
      </c>
      <c r="B31" s="43">
        <f>SUM(B22:B30)</f>
        <v>596100</v>
      </c>
      <c r="C31" s="43">
        <f t="shared" ref="C31:M31" si="4">SUM(C22:C30)</f>
        <v>681100</v>
      </c>
      <c r="D31" s="43">
        <f t="shared" si="4"/>
        <v>766100</v>
      </c>
      <c r="E31" s="43">
        <f t="shared" si="4"/>
        <v>751100</v>
      </c>
      <c r="F31" s="43">
        <f t="shared" si="4"/>
        <v>836100</v>
      </c>
      <c r="G31" s="43">
        <f t="shared" si="4"/>
        <v>836100</v>
      </c>
      <c r="H31" s="43">
        <f t="shared" si="4"/>
        <v>836100</v>
      </c>
      <c r="I31" s="43">
        <f t="shared" si="4"/>
        <v>836100</v>
      </c>
      <c r="J31" s="43">
        <f t="shared" si="4"/>
        <v>836100</v>
      </c>
      <c r="K31" s="43">
        <f t="shared" si="4"/>
        <v>836100</v>
      </c>
      <c r="L31" s="43">
        <f t="shared" si="4"/>
        <v>836100</v>
      </c>
      <c r="M31" s="43">
        <f t="shared" si="4"/>
        <v>836100</v>
      </c>
    </row>
    <row r="32" spans="1:13" x14ac:dyDescent="0.2">
      <c r="A32" s="78" t="s">
        <v>7</v>
      </c>
      <c r="B32" s="44"/>
      <c r="C32" s="44"/>
      <c r="D32" s="44">
        <v>100000</v>
      </c>
      <c r="E32" s="44"/>
      <c r="F32" s="44"/>
      <c r="G32" s="44"/>
      <c r="H32" s="44"/>
      <c r="I32" s="44"/>
      <c r="J32" s="44"/>
      <c r="K32" s="44"/>
      <c r="L32" s="44"/>
      <c r="M32" s="44"/>
    </row>
    <row r="33" spans="1:13" x14ac:dyDescent="0.2">
      <c r="A33" s="78" t="s">
        <v>111</v>
      </c>
      <c r="B33" s="43">
        <f>B31-B32</f>
        <v>596100</v>
      </c>
      <c r="C33" s="43">
        <f>C31-C32</f>
        <v>681100</v>
      </c>
      <c r="D33" s="43">
        <f>D31-D32</f>
        <v>666100</v>
      </c>
      <c r="E33" s="43">
        <f>E31-E32</f>
        <v>751100</v>
      </c>
      <c r="F33" s="43">
        <f t="shared" ref="F33:M33" si="5">F31-F32</f>
        <v>836100</v>
      </c>
      <c r="G33" s="43">
        <f t="shared" si="5"/>
        <v>836100</v>
      </c>
      <c r="H33" s="43">
        <f t="shared" si="5"/>
        <v>836100</v>
      </c>
      <c r="I33" s="43">
        <f t="shared" si="5"/>
        <v>836100</v>
      </c>
      <c r="J33" s="43">
        <f t="shared" si="5"/>
        <v>836100</v>
      </c>
      <c r="K33" s="43">
        <f t="shared" si="5"/>
        <v>836100</v>
      </c>
      <c r="L33" s="43">
        <f t="shared" si="5"/>
        <v>836100</v>
      </c>
      <c r="M33" s="43">
        <f t="shared" si="5"/>
        <v>836100</v>
      </c>
    </row>
    <row r="34" spans="1:13" x14ac:dyDescent="0.2">
      <c r="D34" s="179">
        <v>46114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2:M56"/>
  <sheetViews>
    <sheetView topLeftCell="A16" workbookViewId="0">
      <selection activeCell="M18" sqref="M18"/>
    </sheetView>
  </sheetViews>
  <sheetFormatPr baseColWidth="10" defaultRowHeight="12.75" x14ac:dyDescent="0.2"/>
  <cols>
    <col min="1" max="1" width="31.7109375" customWidth="1"/>
    <col min="2" max="2" width="13.140625" customWidth="1"/>
    <col min="4" max="4" width="12.140625" customWidth="1"/>
    <col min="5" max="6" width="12.28515625" customWidth="1"/>
    <col min="7" max="7" width="12.140625" customWidth="1"/>
    <col min="8" max="8" width="12.7109375" customWidth="1"/>
    <col min="9" max="11" width="12.85546875" customWidth="1"/>
    <col min="12" max="12" width="12.7109375" customWidth="1"/>
    <col min="13" max="13" width="13.28515625" customWidth="1"/>
  </cols>
  <sheetData>
    <row r="2" spans="1:13" x14ac:dyDescent="0.2">
      <c r="A2" t="s">
        <v>158</v>
      </c>
    </row>
    <row r="5" spans="1:13" ht="15.75" x14ac:dyDescent="0.25">
      <c r="A5" s="32" t="s">
        <v>0</v>
      </c>
      <c r="B5" s="32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2">
      <c r="A6" s="81"/>
      <c r="B6" s="82">
        <v>45658</v>
      </c>
      <c r="C6" s="82">
        <v>45689</v>
      </c>
      <c r="D6" s="82">
        <v>45717</v>
      </c>
      <c r="E6" s="82">
        <v>45748</v>
      </c>
      <c r="F6" s="82">
        <v>45778</v>
      </c>
      <c r="G6" s="82">
        <v>45809</v>
      </c>
      <c r="H6" s="82">
        <v>45839</v>
      </c>
      <c r="I6" s="82">
        <v>45870</v>
      </c>
      <c r="J6" s="82">
        <v>45901</v>
      </c>
      <c r="K6" s="82">
        <v>45931</v>
      </c>
      <c r="L6" s="82">
        <v>45962</v>
      </c>
      <c r="M6" s="82">
        <v>45992</v>
      </c>
    </row>
    <row r="7" spans="1:13" x14ac:dyDescent="0.2">
      <c r="A7" s="78" t="s">
        <v>110</v>
      </c>
      <c r="B7" s="42"/>
      <c r="C7" s="42">
        <f t="shared" ref="C7:M7" si="0">B18</f>
        <v>100000</v>
      </c>
      <c r="D7" s="42">
        <f t="shared" si="0"/>
        <v>200000</v>
      </c>
      <c r="E7" s="42">
        <f t="shared" si="0"/>
        <v>300000</v>
      </c>
      <c r="F7" s="42">
        <f t="shared" si="0"/>
        <v>400000</v>
      </c>
      <c r="G7" s="42">
        <f t="shared" si="0"/>
        <v>500000</v>
      </c>
      <c r="H7" s="42">
        <f t="shared" si="0"/>
        <v>600000</v>
      </c>
      <c r="I7" s="42">
        <f t="shared" si="0"/>
        <v>700000</v>
      </c>
      <c r="J7" s="42">
        <f t="shared" si="0"/>
        <v>800000</v>
      </c>
      <c r="K7" s="42">
        <f t="shared" si="0"/>
        <v>900000</v>
      </c>
      <c r="L7" s="42">
        <f t="shared" si="0"/>
        <v>1000000</v>
      </c>
      <c r="M7" s="42">
        <f t="shared" si="0"/>
        <v>1100000</v>
      </c>
    </row>
    <row r="8" spans="1:13" x14ac:dyDescent="0.2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100000</v>
      </c>
      <c r="C15" s="42">
        <v>100000</v>
      </c>
      <c r="D15" s="42">
        <v>100000</v>
      </c>
      <c r="E15" s="42">
        <v>100000</v>
      </c>
      <c r="F15" s="42">
        <v>100000</v>
      </c>
      <c r="G15" s="42">
        <v>100000</v>
      </c>
      <c r="H15" s="42">
        <v>100000</v>
      </c>
      <c r="I15" s="42">
        <v>100000</v>
      </c>
      <c r="J15" s="42">
        <v>100000</v>
      </c>
      <c r="K15" s="42">
        <v>100000</v>
      </c>
      <c r="L15" s="42">
        <v>100000</v>
      </c>
      <c r="M15" s="42">
        <v>100000</v>
      </c>
    </row>
    <row r="16" spans="1:13" x14ac:dyDescent="0.2">
      <c r="A16" s="78" t="s">
        <v>6</v>
      </c>
      <c r="B16" s="43">
        <f t="shared" ref="B16:M16" si="1">SUM(B7:B15)</f>
        <v>100000</v>
      </c>
      <c r="C16" s="43">
        <f t="shared" si="1"/>
        <v>200000</v>
      </c>
      <c r="D16" s="43">
        <f t="shared" si="1"/>
        <v>300000</v>
      </c>
      <c r="E16" s="43">
        <f t="shared" si="1"/>
        <v>400000</v>
      </c>
      <c r="F16" s="43">
        <f t="shared" si="1"/>
        <v>500000</v>
      </c>
      <c r="G16" s="43">
        <f t="shared" si="1"/>
        <v>600000</v>
      </c>
      <c r="H16" s="43">
        <f t="shared" si="1"/>
        <v>700000</v>
      </c>
      <c r="I16" s="43">
        <f t="shared" si="1"/>
        <v>800000</v>
      </c>
      <c r="J16" s="43">
        <f t="shared" si="1"/>
        <v>900000</v>
      </c>
      <c r="K16" s="43">
        <f t="shared" si="1"/>
        <v>1000000</v>
      </c>
      <c r="L16" s="43">
        <f t="shared" si="1"/>
        <v>1100000</v>
      </c>
      <c r="M16" s="43">
        <f t="shared" si="1"/>
        <v>1200000</v>
      </c>
    </row>
    <row r="17" spans="1:13" ht="13.5" thickBot="1" x14ac:dyDescent="0.25">
      <c r="A17" s="78" t="s">
        <v>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>
        <f>1100000+140000</f>
        <v>1240000</v>
      </c>
    </row>
    <row r="18" spans="1:13" ht="13.5" thickBot="1" x14ac:dyDescent="0.25">
      <c r="A18" s="78" t="s">
        <v>111</v>
      </c>
      <c r="B18" s="45">
        <f t="shared" ref="B18:M18" si="2">B16-B17</f>
        <v>100000</v>
      </c>
      <c r="C18" s="46">
        <f t="shared" si="2"/>
        <v>200000</v>
      </c>
      <c r="D18" s="46">
        <f t="shared" si="2"/>
        <v>300000</v>
      </c>
      <c r="E18" s="46">
        <f t="shared" si="2"/>
        <v>400000</v>
      </c>
      <c r="F18" s="46">
        <f t="shared" si="2"/>
        <v>500000</v>
      </c>
      <c r="G18" s="46">
        <f t="shared" si="2"/>
        <v>600000</v>
      </c>
      <c r="H18" s="46">
        <f t="shared" si="2"/>
        <v>700000</v>
      </c>
      <c r="I18" s="46">
        <f t="shared" si="2"/>
        <v>800000</v>
      </c>
      <c r="J18" s="46">
        <f t="shared" si="2"/>
        <v>900000</v>
      </c>
      <c r="K18" s="46">
        <f t="shared" si="2"/>
        <v>1000000</v>
      </c>
      <c r="L18" s="46">
        <f t="shared" si="2"/>
        <v>1100000</v>
      </c>
      <c r="M18" s="47">
        <f t="shared" si="2"/>
        <v>-40000</v>
      </c>
    </row>
    <row r="19" spans="1:13" x14ac:dyDescent="0.2">
      <c r="M19" t="s">
        <v>780</v>
      </c>
    </row>
    <row r="20" spans="1:13" x14ac:dyDescent="0.2">
      <c r="M20" t="s">
        <v>781</v>
      </c>
    </row>
    <row r="21" spans="1:13" x14ac:dyDescent="0.2">
      <c r="M21" t="s">
        <v>797</v>
      </c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81"/>
      <c r="B24" s="82">
        <v>43831</v>
      </c>
      <c r="C24" s="82">
        <v>43862</v>
      </c>
      <c r="D24" s="82">
        <v>43891</v>
      </c>
      <c r="E24" s="82">
        <v>43922</v>
      </c>
      <c r="F24" s="82">
        <v>43952</v>
      </c>
      <c r="G24" s="82">
        <v>43983</v>
      </c>
      <c r="H24" s="82">
        <v>44013</v>
      </c>
      <c r="I24" s="82">
        <v>44044</v>
      </c>
      <c r="J24" s="82">
        <v>44075</v>
      </c>
      <c r="K24" s="82">
        <v>44105</v>
      </c>
      <c r="L24" s="82">
        <v>44136</v>
      </c>
      <c r="M24" s="82">
        <v>44166</v>
      </c>
    </row>
    <row r="25" spans="1:13" x14ac:dyDescent="0.2">
      <c r="A25" s="78" t="s">
        <v>110</v>
      </c>
      <c r="B25" s="42">
        <v>72000</v>
      </c>
      <c r="C25" s="42">
        <f t="shared" ref="C25:M25" si="3">B36</f>
        <v>77000</v>
      </c>
      <c r="D25" s="42">
        <f t="shared" si="3"/>
        <v>82000</v>
      </c>
      <c r="E25" s="42">
        <f t="shared" si="3"/>
        <v>87000</v>
      </c>
      <c r="F25" s="42">
        <f t="shared" si="3"/>
        <v>92000</v>
      </c>
      <c r="G25" s="42">
        <f t="shared" si="3"/>
        <v>97000</v>
      </c>
      <c r="H25" s="42">
        <f t="shared" si="3"/>
        <v>102000</v>
      </c>
      <c r="I25" s="42">
        <f t="shared" si="3"/>
        <v>107000</v>
      </c>
      <c r="J25" s="42">
        <f t="shared" si="3"/>
        <v>112000</v>
      </c>
      <c r="K25" s="42">
        <f t="shared" si="3"/>
        <v>117000</v>
      </c>
      <c r="L25" s="42">
        <f t="shared" si="3"/>
        <v>122000</v>
      </c>
      <c r="M25" s="42">
        <f t="shared" si="3"/>
        <v>127000</v>
      </c>
    </row>
    <row r="26" spans="1:13" x14ac:dyDescent="0.2">
      <c r="A26" s="78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5</v>
      </c>
      <c r="B33" s="42">
        <v>5000</v>
      </c>
      <c r="C33" s="42">
        <v>5000</v>
      </c>
      <c r="D33" s="42">
        <v>5000</v>
      </c>
      <c r="E33" s="42">
        <v>5000</v>
      </c>
      <c r="F33" s="42">
        <v>5000</v>
      </c>
      <c r="G33" s="42">
        <v>5000</v>
      </c>
      <c r="H33" s="42">
        <v>5000</v>
      </c>
      <c r="I33" s="42">
        <v>5000</v>
      </c>
      <c r="J33" s="42">
        <v>5000</v>
      </c>
      <c r="K33" s="42">
        <v>5000</v>
      </c>
      <c r="L33" s="42">
        <v>5000</v>
      </c>
      <c r="M33" s="42">
        <v>5000</v>
      </c>
    </row>
    <row r="34" spans="1:13" x14ac:dyDescent="0.2">
      <c r="A34" s="78" t="s">
        <v>6</v>
      </c>
      <c r="B34" s="43">
        <f t="shared" ref="B34:M34" si="4">SUM(B25:B33)</f>
        <v>77000</v>
      </c>
      <c r="C34" s="43">
        <f t="shared" si="4"/>
        <v>82000</v>
      </c>
      <c r="D34" s="43">
        <f t="shared" si="4"/>
        <v>87000</v>
      </c>
      <c r="E34" s="43">
        <f t="shared" si="4"/>
        <v>92000</v>
      </c>
      <c r="F34" s="43">
        <f t="shared" si="4"/>
        <v>97000</v>
      </c>
      <c r="G34" s="43">
        <f t="shared" si="4"/>
        <v>102000</v>
      </c>
      <c r="H34" s="43">
        <f t="shared" si="4"/>
        <v>107000</v>
      </c>
      <c r="I34" s="43">
        <f t="shared" si="4"/>
        <v>112000</v>
      </c>
      <c r="J34" s="43">
        <f t="shared" si="4"/>
        <v>117000</v>
      </c>
      <c r="K34" s="43">
        <f t="shared" si="4"/>
        <v>122000</v>
      </c>
      <c r="L34" s="43">
        <f t="shared" si="4"/>
        <v>127000</v>
      </c>
      <c r="M34" s="43">
        <f t="shared" si="4"/>
        <v>132000</v>
      </c>
    </row>
    <row r="35" spans="1:13" ht="13.5" thickBot="1" x14ac:dyDescent="0.25">
      <c r="A35" s="78" t="s">
        <v>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>
        <v>40000</v>
      </c>
    </row>
    <row r="36" spans="1:13" ht="13.5" thickBot="1" x14ac:dyDescent="0.25">
      <c r="A36" s="78" t="s">
        <v>111</v>
      </c>
      <c r="B36" s="45">
        <f t="shared" ref="B36:M36" si="5">B34-B35</f>
        <v>77000</v>
      </c>
      <c r="C36" s="46">
        <f t="shared" si="5"/>
        <v>82000</v>
      </c>
      <c r="D36" s="46">
        <f t="shared" si="5"/>
        <v>87000</v>
      </c>
      <c r="E36" s="46">
        <f t="shared" si="5"/>
        <v>92000</v>
      </c>
      <c r="F36" s="46">
        <f t="shared" si="5"/>
        <v>97000</v>
      </c>
      <c r="G36" s="46">
        <f t="shared" si="5"/>
        <v>102000</v>
      </c>
      <c r="H36" s="46">
        <f t="shared" si="5"/>
        <v>107000</v>
      </c>
      <c r="I36" s="46">
        <f t="shared" si="5"/>
        <v>112000</v>
      </c>
      <c r="J36" s="46">
        <f t="shared" si="5"/>
        <v>117000</v>
      </c>
      <c r="K36" s="46">
        <f t="shared" si="5"/>
        <v>122000</v>
      </c>
      <c r="L36" s="46">
        <f t="shared" si="5"/>
        <v>127000</v>
      </c>
      <c r="M36" s="47">
        <f t="shared" si="5"/>
        <v>92000</v>
      </c>
    </row>
    <row r="43" spans="1:13" ht="15.75" x14ac:dyDescent="0.25">
      <c r="A43" s="32" t="s">
        <v>0</v>
      </c>
      <c r="B43" s="32" t="s">
        <v>1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ht="15.75" x14ac:dyDescent="0.25">
      <c r="A44" s="33"/>
      <c r="B44" s="34">
        <v>43466</v>
      </c>
      <c r="C44" s="34">
        <v>43497</v>
      </c>
      <c r="D44" s="34">
        <v>43525</v>
      </c>
      <c r="E44" s="34">
        <v>43556</v>
      </c>
      <c r="F44" s="34">
        <v>43586</v>
      </c>
      <c r="G44" s="34">
        <v>43617</v>
      </c>
      <c r="H44" s="34">
        <v>43647</v>
      </c>
      <c r="I44" s="34">
        <v>43678</v>
      </c>
      <c r="J44" s="34">
        <v>43709</v>
      </c>
      <c r="K44" s="34">
        <v>43739</v>
      </c>
      <c r="L44" s="34">
        <v>43770</v>
      </c>
      <c r="M44" s="34">
        <v>43800</v>
      </c>
    </row>
    <row r="45" spans="1:13" ht="15" x14ac:dyDescent="0.2">
      <c r="A45" s="8" t="s">
        <v>110</v>
      </c>
      <c r="B45" s="42">
        <v>36000</v>
      </c>
      <c r="C45" s="42">
        <f t="shared" ref="C45:M45" si="6">B56</f>
        <v>39000</v>
      </c>
      <c r="D45" s="42">
        <f t="shared" si="6"/>
        <v>42000</v>
      </c>
      <c r="E45" s="42">
        <f t="shared" si="6"/>
        <v>45000</v>
      </c>
      <c r="F45" s="42">
        <f t="shared" si="6"/>
        <v>48000</v>
      </c>
      <c r="G45" s="42">
        <f t="shared" si="6"/>
        <v>51000</v>
      </c>
      <c r="H45" s="42">
        <f t="shared" si="6"/>
        <v>54000</v>
      </c>
      <c r="I45" s="42">
        <f t="shared" si="6"/>
        <v>57000</v>
      </c>
      <c r="J45" s="42">
        <f t="shared" si="6"/>
        <v>60000</v>
      </c>
      <c r="K45" s="42">
        <f t="shared" si="6"/>
        <v>63000</v>
      </c>
      <c r="L45" s="42">
        <f t="shared" si="6"/>
        <v>66000</v>
      </c>
      <c r="M45" s="42">
        <f t="shared" si="6"/>
        <v>69000</v>
      </c>
    </row>
    <row r="46" spans="1:13" ht="15" x14ac:dyDescent="0.2">
      <c r="A46" s="8" t="s">
        <v>2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ht="15" x14ac:dyDescent="0.2">
      <c r="A47" s="8" t="s">
        <v>3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ht="15" x14ac:dyDescent="0.2">
      <c r="A48" s="8" t="s">
        <v>4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ht="15" x14ac:dyDescent="0.2">
      <c r="A49" s="8" t="s">
        <v>9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ht="15" x14ac:dyDescent="0.2">
      <c r="A50" s="8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ht="15" x14ac:dyDescent="0.2">
      <c r="A51" s="8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ht="15" x14ac:dyDescent="0.2">
      <c r="A52" s="8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ht="15" x14ac:dyDescent="0.2">
      <c r="A53" s="8" t="s">
        <v>5</v>
      </c>
      <c r="B53" s="42">
        <v>3000</v>
      </c>
      <c r="C53" s="42">
        <v>3000</v>
      </c>
      <c r="D53" s="42">
        <v>3000</v>
      </c>
      <c r="E53" s="42">
        <v>3000</v>
      </c>
      <c r="F53" s="42">
        <v>3000</v>
      </c>
      <c r="G53" s="42">
        <v>3000</v>
      </c>
      <c r="H53" s="42">
        <v>3000</v>
      </c>
      <c r="I53" s="42">
        <v>3000</v>
      </c>
      <c r="J53" s="42">
        <v>3000</v>
      </c>
      <c r="K53" s="42">
        <v>3000</v>
      </c>
      <c r="L53" s="42">
        <v>3000</v>
      </c>
      <c r="M53" s="42">
        <v>3000</v>
      </c>
    </row>
    <row r="54" spans="1:13" ht="15" x14ac:dyDescent="0.2">
      <c r="A54" s="8" t="s">
        <v>6</v>
      </c>
      <c r="B54" s="43">
        <f t="shared" ref="B54:M54" si="7">SUM(B45:B53)</f>
        <v>39000</v>
      </c>
      <c r="C54" s="43">
        <f t="shared" si="7"/>
        <v>42000</v>
      </c>
      <c r="D54" s="43">
        <f t="shared" si="7"/>
        <v>45000</v>
      </c>
      <c r="E54" s="43">
        <f t="shared" si="7"/>
        <v>48000</v>
      </c>
      <c r="F54" s="43">
        <f t="shared" si="7"/>
        <v>51000</v>
      </c>
      <c r="G54" s="43">
        <f t="shared" si="7"/>
        <v>54000</v>
      </c>
      <c r="H54" s="43">
        <f t="shared" si="7"/>
        <v>57000</v>
      </c>
      <c r="I54" s="43">
        <f t="shared" si="7"/>
        <v>60000</v>
      </c>
      <c r="J54" s="43">
        <f t="shared" si="7"/>
        <v>63000</v>
      </c>
      <c r="K54" s="43">
        <f t="shared" si="7"/>
        <v>66000</v>
      </c>
      <c r="L54" s="43">
        <f t="shared" si="7"/>
        <v>69000</v>
      </c>
      <c r="M54" s="43">
        <f t="shared" si="7"/>
        <v>72000</v>
      </c>
    </row>
    <row r="55" spans="1:13" ht="15.75" thickBot="1" x14ac:dyDescent="0.25">
      <c r="A55" s="8" t="s">
        <v>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</row>
    <row r="56" spans="1:13" ht="15.75" thickBot="1" x14ac:dyDescent="0.25">
      <c r="A56" s="8" t="s">
        <v>111</v>
      </c>
      <c r="B56" s="45">
        <f t="shared" ref="B56:M56" si="8">B54-B55</f>
        <v>39000</v>
      </c>
      <c r="C56" s="46">
        <f t="shared" si="8"/>
        <v>42000</v>
      </c>
      <c r="D56" s="46">
        <f t="shared" si="8"/>
        <v>45000</v>
      </c>
      <c r="E56" s="46">
        <f t="shared" si="8"/>
        <v>48000</v>
      </c>
      <c r="F56" s="46">
        <f t="shared" si="8"/>
        <v>51000</v>
      </c>
      <c r="G56" s="46">
        <f t="shared" si="8"/>
        <v>54000</v>
      </c>
      <c r="H56" s="46">
        <f t="shared" si="8"/>
        <v>57000</v>
      </c>
      <c r="I56" s="46">
        <f t="shared" si="8"/>
        <v>60000</v>
      </c>
      <c r="J56" s="46">
        <f t="shared" si="8"/>
        <v>63000</v>
      </c>
      <c r="K56" s="46">
        <f t="shared" si="8"/>
        <v>66000</v>
      </c>
      <c r="L56" s="46">
        <f t="shared" si="8"/>
        <v>69000</v>
      </c>
      <c r="M56" s="47">
        <f t="shared" si="8"/>
        <v>72000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3:M31"/>
  <sheetViews>
    <sheetView topLeftCell="A10" workbookViewId="0">
      <selection activeCell="F31" sqref="F31"/>
    </sheetView>
  </sheetViews>
  <sheetFormatPr baseColWidth="10" defaultRowHeight="12.75" x14ac:dyDescent="0.2"/>
  <cols>
    <col min="1" max="1" width="25.85546875" customWidth="1"/>
    <col min="2" max="2" width="12.7109375" customWidth="1"/>
    <col min="3" max="3" width="16.7109375" customWidth="1"/>
    <col min="4" max="5" width="13.7109375" customWidth="1"/>
    <col min="6" max="6" width="13.28515625" customWidth="1"/>
    <col min="7" max="7" width="12.7109375" customWidth="1"/>
    <col min="8" max="8" width="14.42578125" customWidth="1"/>
    <col min="9" max="9" width="13.7109375" customWidth="1"/>
    <col min="10" max="10" width="12.140625" customWidth="1"/>
    <col min="11" max="11" width="12.28515625" customWidth="1"/>
    <col min="12" max="12" width="12.85546875" customWidth="1"/>
    <col min="13" max="13" width="12.570312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L5" si="0">C16</f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-40</v>
      </c>
      <c r="J5" s="42">
        <f t="shared" si="0"/>
        <v>0</v>
      </c>
      <c r="K5" s="42">
        <f>J16</f>
        <v>0</v>
      </c>
      <c r="L5" s="42">
        <f t="shared" si="0"/>
        <v>0</v>
      </c>
      <c r="M5" s="42">
        <f>L16</f>
        <v>0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518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517</v>
      </c>
      <c r="B11" s="42">
        <v>29100</v>
      </c>
      <c r="C11" s="42">
        <f>11880+2580</f>
        <v>14460</v>
      </c>
      <c r="D11" s="42">
        <v>14460</v>
      </c>
      <c r="E11" s="42">
        <v>14460</v>
      </c>
      <c r="F11" s="42">
        <v>14460</v>
      </c>
      <c r="G11" s="42">
        <v>14460</v>
      </c>
      <c r="H11" s="42">
        <v>14460</v>
      </c>
      <c r="I11" s="42">
        <v>44246</v>
      </c>
      <c r="J11" s="42">
        <v>44246</v>
      </c>
      <c r="K11" s="42">
        <v>44246</v>
      </c>
      <c r="L11" s="42">
        <v>44246</v>
      </c>
      <c r="M11" s="42">
        <v>44246</v>
      </c>
    </row>
    <row r="12" spans="1:13" x14ac:dyDescent="0.2">
      <c r="A12" s="78" t="s">
        <v>516</v>
      </c>
      <c r="B12" s="42">
        <v>24500</v>
      </c>
      <c r="C12" s="42">
        <v>39500</v>
      </c>
      <c r="D12" s="42">
        <v>39500</v>
      </c>
      <c r="E12" s="42">
        <v>39500</v>
      </c>
      <c r="F12" s="42">
        <v>39500</v>
      </c>
      <c r="G12" s="42">
        <v>39500</v>
      </c>
      <c r="H12" s="42">
        <v>39500</v>
      </c>
      <c r="I12" s="42">
        <f>22000+14000+10000</f>
        <v>46000</v>
      </c>
      <c r="J12" s="42">
        <v>46000</v>
      </c>
      <c r="K12" s="42">
        <v>46000</v>
      </c>
      <c r="L12" s="42">
        <v>46000</v>
      </c>
      <c r="M12" s="42">
        <v>46000</v>
      </c>
    </row>
    <row r="13" spans="1:13" x14ac:dyDescent="0.2">
      <c r="A13" s="78" t="s">
        <v>5</v>
      </c>
      <c r="B13" s="42">
        <v>100000</v>
      </c>
      <c r="C13" s="42">
        <v>120000</v>
      </c>
      <c r="D13" s="42">
        <v>120000</v>
      </c>
      <c r="E13" s="42">
        <v>120000</v>
      </c>
      <c r="F13" s="42">
        <v>120000</v>
      </c>
      <c r="G13" s="42">
        <v>120000</v>
      </c>
      <c r="H13" s="42">
        <v>120000</v>
      </c>
      <c r="I13" s="42">
        <v>150000</v>
      </c>
      <c r="J13" s="42">
        <v>150000</v>
      </c>
      <c r="K13" s="42">
        <v>160000</v>
      </c>
      <c r="L13" s="42">
        <v>160000</v>
      </c>
      <c r="M13" s="42">
        <v>180000</v>
      </c>
    </row>
    <row r="14" spans="1:13" x14ac:dyDescent="0.2">
      <c r="A14" s="78" t="s">
        <v>6</v>
      </c>
      <c r="B14" s="43">
        <f>SUM(B5:B13)</f>
        <v>153600</v>
      </c>
      <c r="C14" s="43">
        <f>SUM(C5:C13)</f>
        <v>173960</v>
      </c>
      <c r="D14" s="43">
        <f t="shared" ref="D14:L14" si="1">SUM(D5:D13)</f>
        <v>173960</v>
      </c>
      <c r="E14" s="43">
        <f t="shared" si="1"/>
        <v>173960</v>
      </c>
      <c r="F14" s="43">
        <f t="shared" si="1"/>
        <v>173960</v>
      </c>
      <c r="G14" s="43">
        <f t="shared" si="1"/>
        <v>173960</v>
      </c>
      <c r="H14" s="43">
        <f t="shared" si="1"/>
        <v>173960</v>
      </c>
      <c r="I14" s="43">
        <f t="shared" si="1"/>
        <v>240206</v>
      </c>
      <c r="J14" s="43">
        <f t="shared" si="1"/>
        <v>240246</v>
      </c>
      <c r="K14" s="43">
        <f t="shared" si="1"/>
        <v>250246</v>
      </c>
      <c r="L14" s="43">
        <f t="shared" si="1"/>
        <v>250246</v>
      </c>
      <c r="M14" s="43">
        <f>SUM(M5:M13)</f>
        <v>270246</v>
      </c>
    </row>
    <row r="15" spans="1:13" x14ac:dyDescent="0.2">
      <c r="A15" s="78" t="s">
        <v>7</v>
      </c>
      <c r="B15" s="44">
        <v>153600</v>
      </c>
      <c r="C15" s="44">
        <v>173960</v>
      </c>
      <c r="D15" s="44">
        <v>173960</v>
      </c>
      <c r="E15" s="44">
        <v>173960</v>
      </c>
      <c r="F15" s="44">
        <v>173960</v>
      </c>
      <c r="G15" s="44">
        <v>173960</v>
      </c>
      <c r="H15" s="44">
        <v>174000</v>
      </c>
      <c r="I15" s="44">
        <v>240206</v>
      </c>
      <c r="J15" s="44">
        <v>240246</v>
      </c>
      <c r="K15" s="44">
        <v>250246</v>
      </c>
      <c r="L15" s="44">
        <v>250246</v>
      </c>
      <c r="M15" s="44">
        <v>270246</v>
      </c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L16" si="2">D14-D15</f>
        <v>0</v>
      </c>
      <c r="E16" s="43">
        <f>E14-E15</f>
        <v>0</v>
      </c>
      <c r="F16" s="43">
        <f t="shared" si="2"/>
        <v>0</v>
      </c>
      <c r="G16" s="43">
        <f t="shared" si="2"/>
        <v>0</v>
      </c>
      <c r="H16" s="43">
        <f t="shared" si="2"/>
        <v>-40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>M14-M15</f>
        <v>0</v>
      </c>
    </row>
    <row r="17" spans="1:13" x14ac:dyDescent="0.2">
      <c r="B17" s="128">
        <v>45681</v>
      </c>
      <c r="E17" s="128">
        <v>45772</v>
      </c>
    </row>
    <row r="19" spans="1:13" x14ac:dyDescent="0.2">
      <c r="A19" s="65"/>
      <c r="B19" s="68">
        <v>46023</v>
      </c>
      <c r="C19" s="68">
        <v>46054</v>
      </c>
      <c r="D19" s="68">
        <v>46082</v>
      </c>
      <c r="E19" s="68">
        <v>46113</v>
      </c>
      <c r="F19" s="68">
        <v>46143</v>
      </c>
      <c r="G19" s="68">
        <v>46174</v>
      </c>
      <c r="H19" s="68">
        <v>46204</v>
      </c>
      <c r="I19" s="68">
        <v>46235</v>
      </c>
      <c r="J19" s="68">
        <v>46266</v>
      </c>
      <c r="K19" s="68">
        <v>46296</v>
      </c>
      <c r="L19" s="68">
        <v>46327</v>
      </c>
      <c r="M19" s="68">
        <v>46357</v>
      </c>
    </row>
    <row r="20" spans="1:13" x14ac:dyDescent="0.2">
      <c r="A20" s="65" t="s">
        <v>110</v>
      </c>
      <c r="B20" s="69"/>
      <c r="C20" s="69">
        <f t="shared" ref="C20:L20" si="3">B31</f>
        <v>0</v>
      </c>
      <c r="D20" s="69">
        <f t="shared" si="3"/>
        <v>0</v>
      </c>
      <c r="E20" s="69">
        <f t="shared" si="3"/>
        <v>0</v>
      </c>
      <c r="F20" s="69">
        <f t="shared" si="3"/>
        <v>0</v>
      </c>
      <c r="G20" s="69">
        <f t="shared" si="3"/>
        <v>0</v>
      </c>
      <c r="H20" s="69">
        <f t="shared" si="3"/>
        <v>0</v>
      </c>
      <c r="I20" s="69">
        <f t="shared" si="3"/>
        <v>0</v>
      </c>
      <c r="J20" s="69">
        <f t="shared" si="3"/>
        <v>0</v>
      </c>
      <c r="K20" s="69">
        <f t="shared" si="3"/>
        <v>0</v>
      </c>
      <c r="L20" s="69">
        <f t="shared" si="3"/>
        <v>0</v>
      </c>
      <c r="M20" s="69">
        <f>L31</f>
        <v>0</v>
      </c>
    </row>
    <row r="21" spans="1:13" x14ac:dyDescent="0.2">
      <c r="A21" s="65" t="s">
        <v>76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3" x14ac:dyDescent="0.2">
      <c r="A22" s="65" t="s">
        <v>3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 x14ac:dyDescent="0.2">
      <c r="A23" s="65" t="s">
        <v>4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518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517</v>
      </c>
      <c r="B26" s="69">
        <v>51700</v>
      </c>
      <c r="C26" s="69">
        <v>51700</v>
      </c>
      <c r="D26" s="69">
        <v>51700</v>
      </c>
      <c r="E26" s="69">
        <v>51700</v>
      </c>
      <c r="F26" s="69">
        <v>51700</v>
      </c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516</v>
      </c>
      <c r="B27" s="69">
        <v>48120</v>
      </c>
      <c r="C27" s="69">
        <v>48120</v>
      </c>
      <c r="D27" s="69">
        <v>48120</v>
      </c>
      <c r="E27" s="69">
        <v>48120</v>
      </c>
      <c r="F27" s="69">
        <v>48120</v>
      </c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5</v>
      </c>
      <c r="B28" s="69">
        <v>180000</v>
      </c>
      <c r="C28" s="69">
        <v>180000</v>
      </c>
      <c r="D28" s="69">
        <v>189000</v>
      </c>
      <c r="E28" s="69">
        <v>190000</v>
      </c>
      <c r="F28" s="69">
        <v>195000</v>
      </c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6</v>
      </c>
      <c r="B29" s="70">
        <f>SUM(B20:B28)</f>
        <v>279820</v>
      </c>
      <c r="C29" s="70">
        <f>SUM(C20:C28)</f>
        <v>279820</v>
      </c>
      <c r="D29" s="70">
        <f t="shared" ref="D29:L29" si="4">SUM(D20:D28)</f>
        <v>288820</v>
      </c>
      <c r="E29" s="70">
        <f t="shared" si="4"/>
        <v>289820</v>
      </c>
      <c r="F29" s="70">
        <f t="shared" si="4"/>
        <v>294820</v>
      </c>
      <c r="G29" s="70">
        <f t="shared" si="4"/>
        <v>0</v>
      </c>
      <c r="H29" s="70">
        <f t="shared" si="4"/>
        <v>0</v>
      </c>
      <c r="I29" s="70">
        <f t="shared" si="4"/>
        <v>0</v>
      </c>
      <c r="J29" s="70">
        <f t="shared" si="4"/>
        <v>0</v>
      </c>
      <c r="K29" s="70">
        <f t="shared" si="4"/>
        <v>0</v>
      </c>
      <c r="L29" s="70">
        <f t="shared" si="4"/>
        <v>0</v>
      </c>
      <c r="M29" s="70">
        <f>SUM(M20:M28)</f>
        <v>0</v>
      </c>
    </row>
    <row r="30" spans="1:13" x14ac:dyDescent="0.2">
      <c r="A30" s="65" t="s">
        <v>7</v>
      </c>
      <c r="B30" s="71">
        <v>279820</v>
      </c>
      <c r="C30" s="71">
        <v>279820</v>
      </c>
      <c r="D30" s="71">
        <v>288820</v>
      </c>
      <c r="E30" s="71">
        <v>289820</v>
      </c>
      <c r="F30" s="71">
        <v>294820</v>
      </c>
      <c r="G30" s="71"/>
      <c r="H30" s="71"/>
      <c r="I30" s="71"/>
      <c r="J30" s="71"/>
      <c r="K30" s="71"/>
      <c r="L30" s="71"/>
      <c r="M30" s="71"/>
    </row>
    <row r="31" spans="1:13" x14ac:dyDescent="0.2">
      <c r="A31" s="65" t="s">
        <v>111</v>
      </c>
      <c r="B31" s="70">
        <f>B29-B30</f>
        <v>0</v>
      </c>
      <c r="C31" s="70">
        <f>C29-C30</f>
        <v>0</v>
      </c>
      <c r="D31" s="70">
        <f>D29-D30</f>
        <v>0</v>
      </c>
      <c r="E31" s="70">
        <f>E29-E30</f>
        <v>0</v>
      </c>
      <c r="F31" s="70">
        <f t="shared" ref="F31:L31" si="5">F29-F30</f>
        <v>0</v>
      </c>
      <c r="G31" s="70">
        <f t="shared" si="5"/>
        <v>0</v>
      </c>
      <c r="H31" s="70">
        <f t="shared" si="5"/>
        <v>0</v>
      </c>
      <c r="I31" s="70">
        <f t="shared" si="5"/>
        <v>0</v>
      </c>
      <c r="J31" s="70">
        <f t="shared" si="5"/>
        <v>0</v>
      </c>
      <c r="K31" s="70">
        <f t="shared" si="5"/>
        <v>0</v>
      </c>
      <c r="L31" s="70">
        <f t="shared" si="5"/>
        <v>0</v>
      </c>
      <c r="M31" s="70">
        <f>M29-M30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Q50"/>
  <sheetViews>
    <sheetView topLeftCell="A7" workbookViewId="0">
      <selection activeCell="F18" sqref="F18"/>
    </sheetView>
  </sheetViews>
  <sheetFormatPr baseColWidth="10" defaultRowHeight="20.25" x14ac:dyDescent="0.3"/>
  <cols>
    <col min="1" max="1" width="33.5703125" style="2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1.28515625" style="2" bestFit="1" customWidth="1"/>
    <col min="6" max="6" width="11.42578125" style="2"/>
    <col min="7" max="7" width="11.28515625" style="2" bestFit="1" customWidth="1"/>
    <col min="8" max="8" width="10.85546875" style="2" customWidth="1"/>
    <col min="9" max="9" width="11.5703125" style="2" bestFit="1" customWidth="1"/>
    <col min="10" max="10" width="11.28515625" style="2" bestFit="1" customWidth="1"/>
    <col min="11" max="11" width="13.42578125" style="2" customWidth="1"/>
    <col min="12" max="16" width="11.42578125" style="2"/>
    <col min="17" max="17" width="15" style="2" bestFit="1" customWidth="1"/>
    <col min="18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109</v>
      </c>
      <c r="C2" s="216"/>
      <c r="D2" s="216"/>
      <c r="E2" s="216"/>
      <c r="F2" s="216"/>
      <c r="G2" s="216"/>
    </row>
    <row r="4" spans="1:13" x14ac:dyDescent="0.3">
      <c r="B4" s="1" t="s">
        <v>754</v>
      </c>
    </row>
    <row r="5" spans="1:13" x14ac:dyDescent="0.3">
      <c r="A5" s="32" t="s">
        <v>0</v>
      </c>
      <c r="B5" s="32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3">
      <c r="A6" s="81"/>
      <c r="B6" s="82">
        <v>46023</v>
      </c>
      <c r="C6" s="82">
        <v>46054</v>
      </c>
      <c r="D6" s="82">
        <v>46082</v>
      </c>
      <c r="E6" s="82">
        <v>46113</v>
      </c>
      <c r="F6" s="82">
        <v>46143</v>
      </c>
      <c r="G6" s="82">
        <v>46174</v>
      </c>
      <c r="H6" s="82">
        <v>46204</v>
      </c>
      <c r="I6" s="82">
        <v>46235</v>
      </c>
      <c r="J6" s="82">
        <v>46266</v>
      </c>
      <c r="K6" s="82">
        <v>46296</v>
      </c>
      <c r="L6" s="82">
        <v>46327</v>
      </c>
      <c r="M6" s="82">
        <v>46357</v>
      </c>
    </row>
    <row r="7" spans="1:13" x14ac:dyDescent="0.3">
      <c r="A7" s="78" t="s">
        <v>110</v>
      </c>
      <c r="B7" s="42"/>
      <c r="C7" s="42">
        <f t="shared" ref="C7:M7" si="0">B18</f>
        <v>0</v>
      </c>
      <c r="D7" s="42">
        <f t="shared" si="0"/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 t="shared" si="0"/>
        <v>0</v>
      </c>
      <c r="L7" s="42">
        <f t="shared" si="0"/>
        <v>0</v>
      </c>
      <c r="M7" s="42">
        <f t="shared" si="0"/>
        <v>0</v>
      </c>
    </row>
    <row r="8" spans="1:13" x14ac:dyDescent="0.3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4</v>
      </c>
      <c r="B10" s="42">
        <v>30000</v>
      </c>
      <c r="C10" s="42">
        <v>30000</v>
      </c>
      <c r="D10" s="42">
        <v>30000</v>
      </c>
      <c r="E10" s="42">
        <v>30000</v>
      </c>
      <c r="F10" s="42">
        <v>30000</v>
      </c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>
        <v>20000</v>
      </c>
      <c r="C15" s="42">
        <v>20000</v>
      </c>
      <c r="D15" s="42">
        <v>20000</v>
      </c>
      <c r="E15" s="42">
        <v>20000</v>
      </c>
      <c r="F15" s="42">
        <v>20000</v>
      </c>
      <c r="G15" s="42"/>
      <c r="H15" s="42"/>
      <c r="I15" s="42"/>
      <c r="J15" s="42"/>
      <c r="K15" s="42"/>
      <c r="L15" s="42"/>
      <c r="M15" s="42"/>
    </row>
    <row r="16" spans="1:13" x14ac:dyDescent="0.3">
      <c r="A16" s="78" t="s">
        <v>6</v>
      </c>
      <c r="B16" s="43">
        <f>SUM(B7:B15)</f>
        <v>50000</v>
      </c>
      <c r="C16" s="43">
        <f>SUM(C7:C15)</f>
        <v>50000</v>
      </c>
      <c r="D16" s="43">
        <f t="shared" ref="D16:M16" si="1">SUM(D7:D15)</f>
        <v>50000</v>
      </c>
      <c r="E16" s="43">
        <f t="shared" si="1"/>
        <v>50000</v>
      </c>
      <c r="F16" s="43">
        <f t="shared" si="1"/>
        <v>50000</v>
      </c>
      <c r="G16" s="43">
        <f t="shared" si="1"/>
        <v>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0</v>
      </c>
      <c r="L16" s="43">
        <f t="shared" si="1"/>
        <v>0</v>
      </c>
      <c r="M16" s="43">
        <f t="shared" si="1"/>
        <v>0</v>
      </c>
    </row>
    <row r="17" spans="1:17" ht="21" thickBot="1" x14ac:dyDescent="0.35">
      <c r="A17" s="78" t="s">
        <v>7</v>
      </c>
      <c r="B17" s="44">
        <v>50000</v>
      </c>
      <c r="C17" s="44">
        <v>50000</v>
      </c>
      <c r="D17" s="44">
        <v>50000</v>
      </c>
      <c r="E17" s="44">
        <v>50000</v>
      </c>
      <c r="F17" s="44">
        <v>50000</v>
      </c>
      <c r="G17" s="44"/>
      <c r="H17" s="44"/>
      <c r="I17" s="44"/>
      <c r="J17" s="44"/>
      <c r="K17" s="44"/>
      <c r="L17" s="44"/>
      <c r="M17" s="44"/>
    </row>
    <row r="18" spans="1:17" ht="21" thickBot="1" x14ac:dyDescent="0.35">
      <c r="A18" s="78" t="s">
        <v>111</v>
      </c>
      <c r="B18" s="45">
        <f t="shared" ref="B18:M18" si="2">B16-B17</f>
        <v>0</v>
      </c>
      <c r="C18" s="46">
        <f t="shared" si="2"/>
        <v>0</v>
      </c>
      <c r="D18" s="46">
        <f t="shared" si="2"/>
        <v>0</v>
      </c>
      <c r="E18" s="46">
        <f t="shared" si="2"/>
        <v>0</v>
      </c>
      <c r="F18" s="46">
        <f t="shared" si="2"/>
        <v>0</v>
      </c>
      <c r="G18" s="46">
        <f t="shared" si="2"/>
        <v>0</v>
      </c>
      <c r="H18" s="46">
        <f t="shared" si="2"/>
        <v>0</v>
      </c>
      <c r="I18" s="46">
        <f t="shared" si="2"/>
        <v>0</v>
      </c>
      <c r="J18" s="46">
        <f t="shared" si="2"/>
        <v>0</v>
      </c>
      <c r="K18" s="46">
        <f t="shared" si="2"/>
        <v>0</v>
      </c>
      <c r="L18" s="46">
        <f t="shared" si="2"/>
        <v>0</v>
      </c>
      <c r="M18" s="47">
        <f t="shared" si="2"/>
        <v>0</v>
      </c>
      <c r="Q18" s="57">
        <f>1000*POWER(1.02,24)</f>
        <v>1608.4372494752251</v>
      </c>
    </row>
    <row r="19" spans="1:17" x14ac:dyDescent="0.3">
      <c r="B19" s="108"/>
    </row>
    <row r="21" spans="1:17" x14ac:dyDescent="0.3">
      <c r="Q21" s="2">
        <v>0.59</v>
      </c>
    </row>
    <row r="22" spans="1:17" x14ac:dyDescent="0.3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7" x14ac:dyDescent="0.3">
      <c r="A23" s="81"/>
      <c r="B23" s="82">
        <v>45658</v>
      </c>
      <c r="C23" s="82">
        <v>45689</v>
      </c>
      <c r="D23" s="82">
        <v>45717</v>
      </c>
      <c r="E23" s="82">
        <v>45748</v>
      </c>
      <c r="F23" s="82">
        <v>45778</v>
      </c>
      <c r="G23" s="82">
        <v>45809</v>
      </c>
      <c r="H23" s="82">
        <v>45839</v>
      </c>
      <c r="I23" s="82">
        <v>45870</v>
      </c>
      <c r="J23" s="82">
        <v>45901</v>
      </c>
      <c r="K23" s="82">
        <v>45931</v>
      </c>
      <c r="L23" s="82">
        <v>45962</v>
      </c>
      <c r="M23" s="82">
        <v>45992</v>
      </c>
    </row>
    <row r="24" spans="1:17" x14ac:dyDescent="0.3">
      <c r="A24" s="78" t="s">
        <v>110</v>
      </c>
      <c r="B24" s="42"/>
      <c r="C24" s="42">
        <f t="shared" ref="C24:M24" si="3">B35</f>
        <v>0</v>
      </c>
      <c r="D24" s="42">
        <f t="shared" si="3"/>
        <v>0</v>
      </c>
      <c r="E24" s="42">
        <f t="shared" si="3"/>
        <v>0</v>
      </c>
      <c r="F24" s="42">
        <f t="shared" si="3"/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7" x14ac:dyDescent="0.3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7" x14ac:dyDescent="0.3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7" x14ac:dyDescent="0.3">
      <c r="A27" s="78" t="s">
        <v>4</v>
      </c>
      <c r="B27" s="42">
        <v>22800</v>
      </c>
      <c r="C27" s="42">
        <v>22800</v>
      </c>
      <c r="D27" s="42">
        <v>22800</v>
      </c>
      <c r="E27" s="42">
        <v>22800</v>
      </c>
      <c r="F27" s="42">
        <v>22800</v>
      </c>
      <c r="G27" s="42">
        <v>22800</v>
      </c>
      <c r="H27" s="42">
        <v>28000</v>
      </c>
      <c r="I27" s="42">
        <v>28000</v>
      </c>
      <c r="J27" s="42">
        <v>28000</v>
      </c>
      <c r="K27" s="42">
        <v>28000</v>
      </c>
      <c r="L27" s="42">
        <v>28000</v>
      </c>
      <c r="M27" s="42">
        <v>28000</v>
      </c>
    </row>
    <row r="28" spans="1:17" x14ac:dyDescent="0.3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7" x14ac:dyDescent="0.3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7" x14ac:dyDescent="0.3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7" x14ac:dyDescent="0.3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7" x14ac:dyDescent="0.3">
      <c r="A32" s="78" t="s">
        <v>5</v>
      </c>
      <c r="B32" s="42">
        <v>20000</v>
      </c>
      <c r="C32" s="42">
        <v>20000</v>
      </c>
      <c r="D32" s="42">
        <v>20000</v>
      </c>
      <c r="E32" s="42">
        <v>20000</v>
      </c>
      <c r="F32" s="42">
        <v>20000</v>
      </c>
      <c r="G32" s="42">
        <v>20000</v>
      </c>
      <c r="H32" s="42">
        <v>20000</v>
      </c>
      <c r="I32" s="42">
        <v>20000</v>
      </c>
      <c r="J32" s="42">
        <v>20000</v>
      </c>
      <c r="K32" s="42">
        <v>20000</v>
      </c>
      <c r="L32" s="42">
        <v>20000</v>
      </c>
      <c r="M32" s="42">
        <v>20000</v>
      </c>
    </row>
    <row r="33" spans="1:14" x14ac:dyDescent="0.3">
      <c r="A33" s="78" t="s">
        <v>6</v>
      </c>
      <c r="B33" s="43">
        <f t="shared" ref="B33:L33" si="4">SUM(B24:B32)</f>
        <v>42800</v>
      </c>
      <c r="C33" s="43">
        <f t="shared" si="4"/>
        <v>42800</v>
      </c>
      <c r="D33" s="43">
        <f t="shared" si="4"/>
        <v>42800</v>
      </c>
      <c r="E33" s="43">
        <f t="shared" si="4"/>
        <v>42800</v>
      </c>
      <c r="F33" s="43">
        <f t="shared" si="4"/>
        <v>42800</v>
      </c>
      <c r="G33" s="43">
        <f t="shared" si="4"/>
        <v>42800</v>
      </c>
      <c r="H33" s="43">
        <f t="shared" si="4"/>
        <v>48000</v>
      </c>
      <c r="I33" s="43">
        <f t="shared" si="4"/>
        <v>48000</v>
      </c>
      <c r="J33" s="43">
        <f t="shared" si="4"/>
        <v>48000</v>
      </c>
      <c r="K33" s="43">
        <f t="shared" si="4"/>
        <v>48000</v>
      </c>
      <c r="L33" s="43">
        <f t="shared" si="4"/>
        <v>48000</v>
      </c>
      <c r="M33" s="43">
        <f>SUM(M24:M32)</f>
        <v>48000</v>
      </c>
    </row>
    <row r="34" spans="1:14" ht="21" thickBot="1" x14ac:dyDescent="0.35">
      <c r="A34" s="78" t="s">
        <v>7</v>
      </c>
      <c r="B34" s="44">
        <v>42800</v>
      </c>
      <c r="C34" s="44">
        <v>42800</v>
      </c>
      <c r="D34" s="44">
        <v>42800</v>
      </c>
      <c r="E34" s="44">
        <v>42800</v>
      </c>
      <c r="F34" s="44">
        <v>42800</v>
      </c>
      <c r="G34" s="44">
        <v>42800</v>
      </c>
      <c r="H34" s="44">
        <v>48000</v>
      </c>
      <c r="I34" s="44">
        <v>48000</v>
      </c>
      <c r="J34" s="44">
        <v>48000</v>
      </c>
      <c r="K34" s="44">
        <v>48000</v>
      </c>
      <c r="L34" s="44">
        <v>48000</v>
      </c>
      <c r="M34" s="44">
        <v>48000</v>
      </c>
    </row>
    <row r="35" spans="1:14" ht="21" thickBot="1" x14ac:dyDescent="0.35">
      <c r="A35" s="78" t="s">
        <v>111</v>
      </c>
      <c r="B35" s="45">
        <f t="shared" ref="B35:M35" si="5">B33-B34</f>
        <v>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7">
        <f t="shared" si="5"/>
        <v>0</v>
      </c>
    </row>
    <row r="37" spans="1:14" x14ac:dyDescent="0.3">
      <c r="A37" s="32" t="s">
        <v>0</v>
      </c>
      <c r="B37" s="32" t="s">
        <v>1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4" x14ac:dyDescent="0.3">
      <c r="A38" s="81"/>
      <c r="B38" s="82">
        <v>44197</v>
      </c>
      <c r="C38" s="82">
        <v>44228</v>
      </c>
      <c r="D38" s="82">
        <v>44256</v>
      </c>
      <c r="E38" s="82">
        <v>44287</v>
      </c>
      <c r="F38" s="82">
        <v>44317</v>
      </c>
      <c r="G38" s="82">
        <v>44348</v>
      </c>
      <c r="H38" s="82">
        <v>44378</v>
      </c>
      <c r="I38" s="82">
        <v>44409</v>
      </c>
      <c r="J38" s="82">
        <v>44440</v>
      </c>
      <c r="K38" s="82">
        <v>44470</v>
      </c>
      <c r="L38" s="82">
        <v>44501</v>
      </c>
      <c r="M38" s="82">
        <v>44531</v>
      </c>
    </row>
    <row r="39" spans="1:14" x14ac:dyDescent="0.3">
      <c r="A39" s="78" t="s">
        <v>110</v>
      </c>
      <c r="B39" s="42"/>
      <c r="C39" s="42">
        <f t="shared" ref="C39:M39" si="6">B50</f>
        <v>0</v>
      </c>
      <c r="D39" s="42">
        <f t="shared" si="6"/>
        <v>0</v>
      </c>
      <c r="E39" s="42">
        <f t="shared" si="6"/>
        <v>0</v>
      </c>
      <c r="F39" s="42">
        <f t="shared" si="6"/>
        <v>0</v>
      </c>
      <c r="G39" s="42">
        <f t="shared" si="6"/>
        <v>0</v>
      </c>
      <c r="H39" s="42">
        <f t="shared" si="6"/>
        <v>0</v>
      </c>
      <c r="I39" s="42">
        <f t="shared" si="6"/>
        <v>0</v>
      </c>
      <c r="J39" s="42">
        <f t="shared" si="6"/>
        <v>0</v>
      </c>
      <c r="K39" s="42">
        <f t="shared" si="6"/>
        <v>0</v>
      </c>
      <c r="L39" s="42">
        <f t="shared" si="6"/>
        <v>0</v>
      </c>
      <c r="M39" s="42">
        <f t="shared" si="6"/>
        <v>0</v>
      </c>
    </row>
    <row r="40" spans="1:14" x14ac:dyDescent="0.3">
      <c r="A40" s="78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4" x14ac:dyDescent="0.3">
      <c r="A41" s="78" t="s">
        <v>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>
        <v>2719</v>
      </c>
      <c r="N41" s="2" t="s">
        <v>554</v>
      </c>
    </row>
    <row r="42" spans="1:14" x14ac:dyDescent="0.3">
      <c r="A42" s="78" t="s">
        <v>4</v>
      </c>
      <c r="B42" s="42">
        <v>1200</v>
      </c>
      <c r="C42" s="42">
        <v>1200</v>
      </c>
      <c r="D42" s="42">
        <v>1300</v>
      </c>
      <c r="E42" s="42">
        <v>1300</v>
      </c>
      <c r="F42" s="42">
        <v>1300</v>
      </c>
      <c r="G42" s="42">
        <v>1300</v>
      </c>
      <c r="H42" s="42">
        <v>1300</v>
      </c>
      <c r="I42" s="42">
        <v>1300</v>
      </c>
      <c r="J42" s="42">
        <v>1300</v>
      </c>
      <c r="K42" s="42">
        <v>1300</v>
      </c>
      <c r="L42" s="42">
        <v>1300</v>
      </c>
      <c r="M42" s="42">
        <v>1301</v>
      </c>
    </row>
    <row r="43" spans="1:14" x14ac:dyDescent="0.3">
      <c r="A43" s="78" t="s">
        <v>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>
        <v>30</v>
      </c>
    </row>
    <row r="44" spans="1:14" x14ac:dyDescent="0.3">
      <c r="A44" s="78" t="s">
        <v>73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4" x14ac:dyDescent="0.3">
      <c r="A45" s="78" t="s">
        <v>74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4" x14ac:dyDescent="0.3">
      <c r="A46" s="78" t="s">
        <v>75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4" x14ac:dyDescent="0.3">
      <c r="A47" s="78" t="s">
        <v>5</v>
      </c>
      <c r="B47" s="42">
        <v>2000</v>
      </c>
      <c r="C47" s="42">
        <v>2200</v>
      </c>
      <c r="D47" s="42">
        <v>2200</v>
      </c>
      <c r="E47" s="42">
        <v>2200</v>
      </c>
      <c r="F47" s="42">
        <v>2200</v>
      </c>
      <c r="G47" s="42">
        <v>2500</v>
      </c>
      <c r="H47" s="42">
        <v>2500</v>
      </c>
      <c r="I47" s="42">
        <v>2500</v>
      </c>
      <c r="J47" s="42">
        <v>2500</v>
      </c>
      <c r="K47" s="42">
        <v>2500</v>
      </c>
      <c r="L47" s="42">
        <v>2500</v>
      </c>
      <c r="M47" s="42">
        <v>3000</v>
      </c>
    </row>
    <row r="48" spans="1:14" x14ac:dyDescent="0.3">
      <c r="A48" s="78" t="s">
        <v>6</v>
      </c>
      <c r="B48" s="43">
        <f t="shared" ref="B48:L48" si="7">SUM(B39:B47)</f>
        <v>3200</v>
      </c>
      <c r="C48" s="43">
        <f t="shared" si="7"/>
        <v>3400</v>
      </c>
      <c r="D48" s="43">
        <f t="shared" si="7"/>
        <v>3500</v>
      </c>
      <c r="E48" s="43">
        <f t="shared" si="7"/>
        <v>3500</v>
      </c>
      <c r="F48" s="43">
        <f t="shared" si="7"/>
        <v>3500</v>
      </c>
      <c r="G48" s="43">
        <f t="shared" si="7"/>
        <v>3800</v>
      </c>
      <c r="H48" s="43">
        <f t="shared" si="7"/>
        <v>3800</v>
      </c>
      <c r="I48" s="43">
        <f t="shared" si="7"/>
        <v>3800</v>
      </c>
      <c r="J48" s="43">
        <f t="shared" si="7"/>
        <v>3800</v>
      </c>
      <c r="K48" s="43">
        <f t="shared" si="7"/>
        <v>3800</v>
      </c>
      <c r="L48" s="43">
        <f t="shared" si="7"/>
        <v>3800</v>
      </c>
      <c r="M48" s="43">
        <f>SUM(M39:M47)</f>
        <v>7050</v>
      </c>
    </row>
    <row r="49" spans="1:13" ht="21" thickBot="1" x14ac:dyDescent="0.35">
      <c r="A49" s="78" t="s">
        <v>7</v>
      </c>
      <c r="B49" s="44">
        <v>3200</v>
      </c>
      <c r="C49" s="44">
        <v>3400</v>
      </c>
      <c r="D49" s="44">
        <v>3500</v>
      </c>
      <c r="E49" s="44">
        <v>3500</v>
      </c>
      <c r="F49" s="44">
        <v>3500</v>
      </c>
      <c r="G49" s="44">
        <v>3800</v>
      </c>
      <c r="H49" s="44">
        <v>3800</v>
      </c>
      <c r="I49" s="44">
        <v>3800</v>
      </c>
      <c r="J49" s="44">
        <v>3800</v>
      </c>
      <c r="K49" s="44">
        <v>3800</v>
      </c>
      <c r="L49" s="44">
        <v>3800</v>
      </c>
      <c r="M49" s="44">
        <v>7050</v>
      </c>
    </row>
    <row r="50" spans="1:13" ht="21" thickBot="1" x14ac:dyDescent="0.35">
      <c r="A50" s="78" t="s">
        <v>111</v>
      </c>
      <c r="B50" s="45">
        <f t="shared" ref="B50:M50" si="8">B48-B49</f>
        <v>0</v>
      </c>
      <c r="C50" s="46">
        <f t="shared" si="8"/>
        <v>0</v>
      </c>
      <c r="D50" s="46">
        <f t="shared" si="8"/>
        <v>0</v>
      </c>
      <c r="E50" s="46">
        <f t="shared" si="8"/>
        <v>0</v>
      </c>
      <c r="F50" s="46">
        <f t="shared" si="8"/>
        <v>0</v>
      </c>
      <c r="G50" s="46">
        <f t="shared" si="8"/>
        <v>0</v>
      </c>
      <c r="H50" s="46">
        <f t="shared" si="8"/>
        <v>0</v>
      </c>
      <c r="I50" s="46">
        <f t="shared" si="8"/>
        <v>0</v>
      </c>
      <c r="J50" s="46">
        <f t="shared" si="8"/>
        <v>0</v>
      </c>
      <c r="K50" s="46">
        <f t="shared" si="8"/>
        <v>0</v>
      </c>
      <c r="L50" s="46">
        <f t="shared" si="8"/>
        <v>0</v>
      </c>
      <c r="M50" s="47">
        <f t="shared" si="8"/>
        <v>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3:M34"/>
  <sheetViews>
    <sheetView workbookViewId="0">
      <selection activeCell="F15" sqref="F15"/>
    </sheetView>
  </sheetViews>
  <sheetFormatPr baseColWidth="10" defaultRowHeight="12.75" x14ac:dyDescent="0.2"/>
  <cols>
    <col min="1" max="1" width="28.5703125" customWidth="1"/>
    <col min="2" max="2" width="12.85546875" bestFit="1" customWidth="1"/>
    <col min="3" max="3" width="13" customWidth="1"/>
    <col min="4" max="4" width="13.140625" customWidth="1"/>
    <col min="5" max="5" width="12.5703125" customWidth="1"/>
    <col min="6" max="6" width="13.28515625" customWidth="1"/>
    <col min="7" max="7" width="12.85546875" customWidth="1"/>
    <col min="8" max="8" width="13.42578125" customWidth="1"/>
    <col min="9" max="9" width="14.140625" customWidth="1"/>
    <col min="10" max="10" width="13.85546875" customWidth="1"/>
    <col min="11" max="11" width="13.5703125" customWidth="1"/>
    <col min="12" max="12" width="13.42578125" customWidth="1"/>
    <col min="13" max="13" width="13.14062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46023</v>
      </c>
      <c r="C4" s="79">
        <v>46054</v>
      </c>
      <c r="D4" s="79">
        <v>46082</v>
      </c>
      <c r="E4" s="79">
        <v>46113</v>
      </c>
      <c r="F4" s="79">
        <v>46143</v>
      </c>
      <c r="G4" s="79">
        <v>46174</v>
      </c>
      <c r="H4" s="79">
        <v>46204</v>
      </c>
      <c r="I4" s="79">
        <v>46235</v>
      </c>
      <c r="J4" s="79">
        <v>46266</v>
      </c>
      <c r="K4" s="79">
        <v>46296</v>
      </c>
      <c r="L4" s="79">
        <v>46327</v>
      </c>
      <c r="M4" s="79">
        <v>46357</v>
      </c>
    </row>
    <row r="5" spans="1:13" x14ac:dyDescent="0.2">
      <c r="A5" s="78" t="s">
        <v>110</v>
      </c>
      <c r="B5" s="42">
        <v>1198875</v>
      </c>
      <c r="C5" s="42">
        <f>B16</f>
        <v>1398875</v>
      </c>
      <c r="D5" s="42">
        <f t="shared" ref="D5:M5" si="0">C16</f>
        <v>1598875</v>
      </c>
      <c r="E5" s="42">
        <f t="shared" si="0"/>
        <v>1798875</v>
      </c>
      <c r="F5" s="42">
        <f t="shared" si="0"/>
        <v>1998875</v>
      </c>
      <c r="G5" s="42">
        <f t="shared" si="0"/>
        <v>2198875</v>
      </c>
      <c r="H5" s="42">
        <f t="shared" si="0"/>
        <v>2198875</v>
      </c>
      <c r="I5" s="42">
        <f t="shared" si="0"/>
        <v>2198875</v>
      </c>
      <c r="J5" s="42">
        <f t="shared" si="0"/>
        <v>2198875</v>
      </c>
      <c r="K5" s="42">
        <f>J16</f>
        <v>2198875</v>
      </c>
      <c r="L5" s="42">
        <f t="shared" si="0"/>
        <v>2198875</v>
      </c>
      <c r="M5" s="42">
        <f t="shared" si="0"/>
        <v>2198875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200000</v>
      </c>
      <c r="C13" s="42">
        <v>200000</v>
      </c>
      <c r="D13" s="42">
        <v>200000</v>
      </c>
      <c r="E13" s="42">
        <v>200000</v>
      </c>
      <c r="F13" s="42">
        <v>200000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1398875</v>
      </c>
      <c r="C14" s="43">
        <f t="shared" ref="C14:M14" si="1">SUM(C5:C13)</f>
        <v>1598875</v>
      </c>
      <c r="D14" s="43">
        <f t="shared" si="1"/>
        <v>1798875</v>
      </c>
      <c r="E14" s="43">
        <f t="shared" si="1"/>
        <v>1998875</v>
      </c>
      <c r="F14" s="43">
        <f t="shared" si="1"/>
        <v>2198875</v>
      </c>
      <c r="G14" s="43">
        <f t="shared" si="1"/>
        <v>2198875</v>
      </c>
      <c r="H14" s="43">
        <f t="shared" si="1"/>
        <v>2198875</v>
      </c>
      <c r="I14" s="43">
        <f t="shared" si="1"/>
        <v>2198875</v>
      </c>
      <c r="J14" s="43">
        <f t="shared" si="1"/>
        <v>2198875</v>
      </c>
      <c r="K14" s="43">
        <f t="shared" si="1"/>
        <v>2198875</v>
      </c>
      <c r="L14" s="43">
        <f t="shared" si="1"/>
        <v>2198875</v>
      </c>
      <c r="M14" s="43">
        <f t="shared" si="1"/>
        <v>2198875</v>
      </c>
    </row>
    <row r="15" spans="1:13" x14ac:dyDescent="0.2">
      <c r="A15" s="78" t="s">
        <v>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1398875</v>
      </c>
      <c r="C16" s="43">
        <f>C14-C15</f>
        <v>1598875</v>
      </c>
      <c r="D16" s="43">
        <f t="shared" ref="D16:M16" si="2">D14-D15</f>
        <v>1798875</v>
      </c>
      <c r="E16" s="43">
        <f t="shared" si="2"/>
        <v>1998875</v>
      </c>
      <c r="F16" s="43">
        <f t="shared" si="2"/>
        <v>2198875</v>
      </c>
      <c r="G16" s="43">
        <f t="shared" si="2"/>
        <v>2198875</v>
      </c>
      <c r="H16" s="43">
        <f t="shared" si="2"/>
        <v>2198875</v>
      </c>
      <c r="I16" s="43">
        <f t="shared" si="2"/>
        <v>2198875</v>
      </c>
      <c r="J16" s="43">
        <f t="shared" si="2"/>
        <v>2198875</v>
      </c>
      <c r="K16" s="43">
        <f t="shared" si="2"/>
        <v>2198875</v>
      </c>
      <c r="L16" s="43">
        <f t="shared" si="2"/>
        <v>2198875</v>
      </c>
      <c r="M16" s="43">
        <f t="shared" si="2"/>
        <v>2198875</v>
      </c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78"/>
      <c r="B22" s="79">
        <v>45658</v>
      </c>
      <c r="C22" s="79">
        <v>45689</v>
      </c>
      <c r="D22" s="79">
        <v>45717</v>
      </c>
      <c r="E22" s="79">
        <v>45748</v>
      </c>
      <c r="F22" s="79">
        <v>45778</v>
      </c>
      <c r="G22" s="79">
        <v>45809</v>
      </c>
      <c r="H22" s="79">
        <v>45839</v>
      </c>
      <c r="I22" s="79">
        <v>45870</v>
      </c>
      <c r="J22" s="79">
        <v>45901</v>
      </c>
      <c r="K22" s="79">
        <v>45931</v>
      </c>
      <c r="L22" s="79">
        <v>45962</v>
      </c>
      <c r="M22" s="79">
        <v>45992</v>
      </c>
    </row>
    <row r="23" spans="1:13" x14ac:dyDescent="0.2">
      <c r="A23" s="78" t="s">
        <v>110</v>
      </c>
      <c r="B23" s="42">
        <v>433000</v>
      </c>
      <c r="C23" s="42">
        <f t="shared" ref="C23:M23" si="3">B34</f>
        <v>563000</v>
      </c>
      <c r="D23" s="42">
        <f t="shared" si="3"/>
        <v>693000</v>
      </c>
      <c r="E23" s="42">
        <f t="shared" si="3"/>
        <v>823000</v>
      </c>
      <c r="F23" s="42">
        <f t="shared" si="3"/>
        <v>953000</v>
      </c>
      <c r="G23" s="42">
        <f t="shared" si="3"/>
        <v>1083000</v>
      </c>
      <c r="H23" s="42">
        <f t="shared" si="3"/>
        <v>1233000</v>
      </c>
      <c r="I23" s="42">
        <f t="shared" si="3"/>
        <v>198875</v>
      </c>
      <c r="J23" s="42">
        <f t="shared" si="3"/>
        <v>398875</v>
      </c>
      <c r="K23" s="42">
        <f t="shared" si="3"/>
        <v>598875</v>
      </c>
      <c r="L23" s="42">
        <f t="shared" si="3"/>
        <v>798875</v>
      </c>
      <c r="M23" s="42">
        <f t="shared" si="3"/>
        <v>998875</v>
      </c>
    </row>
    <row r="24" spans="1:13" x14ac:dyDescent="0.2">
      <c r="A24" s="7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130000</v>
      </c>
      <c r="C31" s="42">
        <v>130000</v>
      </c>
      <c r="D31" s="42">
        <v>130000</v>
      </c>
      <c r="E31" s="42">
        <v>130000</v>
      </c>
      <c r="F31" s="42">
        <v>130000</v>
      </c>
      <c r="G31" s="42">
        <v>150000</v>
      </c>
      <c r="H31" s="42">
        <v>150000</v>
      </c>
      <c r="I31" s="42">
        <v>200000</v>
      </c>
      <c r="J31" s="42">
        <v>200000</v>
      </c>
      <c r="K31" s="42">
        <v>200000</v>
      </c>
      <c r="L31" s="42">
        <v>200000</v>
      </c>
      <c r="M31" s="42">
        <v>200000</v>
      </c>
    </row>
    <row r="32" spans="1:13" x14ac:dyDescent="0.2">
      <c r="A32" s="78" t="s">
        <v>6</v>
      </c>
      <c r="B32" s="43">
        <f>SUM(B23:B31)</f>
        <v>563000</v>
      </c>
      <c r="C32" s="43">
        <f t="shared" ref="C32:M32" si="4">SUM(C23:C31)</f>
        <v>693000</v>
      </c>
      <c r="D32" s="43">
        <f t="shared" si="4"/>
        <v>823000</v>
      </c>
      <c r="E32" s="43">
        <f t="shared" si="4"/>
        <v>953000</v>
      </c>
      <c r="F32" s="43">
        <f t="shared" si="4"/>
        <v>1083000</v>
      </c>
      <c r="G32" s="43">
        <f t="shared" si="4"/>
        <v>1233000</v>
      </c>
      <c r="H32" s="43">
        <f t="shared" si="4"/>
        <v>1383000</v>
      </c>
      <c r="I32" s="43">
        <f t="shared" si="4"/>
        <v>398875</v>
      </c>
      <c r="J32" s="43">
        <f t="shared" si="4"/>
        <v>598875</v>
      </c>
      <c r="K32" s="43">
        <f t="shared" si="4"/>
        <v>798875</v>
      </c>
      <c r="L32" s="43">
        <f t="shared" si="4"/>
        <v>998875</v>
      </c>
      <c r="M32" s="43">
        <f t="shared" si="4"/>
        <v>1198875</v>
      </c>
    </row>
    <row r="33" spans="1:13" x14ac:dyDescent="0.2">
      <c r="A33" s="78" t="s">
        <v>7</v>
      </c>
      <c r="B33" s="44"/>
      <c r="C33" s="44"/>
      <c r="D33" s="44"/>
      <c r="E33" s="44"/>
      <c r="F33" s="44"/>
      <c r="G33" s="44"/>
      <c r="H33" s="44">
        <v>1184125</v>
      </c>
      <c r="I33" s="44"/>
      <c r="J33" s="44"/>
      <c r="K33" s="44"/>
      <c r="L33" s="44"/>
      <c r="M33" s="44"/>
    </row>
    <row r="34" spans="1:13" x14ac:dyDescent="0.2">
      <c r="A34" s="78" t="s">
        <v>111</v>
      </c>
      <c r="B34" s="43">
        <f>B32-B33</f>
        <v>563000</v>
      </c>
      <c r="C34" s="43">
        <f>C32-C33</f>
        <v>693000</v>
      </c>
      <c r="D34" s="43">
        <f t="shared" ref="D34:M34" si="5">D32-D33</f>
        <v>823000</v>
      </c>
      <c r="E34" s="43">
        <f t="shared" si="5"/>
        <v>953000</v>
      </c>
      <c r="F34" s="43">
        <f t="shared" si="5"/>
        <v>1083000</v>
      </c>
      <c r="G34" s="43">
        <f t="shared" si="5"/>
        <v>1233000</v>
      </c>
      <c r="H34" s="43">
        <f t="shared" si="5"/>
        <v>198875</v>
      </c>
      <c r="I34" s="43">
        <f t="shared" si="5"/>
        <v>398875</v>
      </c>
      <c r="J34" s="43">
        <f t="shared" si="5"/>
        <v>598875</v>
      </c>
      <c r="K34" s="43">
        <f t="shared" si="5"/>
        <v>798875</v>
      </c>
      <c r="L34" s="43">
        <f t="shared" si="5"/>
        <v>998875</v>
      </c>
      <c r="M34" s="43">
        <f t="shared" si="5"/>
        <v>1198875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3:M34"/>
  <sheetViews>
    <sheetView topLeftCell="A4" workbookViewId="0">
      <selection activeCell="I17" sqref="I17"/>
    </sheetView>
  </sheetViews>
  <sheetFormatPr baseColWidth="10" defaultRowHeight="12.75" x14ac:dyDescent="0.2"/>
  <cols>
    <col min="1" max="1" width="28" customWidth="1"/>
  </cols>
  <sheetData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43831</v>
      </c>
      <c r="C5" s="79">
        <v>43862</v>
      </c>
      <c r="D5" s="79">
        <v>43891</v>
      </c>
      <c r="E5" s="79">
        <v>43922</v>
      </c>
      <c r="F5" s="79">
        <v>43952</v>
      </c>
      <c r="G5" s="79">
        <v>43983</v>
      </c>
      <c r="H5" s="79">
        <v>44013</v>
      </c>
      <c r="I5" s="79">
        <v>44044</v>
      </c>
      <c r="J5" s="79">
        <v>44075</v>
      </c>
      <c r="K5" s="79">
        <v>44105</v>
      </c>
      <c r="L5" s="79">
        <v>44136</v>
      </c>
      <c r="M5" s="79">
        <v>44166</v>
      </c>
    </row>
    <row r="6" spans="1:13" x14ac:dyDescent="0.2">
      <c r="A6" s="7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-243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>J17</f>
        <v>0</v>
      </c>
      <c r="L6" s="42">
        <f t="shared" si="0"/>
        <v>0</v>
      </c>
      <c r="M6" s="42">
        <f t="shared" si="0"/>
        <v>0</v>
      </c>
    </row>
    <row r="7" spans="1:13" x14ac:dyDescent="0.2">
      <c r="A7" s="78" t="s">
        <v>76</v>
      </c>
      <c r="B7" s="42">
        <v>557</v>
      </c>
      <c r="C7" s="42">
        <v>557</v>
      </c>
      <c r="D7" s="42">
        <v>557</v>
      </c>
      <c r="E7" s="42">
        <v>557</v>
      </c>
      <c r="F7" s="42">
        <v>557</v>
      </c>
      <c r="G7" s="42">
        <v>325.54000000000002</v>
      </c>
      <c r="H7" s="42">
        <v>325.54000000000002</v>
      </c>
      <c r="I7" s="42">
        <v>325</v>
      </c>
      <c r="J7" s="42"/>
      <c r="K7" s="42"/>
      <c r="L7" s="42"/>
      <c r="M7" s="42"/>
    </row>
    <row r="8" spans="1:13" x14ac:dyDescent="0.2">
      <c r="A8" s="78" t="s">
        <v>3</v>
      </c>
      <c r="B8" s="42">
        <v>1113</v>
      </c>
      <c r="C8" s="42">
        <f>1113+683</f>
        <v>1796</v>
      </c>
      <c r="D8" s="42">
        <v>700</v>
      </c>
      <c r="E8" s="42">
        <v>700</v>
      </c>
      <c r="F8" s="42">
        <v>700</v>
      </c>
      <c r="G8" s="42">
        <v>756</v>
      </c>
      <c r="H8" s="42">
        <v>756</v>
      </c>
      <c r="I8" s="42">
        <v>756</v>
      </c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>
        <v>-56.54</v>
      </c>
      <c r="H13" s="42">
        <v>-1.54</v>
      </c>
      <c r="I13" s="42">
        <v>-1</v>
      </c>
      <c r="J13" s="42"/>
      <c r="K13" s="42"/>
      <c r="L13" s="42"/>
      <c r="M13" s="42"/>
    </row>
    <row r="14" spans="1:13" x14ac:dyDescent="0.2">
      <c r="A14" s="78" t="s">
        <v>5</v>
      </c>
      <c r="B14" s="42">
        <v>1500</v>
      </c>
      <c r="C14" s="42">
        <v>1500</v>
      </c>
      <c r="D14" s="42">
        <v>1500</v>
      </c>
      <c r="E14" s="42">
        <v>1500</v>
      </c>
      <c r="F14" s="42">
        <v>1500</v>
      </c>
      <c r="G14" s="42">
        <f>1500+232</f>
        <v>1732</v>
      </c>
      <c r="H14" s="42">
        <v>1670</v>
      </c>
      <c r="I14" s="42">
        <v>1700</v>
      </c>
      <c r="J14" s="42"/>
      <c r="K14" s="42"/>
      <c r="L14" s="42"/>
      <c r="M14" s="42"/>
    </row>
    <row r="15" spans="1:13" x14ac:dyDescent="0.2">
      <c r="A15" s="78" t="s">
        <v>6</v>
      </c>
      <c r="B15" s="43">
        <f>SUM(B6:B14)</f>
        <v>3170</v>
      </c>
      <c r="C15" s="43">
        <f t="shared" ref="C15:M15" si="1">SUM(C6:C14)</f>
        <v>3853</v>
      </c>
      <c r="D15" s="43">
        <f t="shared" si="1"/>
        <v>2757</v>
      </c>
      <c r="E15" s="43">
        <f t="shared" si="1"/>
        <v>2514</v>
      </c>
      <c r="F15" s="43">
        <f t="shared" si="1"/>
        <v>2757</v>
      </c>
      <c r="G15" s="43">
        <f t="shared" si="1"/>
        <v>2757</v>
      </c>
      <c r="H15" s="43">
        <f t="shared" si="1"/>
        <v>2750</v>
      </c>
      <c r="I15" s="43">
        <f t="shared" si="1"/>
        <v>2780</v>
      </c>
      <c r="J15" s="43">
        <f t="shared" si="1"/>
        <v>0</v>
      </c>
      <c r="K15" s="43">
        <f t="shared" si="1"/>
        <v>0</v>
      </c>
      <c r="L15" s="43">
        <f t="shared" si="1"/>
        <v>0</v>
      </c>
      <c r="M15" s="43">
        <f t="shared" si="1"/>
        <v>0</v>
      </c>
    </row>
    <row r="16" spans="1:13" x14ac:dyDescent="0.2">
      <c r="A16" s="78" t="s">
        <v>7</v>
      </c>
      <c r="B16" s="44">
        <v>3170</v>
      </c>
      <c r="C16" s="44">
        <v>3853</v>
      </c>
      <c r="D16" s="44">
        <v>3000</v>
      </c>
      <c r="E16" s="44">
        <v>2514</v>
      </c>
      <c r="F16" s="44">
        <v>2757</v>
      </c>
      <c r="G16" s="44">
        <v>2757</v>
      </c>
      <c r="H16" s="44">
        <v>2750</v>
      </c>
      <c r="I16" s="44">
        <v>2780</v>
      </c>
      <c r="J16" s="44"/>
      <c r="K16" s="44"/>
      <c r="L16" s="44"/>
      <c r="M16" s="44"/>
    </row>
    <row r="17" spans="1:13" x14ac:dyDescent="0.2">
      <c r="A17" s="7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-243</v>
      </c>
      <c r="E17" s="43">
        <f t="shared" si="2"/>
        <v>0</v>
      </c>
      <c r="F17" s="43">
        <f t="shared" si="2"/>
        <v>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0</v>
      </c>
      <c r="L17" s="43">
        <f t="shared" si="2"/>
        <v>0</v>
      </c>
      <c r="M17" s="43">
        <f t="shared" si="2"/>
        <v>0</v>
      </c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78"/>
      <c r="B22" s="79">
        <v>43466</v>
      </c>
      <c r="C22" s="79">
        <v>43497</v>
      </c>
      <c r="D22" s="79">
        <v>43525</v>
      </c>
      <c r="E22" s="79">
        <v>43556</v>
      </c>
      <c r="F22" s="79">
        <v>43586</v>
      </c>
      <c r="G22" s="79">
        <v>43617</v>
      </c>
      <c r="H22" s="79">
        <v>43647</v>
      </c>
      <c r="I22" s="79">
        <v>43678</v>
      </c>
      <c r="J22" s="79">
        <v>43709</v>
      </c>
      <c r="K22" s="79">
        <v>43739</v>
      </c>
      <c r="L22" s="79">
        <v>43770</v>
      </c>
      <c r="M22" s="79">
        <v>43800</v>
      </c>
    </row>
    <row r="23" spans="1:13" x14ac:dyDescent="0.2">
      <c r="A23" s="78" t="s">
        <v>110</v>
      </c>
      <c r="B23" s="42"/>
      <c r="C23" s="42">
        <f t="shared" ref="C23:M23" si="3">B34</f>
        <v>83</v>
      </c>
      <c r="D23" s="42">
        <f t="shared" si="3"/>
        <v>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344</v>
      </c>
      <c r="B24" s="42">
        <v>370</v>
      </c>
      <c r="C24" s="42">
        <v>370</v>
      </c>
      <c r="D24" s="42">
        <v>370</v>
      </c>
      <c r="E24" s="42">
        <v>370</v>
      </c>
      <c r="F24" s="42">
        <v>370</v>
      </c>
      <c r="G24" s="42">
        <v>370</v>
      </c>
      <c r="H24" s="42">
        <v>370</v>
      </c>
      <c r="I24" s="42">
        <v>370</v>
      </c>
      <c r="J24" s="42">
        <v>370</v>
      </c>
      <c r="K24" s="42">
        <v>370</v>
      </c>
      <c r="L24" s="42">
        <v>370</v>
      </c>
      <c r="M24" s="42">
        <v>370</v>
      </c>
    </row>
    <row r="25" spans="1:13" x14ac:dyDescent="0.2">
      <c r="A25" s="78" t="s">
        <v>3</v>
      </c>
      <c r="B25" s="42">
        <v>1110</v>
      </c>
      <c r="C25" s="42">
        <v>1110</v>
      </c>
      <c r="D25" s="42">
        <v>1110</v>
      </c>
      <c r="E25" s="42">
        <v>1110</v>
      </c>
      <c r="F25" s="42">
        <v>1110</v>
      </c>
      <c r="G25" s="42">
        <v>1110</v>
      </c>
      <c r="H25" s="42">
        <v>1110</v>
      </c>
      <c r="I25" s="42">
        <v>1110</v>
      </c>
      <c r="J25" s="42">
        <v>1110</v>
      </c>
      <c r="K25" s="42">
        <v>1112</v>
      </c>
      <c r="L25" s="42">
        <v>1112</v>
      </c>
      <c r="M25" s="42">
        <v>1112</v>
      </c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1000</v>
      </c>
      <c r="C31" s="42">
        <v>1000</v>
      </c>
      <c r="D31" s="42">
        <v>1000</v>
      </c>
      <c r="E31" s="42">
        <v>1000</v>
      </c>
      <c r="F31" s="42">
        <v>1000</v>
      </c>
      <c r="G31" s="42">
        <v>1000</v>
      </c>
      <c r="H31" s="42">
        <v>1000</v>
      </c>
      <c r="I31" s="42">
        <v>1000</v>
      </c>
      <c r="J31" s="42">
        <v>1000</v>
      </c>
      <c r="K31" s="42">
        <v>1000</v>
      </c>
      <c r="L31" s="42">
        <v>1000</v>
      </c>
      <c r="M31" s="42">
        <v>1000</v>
      </c>
    </row>
    <row r="32" spans="1:13" x14ac:dyDescent="0.2">
      <c r="A32" s="78" t="s">
        <v>6</v>
      </c>
      <c r="B32" s="43">
        <f>SUM(B23:B31)</f>
        <v>2480</v>
      </c>
      <c r="C32" s="43">
        <f t="shared" ref="C32:M32" si="4">SUM(C23:C31)</f>
        <v>2563</v>
      </c>
      <c r="D32" s="43">
        <f t="shared" si="4"/>
        <v>2480</v>
      </c>
      <c r="E32" s="43">
        <f t="shared" si="4"/>
        <v>2480</v>
      </c>
      <c r="F32" s="43">
        <f t="shared" si="4"/>
        <v>2480</v>
      </c>
      <c r="G32" s="43">
        <f t="shared" si="4"/>
        <v>2480</v>
      </c>
      <c r="H32" s="43">
        <f t="shared" si="4"/>
        <v>2480</v>
      </c>
      <c r="I32" s="43">
        <f t="shared" si="4"/>
        <v>2480</v>
      </c>
      <c r="J32" s="43">
        <f t="shared" si="4"/>
        <v>2480</v>
      </c>
      <c r="K32" s="43">
        <f t="shared" si="4"/>
        <v>2482</v>
      </c>
      <c r="L32" s="43">
        <f t="shared" si="4"/>
        <v>2482</v>
      </c>
      <c r="M32" s="43">
        <f t="shared" si="4"/>
        <v>2482</v>
      </c>
    </row>
    <row r="33" spans="1:13" x14ac:dyDescent="0.2">
      <c r="A33" s="78" t="s">
        <v>7</v>
      </c>
      <c r="B33" s="44">
        <v>2397</v>
      </c>
      <c r="C33" s="44">
        <v>2563</v>
      </c>
      <c r="D33" s="44">
        <v>2480</v>
      </c>
      <c r="E33" s="44">
        <v>2480</v>
      </c>
      <c r="F33" s="44">
        <v>2480</v>
      </c>
      <c r="G33" s="44">
        <v>2480</v>
      </c>
      <c r="H33" s="44">
        <v>2480</v>
      </c>
      <c r="I33" s="44">
        <v>2480</v>
      </c>
      <c r="J33" s="44">
        <v>2480</v>
      </c>
      <c r="K33" s="44">
        <v>2482</v>
      </c>
      <c r="L33" s="44">
        <v>2482</v>
      </c>
      <c r="M33" s="44">
        <v>2482</v>
      </c>
    </row>
    <row r="34" spans="1:13" x14ac:dyDescent="0.2">
      <c r="A34" s="78" t="s">
        <v>111</v>
      </c>
      <c r="B34" s="43">
        <f>B32-B33</f>
        <v>83</v>
      </c>
      <c r="C34" s="43">
        <f>C32-C33</f>
        <v>0</v>
      </c>
      <c r="D34" s="43">
        <f t="shared" ref="D34:M34" si="5">D32-D33</f>
        <v>0</v>
      </c>
      <c r="E34" s="43">
        <f t="shared" si="5"/>
        <v>0</v>
      </c>
      <c r="F34" s="43">
        <f t="shared" si="5"/>
        <v>0</v>
      </c>
      <c r="G34" s="43">
        <f t="shared" si="5"/>
        <v>0</v>
      </c>
      <c r="H34" s="43">
        <f t="shared" si="5"/>
        <v>0</v>
      </c>
      <c r="I34" s="43">
        <f t="shared" si="5"/>
        <v>0</v>
      </c>
      <c r="J34" s="43">
        <f t="shared" si="5"/>
        <v>0</v>
      </c>
      <c r="K34" s="43">
        <f t="shared" si="5"/>
        <v>0</v>
      </c>
      <c r="L34" s="43">
        <f t="shared" si="5"/>
        <v>0</v>
      </c>
      <c r="M34" s="43">
        <f t="shared" si="5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B3:N31"/>
  <sheetViews>
    <sheetView topLeftCell="A13" workbookViewId="0">
      <selection activeCell="G30" sqref="G30"/>
    </sheetView>
  </sheetViews>
  <sheetFormatPr baseColWidth="10" defaultRowHeight="12.75" x14ac:dyDescent="0.2"/>
  <cols>
    <col min="1" max="1" width="2.42578125" customWidth="1"/>
    <col min="2" max="2" width="30" customWidth="1"/>
    <col min="5" max="5" width="12.85546875" customWidth="1"/>
    <col min="6" max="6" width="13.140625" customWidth="1"/>
    <col min="7" max="7" width="13" customWidth="1"/>
    <col min="8" max="8" width="14.140625" customWidth="1"/>
    <col min="9" max="9" width="12.5703125" customWidth="1"/>
    <col min="10" max="10" width="13.140625" customWidth="1"/>
    <col min="11" max="11" width="12.7109375" customWidth="1"/>
    <col min="12" max="12" width="12.85546875" bestFit="1" customWidth="1"/>
    <col min="13" max="13" width="12.7109375" customWidth="1"/>
    <col min="14" max="14" width="13" customWidth="1"/>
  </cols>
  <sheetData>
    <row r="3" spans="2:14" ht="15.75" x14ac:dyDescent="0.25">
      <c r="B3" s="31" t="s">
        <v>0</v>
      </c>
      <c r="C3" s="31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x14ac:dyDescent="0.2">
      <c r="B4" s="78"/>
      <c r="C4" s="79">
        <v>45658</v>
      </c>
      <c r="D4" s="79">
        <v>45689</v>
      </c>
      <c r="E4" s="79">
        <v>45717</v>
      </c>
      <c r="F4" s="79">
        <v>45748</v>
      </c>
      <c r="G4" s="79">
        <v>45778</v>
      </c>
      <c r="H4" s="79">
        <v>45809</v>
      </c>
      <c r="I4" s="79">
        <v>45839</v>
      </c>
      <c r="J4" s="79">
        <v>45870</v>
      </c>
      <c r="K4" s="79">
        <v>45901</v>
      </c>
      <c r="L4" s="79">
        <v>45931</v>
      </c>
      <c r="M4" s="79">
        <v>45962</v>
      </c>
      <c r="N4" s="79">
        <v>45992</v>
      </c>
    </row>
    <row r="5" spans="2:14" x14ac:dyDescent="0.2">
      <c r="B5" s="78" t="s">
        <v>110</v>
      </c>
      <c r="C5" s="42"/>
      <c r="D5" s="42">
        <f>C16</f>
        <v>0</v>
      </c>
      <c r="E5" s="42">
        <f t="shared" ref="E5:N5" si="0">D16</f>
        <v>0</v>
      </c>
      <c r="F5" s="42">
        <f t="shared" si="0"/>
        <v>208200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214100</v>
      </c>
      <c r="L5" s="42">
        <f>K16</f>
        <v>0</v>
      </c>
      <c r="M5" s="42">
        <f t="shared" si="0"/>
        <v>0</v>
      </c>
      <c r="N5" s="42">
        <f t="shared" si="0"/>
        <v>286150</v>
      </c>
    </row>
    <row r="6" spans="2:14" x14ac:dyDescent="0.2">
      <c r="B6" s="78" t="s">
        <v>76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2:14" x14ac:dyDescent="0.2">
      <c r="B7" s="78" t="s">
        <v>3</v>
      </c>
      <c r="C7" s="42"/>
      <c r="D7" s="42">
        <v>16800</v>
      </c>
      <c r="E7" s="42">
        <v>39800</v>
      </c>
      <c r="F7" s="42"/>
      <c r="G7" s="42"/>
      <c r="H7" s="42"/>
      <c r="I7" s="42"/>
      <c r="J7" s="42"/>
      <c r="K7" s="42">
        <v>10000</v>
      </c>
      <c r="L7" s="42"/>
      <c r="M7" s="42"/>
      <c r="N7" s="42"/>
    </row>
    <row r="8" spans="2:14" x14ac:dyDescent="0.2">
      <c r="B8" s="78" t="s">
        <v>637</v>
      </c>
      <c r="C8" s="42">
        <v>22300</v>
      </c>
      <c r="D8" s="42">
        <v>22300</v>
      </c>
      <c r="E8" s="42">
        <v>22300</v>
      </c>
      <c r="F8" s="42">
        <v>22300</v>
      </c>
      <c r="G8" s="42">
        <v>22300</v>
      </c>
      <c r="H8" s="42">
        <v>22300</v>
      </c>
      <c r="I8" s="42">
        <v>28000</v>
      </c>
      <c r="J8" s="42">
        <v>28000</v>
      </c>
      <c r="K8" s="42">
        <v>28000</v>
      </c>
      <c r="L8" s="42">
        <v>28000</v>
      </c>
      <c r="M8" s="42">
        <v>28150</v>
      </c>
      <c r="N8" s="42">
        <v>28000</v>
      </c>
    </row>
    <row r="9" spans="2:14" x14ac:dyDescent="0.2">
      <c r="B9" s="78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636</v>
      </c>
      <c r="C10" s="42">
        <v>42900</v>
      </c>
      <c r="D10" s="42">
        <v>56100</v>
      </c>
      <c r="E10" s="42">
        <v>56100</v>
      </c>
      <c r="F10" s="42">
        <v>56100</v>
      </c>
      <c r="G10" s="42">
        <v>56100</v>
      </c>
      <c r="H10" s="42">
        <v>56100</v>
      </c>
      <c r="I10" s="42">
        <v>56100</v>
      </c>
      <c r="J10" s="42">
        <v>56100</v>
      </c>
      <c r="K10" s="42">
        <v>63500</v>
      </c>
      <c r="L10" s="42">
        <v>63500</v>
      </c>
      <c r="M10" s="42">
        <v>63500</v>
      </c>
      <c r="N10" s="42">
        <v>63500</v>
      </c>
    </row>
    <row r="11" spans="2:14" x14ac:dyDescent="0.2">
      <c r="B11" s="78" t="s">
        <v>753</v>
      </c>
      <c r="C11" s="42"/>
      <c r="D11" s="42"/>
      <c r="E11" s="42"/>
      <c r="F11" s="42"/>
      <c r="G11" s="42"/>
      <c r="H11" s="42"/>
      <c r="I11" s="42"/>
      <c r="J11" s="42"/>
      <c r="K11" s="42"/>
      <c r="L11" s="42">
        <v>44500</v>
      </c>
      <c r="M11" s="42">
        <v>44500</v>
      </c>
      <c r="N11" s="42">
        <v>44500</v>
      </c>
    </row>
    <row r="12" spans="2:14" x14ac:dyDescent="0.2">
      <c r="B12" s="78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5</v>
      </c>
      <c r="C13" s="42">
        <v>90000</v>
      </c>
      <c r="D13" s="42">
        <v>90000</v>
      </c>
      <c r="E13" s="42">
        <v>90000</v>
      </c>
      <c r="F13" s="42">
        <v>100000</v>
      </c>
      <c r="G13" s="42">
        <v>100000</v>
      </c>
      <c r="H13" s="42">
        <v>110000</v>
      </c>
      <c r="I13" s="42">
        <v>130000</v>
      </c>
      <c r="J13" s="42">
        <v>130000</v>
      </c>
      <c r="K13" s="42">
        <v>130000</v>
      </c>
      <c r="L13" s="42">
        <v>150000</v>
      </c>
      <c r="M13" s="42">
        <v>150000</v>
      </c>
      <c r="N13" s="42">
        <v>180000</v>
      </c>
    </row>
    <row r="14" spans="2:14" x14ac:dyDescent="0.2">
      <c r="B14" s="78" t="s">
        <v>6</v>
      </c>
      <c r="C14" s="43">
        <f t="shared" ref="C14:N14" si="1">SUM(C5:C13)</f>
        <v>155200</v>
      </c>
      <c r="D14" s="43">
        <f t="shared" si="1"/>
        <v>185200</v>
      </c>
      <c r="E14" s="43">
        <f t="shared" si="1"/>
        <v>208200</v>
      </c>
      <c r="F14" s="43">
        <f t="shared" si="1"/>
        <v>386600</v>
      </c>
      <c r="G14" s="43">
        <f t="shared" si="1"/>
        <v>178400</v>
      </c>
      <c r="H14" s="43">
        <f t="shared" si="1"/>
        <v>188400</v>
      </c>
      <c r="I14" s="43">
        <f t="shared" si="1"/>
        <v>214100</v>
      </c>
      <c r="J14" s="43">
        <f>SUM(J5:J13)</f>
        <v>214100</v>
      </c>
      <c r="K14" s="43">
        <f>SUM(K5:K13)</f>
        <v>445600</v>
      </c>
      <c r="L14" s="43">
        <f t="shared" si="1"/>
        <v>286000</v>
      </c>
      <c r="M14" s="43">
        <f t="shared" si="1"/>
        <v>286150</v>
      </c>
      <c r="N14" s="43">
        <f t="shared" si="1"/>
        <v>602150</v>
      </c>
    </row>
    <row r="15" spans="2:14" x14ac:dyDescent="0.2">
      <c r="B15" s="78" t="s">
        <v>7</v>
      </c>
      <c r="C15" s="44">
        <v>155200</v>
      </c>
      <c r="D15" s="44">
        <v>185200</v>
      </c>
      <c r="E15" s="44"/>
      <c r="F15" s="44">
        <v>386600</v>
      </c>
      <c r="G15" s="44">
        <v>178400</v>
      </c>
      <c r="H15" s="44">
        <v>188400</v>
      </c>
      <c r="I15" s="44">
        <v>214100</v>
      </c>
      <c r="J15" s="44"/>
      <c r="K15" s="44">
        <v>445600</v>
      </c>
      <c r="L15" s="44">
        <v>286000</v>
      </c>
      <c r="M15" s="44"/>
      <c r="N15" s="44">
        <v>602150</v>
      </c>
    </row>
    <row r="16" spans="2:14" x14ac:dyDescent="0.2">
      <c r="B16" s="78" t="s">
        <v>111</v>
      </c>
      <c r="C16" s="43">
        <f>C14-C15</f>
        <v>0</v>
      </c>
      <c r="D16" s="43">
        <f>D14-D15</f>
        <v>0</v>
      </c>
      <c r="E16" s="43">
        <f t="shared" ref="E16:N16" si="2">E14-E15</f>
        <v>208200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214100</v>
      </c>
      <c r="K16" s="43">
        <f t="shared" si="2"/>
        <v>0</v>
      </c>
      <c r="L16" s="43">
        <f t="shared" si="2"/>
        <v>0</v>
      </c>
      <c r="M16" s="43">
        <f t="shared" si="2"/>
        <v>286150</v>
      </c>
      <c r="N16" s="43">
        <f t="shared" si="2"/>
        <v>0</v>
      </c>
    </row>
    <row r="18" spans="2:14" ht="15.75" x14ac:dyDescent="0.25">
      <c r="B18" s="31" t="s">
        <v>0</v>
      </c>
      <c r="C18" s="31" t="s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2:14" x14ac:dyDescent="0.2">
      <c r="B19" s="78"/>
      <c r="C19" s="79">
        <v>46023</v>
      </c>
      <c r="D19" s="79">
        <v>46054</v>
      </c>
      <c r="E19" s="79">
        <v>46082</v>
      </c>
      <c r="F19" s="79">
        <v>46113</v>
      </c>
      <c r="G19" s="79">
        <v>46143</v>
      </c>
      <c r="H19" s="79">
        <v>46174</v>
      </c>
      <c r="I19" s="79">
        <v>46204</v>
      </c>
      <c r="J19" s="79">
        <v>46235</v>
      </c>
      <c r="K19" s="79">
        <v>46266</v>
      </c>
      <c r="L19" s="79">
        <v>46296</v>
      </c>
      <c r="M19" s="79">
        <v>46327</v>
      </c>
      <c r="N19" s="79">
        <v>46357</v>
      </c>
    </row>
    <row r="20" spans="2:14" x14ac:dyDescent="0.2">
      <c r="B20" s="78" t="s">
        <v>110</v>
      </c>
      <c r="C20" s="42"/>
      <c r="D20" s="42">
        <f t="shared" ref="D20:N20" si="3">C31</f>
        <v>378000</v>
      </c>
      <c r="E20" s="42">
        <f t="shared" si="3"/>
        <v>756000</v>
      </c>
      <c r="F20" s="42">
        <f t="shared" si="3"/>
        <v>-109900</v>
      </c>
      <c r="G20" s="42">
        <f t="shared" si="3"/>
        <v>293100</v>
      </c>
      <c r="H20" s="42">
        <f t="shared" si="3"/>
        <v>671100</v>
      </c>
      <c r="I20" s="42">
        <f t="shared" si="3"/>
        <v>671100</v>
      </c>
      <c r="J20" s="42">
        <f t="shared" si="3"/>
        <v>671100</v>
      </c>
      <c r="K20" s="42">
        <f t="shared" si="3"/>
        <v>671100</v>
      </c>
      <c r="L20" s="42">
        <f t="shared" si="3"/>
        <v>671100</v>
      </c>
      <c r="M20" s="42">
        <f t="shared" si="3"/>
        <v>671100</v>
      </c>
      <c r="N20" s="42">
        <f t="shared" si="3"/>
        <v>671100</v>
      </c>
    </row>
    <row r="21" spans="2:14" x14ac:dyDescent="0.2">
      <c r="B21" s="78" t="s">
        <v>76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</row>
    <row r="22" spans="2:14" x14ac:dyDescent="0.2">
      <c r="B22" s="78" t="s">
        <v>3</v>
      </c>
      <c r="C22" s="42"/>
      <c r="D22" s="42"/>
      <c r="E22" s="42"/>
      <c r="F22" s="42">
        <v>25000</v>
      </c>
      <c r="G22" s="42"/>
      <c r="H22" s="42"/>
      <c r="I22" s="42"/>
      <c r="J22" s="42"/>
      <c r="K22" s="42"/>
      <c r="L22" s="42"/>
      <c r="M22" s="42"/>
      <c r="N22" s="42"/>
    </row>
    <row r="23" spans="2:14" x14ac:dyDescent="0.2">
      <c r="B23" s="78" t="s">
        <v>653</v>
      </c>
      <c r="C23" s="42">
        <v>30000</v>
      </c>
      <c r="D23" s="42">
        <v>30000</v>
      </c>
      <c r="E23" s="42">
        <v>30000</v>
      </c>
      <c r="F23" s="42">
        <v>30000</v>
      </c>
      <c r="G23" s="42">
        <v>30000</v>
      </c>
      <c r="H23" s="42"/>
      <c r="I23" s="42"/>
      <c r="J23" s="42"/>
      <c r="K23" s="42"/>
      <c r="L23" s="42"/>
      <c r="M23" s="42"/>
      <c r="N23" s="42"/>
    </row>
    <row r="24" spans="2:14" x14ac:dyDescent="0.2">
      <c r="B24" s="78" t="s">
        <v>9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x14ac:dyDescent="0.2">
      <c r="B25" s="78" t="s">
        <v>654</v>
      </c>
      <c r="C25" s="42">
        <v>74000</v>
      </c>
      <c r="D25" s="42">
        <v>74000</v>
      </c>
      <c r="E25" s="42">
        <v>74000</v>
      </c>
      <c r="F25" s="42">
        <v>74000</v>
      </c>
      <c r="G25" s="42">
        <v>74000</v>
      </c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774</v>
      </c>
      <c r="C26" s="42">
        <v>74000</v>
      </c>
      <c r="D26" s="42">
        <v>74000</v>
      </c>
      <c r="E26" s="42">
        <v>74000</v>
      </c>
      <c r="F26" s="42">
        <v>74000</v>
      </c>
      <c r="G26" s="42">
        <v>74000</v>
      </c>
      <c r="H26" s="42"/>
      <c r="I26" s="42"/>
      <c r="J26" s="42"/>
      <c r="K26" s="42"/>
      <c r="L26" s="42"/>
      <c r="M26" s="42"/>
      <c r="N26" s="42"/>
    </row>
    <row r="27" spans="2:14" x14ac:dyDescent="0.2">
      <c r="B27" s="78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5</v>
      </c>
      <c r="C28" s="42">
        <v>200000</v>
      </c>
      <c r="D28" s="42">
        <v>200000</v>
      </c>
      <c r="E28" s="42">
        <v>200000</v>
      </c>
      <c r="F28" s="42">
        <v>200000</v>
      </c>
      <c r="G28" s="42">
        <v>200000</v>
      </c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6</v>
      </c>
      <c r="C29" s="43">
        <f>SUM(C20:C28)</f>
        <v>378000</v>
      </c>
      <c r="D29" s="43">
        <f t="shared" ref="D29:N29" si="4">SUM(D20:D28)</f>
        <v>756000</v>
      </c>
      <c r="E29" s="43">
        <f t="shared" si="4"/>
        <v>1134000</v>
      </c>
      <c r="F29" s="43">
        <f t="shared" si="4"/>
        <v>293100</v>
      </c>
      <c r="G29" s="43">
        <f t="shared" si="4"/>
        <v>671100</v>
      </c>
      <c r="H29" s="43">
        <f t="shared" si="4"/>
        <v>671100</v>
      </c>
      <c r="I29" s="43">
        <f t="shared" si="4"/>
        <v>671100</v>
      </c>
      <c r="J29" s="43">
        <f t="shared" si="4"/>
        <v>671100</v>
      </c>
      <c r="K29" s="43">
        <f t="shared" si="4"/>
        <v>671100</v>
      </c>
      <c r="L29" s="43">
        <f t="shared" si="4"/>
        <v>671100</v>
      </c>
      <c r="M29" s="43">
        <f t="shared" si="4"/>
        <v>671100</v>
      </c>
      <c r="N29" s="43">
        <f t="shared" si="4"/>
        <v>671100</v>
      </c>
    </row>
    <row r="30" spans="2:14" x14ac:dyDescent="0.2">
      <c r="B30" s="78" t="s">
        <v>7</v>
      </c>
      <c r="C30" s="44"/>
      <c r="D30" s="44"/>
      <c r="E30" s="44">
        <f>550000+693900</f>
        <v>1243900</v>
      </c>
      <c r="F30" s="44"/>
      <c r="G30" s="44"/>
      <c r="H30" s="44"/>
      <c r="I30" s="44"/>
      <c r="J30" s="44"/>
      <c r="K30" s="44"/>
      <c r="L30" s="44"/>
      <c r="M30" s="44"/>
      <c r="N30" s="44"/>
    </row>
    <row r="31" spans="2:14" x14ac:dyDescent="0.2">
      <c r="B31" s="78" t="s">
        <v>111</v>
      </c>
      <c r="C31" s="43">
        <f>C29-C30</f>
        <v>378000</v>
      </c>
      <c r="D31" s="43">
        <f>D29-D30</f>
        <v>756000</v>
      </c>
      <c r="E31" s="43">
        <f t="shared" ref="E31:N31" si="5">E29-E30</f>
        <v>-109900</v>
      </c>
      <c r="F31" s="43">
        <f t="shared" si="5"/>
        <v>293100</v>
      </c>
      <c r="G31" s="43">
        <f t="shared" si="5"/>
        <v>671100</v>
      </c>
      <c r="H31" s="43">
        <f t="shared" si="5"/>
        <v>671100</v>
      </c>
      <c r="I31" s="43">
        <f t="shared" si="5"/>
        <v>671100</v>
      </c>
      <c r="J31" s="43">
        <f t="shared" si="5"/>
        <v>671100</v>
      </c>
      <c r="K31" s="43">
        <f t="shared" si="5"/>
        <v>671100</v>
      </c>
      <c r="L31" s="43">
        <f t="shared" si="5"/>
        <v>671100</v>
      </c>
      <c r="M31" s="43">
        <f t="shared" si="5"/>
        <v>671100</v>
      </c>
      <c r="N31" s="43">
        <f t="shared" si="5"/>
        <v>671100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7"/>
  <dimension ref="A2:M31"/>
  <sheetViews>
    <sheetView topLeftCell="A19" workbookViewId="0">
      <selection activeCell="E28" sqref="E28"/>
    </sheetView>
  </sheetViews>
  <sheetFormatPr baseColWidth="10" defaultRowHeight="12.75" x14ac:dyDescent="0.2"/>
  <cols>
    <col min="1" max="1" width="27.42578125" customWidth="1"/>
  </cols>
  <sheetData>
    <row r="2" spans="1:13" ht="15.75" x14ac:dyDescent="0.25">
      <c r="A2" s="31" t="s">
        <v>0</v>
      </c>
      <c r="B2" s="31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78"/>
      <c r="B3" s="79">
        <v>45658</v>
      </c>
      <c r="C3" s="79">
        <v>45689</v>
      </c>
      <c r="D3" s="79">
        <v>45717</v>
      </c>
      <c r="E3" s="79">
        <v>45748</v>
      </c>
      <c r="F3" s="79">
        <v>45778</v>
      </c>
      <c r="G3" s="79">
        <v>45809</v>
      </c>
      <c r="H3" s="79">
        <v>45839</v>
      </c>
      <c r="I3" s="79">
        <v>45870</v>
      </c>
      <c r="J3" s="79">
        <v>45901</v>
      </c>
      <c r="K3" s="79">
        <v>45931</v>
      </c>
      <c r="L3" s="79">
        <v>45962</v>
      </c>
      <c r="M3" s="79">
        <v>45992</v>
      </c>
    </row>
    <row r="4" spans="1:13" x14ac:dyDescent="0.2">
      <c r="A4" s="78" t="s">
        <v>110</v>
      </c>
      <c r="B4" s="42"/>
      <c r="C4" s="42">
        <f>B15</f>
        <v>0</v>
      </c>
      <c r="D4" s="42">
        <f t="shared" ref="D4:M4" si="0">C15</f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>J15</f>
        <v>90000</v>
      </c>
      <c r="L4" s="42">
        <f t="shared" si="0"/>
        <v>180000</v>
      </c>
      <c r="M4" s="42">
        <f t="shared" si="0"/>
        <v>0</v>
      </c>
    </row>
    <row r="5" spans="1:13" x14ac:dyDescent="0.2">
      <c r="A5" s="78" t="s">
        <v>76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637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636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/>
      <c r="D12" s="42"/>
      <c r="E12" s="42"/>
      <c r="F12" s="42"/>
      <c r="G12" s="42"/>
      <c r="H12" s="42"/>
      <c r="I12" s="42">
        <v>90000</v>
      </c>
      <c r="J12" s="42">
        <v>90000</v>
      </c>
      <c r="K12" s="42">
        <v>90000</v>
      </c>
      <c r="L12" s="42">
        <v>90000</v>
      </c>
      <c r="M12" s="42">
        <v>90000</v>
      </c>
    </row>
    <row r="13" spans="1:13" x14ac:dyDescent="0.2">
      <c r="A13" s="78" t="s">
        <v>6</v>
      </c>
      <c r="B13" s="43">
        <f t="shared" ref="B13:M13" si="1">SUM(B4:B12)</f>
        <v>0</v>
      </c>
      <c r="C13" s="43">
        <f t="shared" si="1"/>
        <v>0</v>
      </c>
      <c r="D13" s="43">
        <f t="shared" si="1"/>
        <v>0</v>
      </c>
      <c r="E13" s="43">
        <f t="shared" si="1"/>
        <v>0</v>
      </c>
      <c r="F13" s="43">
        <f t="shared" si="1"/>
        <v>0</v>
      </c>
      <c r="G13" s="43">
        <f t="shared" si="1"/>
        <v>0</v>
      </c>
      <c r="H13" s="43">
        <f t="shared" si="1"/>
        <v>0</v>
      </c>
      <c r="I13" s="43">
        <f>SUM(I4:I12)</f>
        <v>90000</v>
      </c>
      <c r="J13" s="43">
        <f>SUM(J4:J12)</f>
        <v>90000</v>
      </c>
      <c r="K13" s="43">
        <f t="shared" si="1"/>
        <v>180000</v>
      </c>
      <c r="L13" s="43">
        <f t="shared" si="1"/>
        <v>270000</v>
      </c>
      <c r="M13" s="43">
        <f t="shared" si="1"/>
        <v>90000</v>
      </c>
    </row>
    <row r="14" spans="1:13" x14ac:dyDescent="0.2">
      <c r="A14" s="78" t="s">
        <v>7</v>
      </c>
      <c r="B14" s="44"/>
      <c r="C14" s="44"/>
      <c r="D14" s="44"/>
      <c r="E14" s="44"/>
      <c r="F14" s="44"/>
      <c r="G14" s="44"/>
      <c r="H14" s="44"/>
      <c r="I14" s="44">
        <v>90000</v>
      </c>
      <c r="J14" s="44"/>
      <c r="K14" s="44"/>
      <c r="L14" s="44">
        <f>100000+170000</f>
        <v>270000</v>
      </c>
      <c r="M14" s="44"/>
    </row>
    <row r="15" spans="1:13" x14ac:dyDescent="0.2">
      <c r="A15" s="78" t="s">
        <v>111</v>
      </c>
      <c r="B15" s="43">
        <f>B13-B14</f>
        <v>0</v>
      </c>
      <c r="C15" s="43">
        <f>C13-C14</f>
        <v>0</v>
      </c>
      <c r="D15" s="43">
        <f t="shared" ref="D15:M15" si="2">D13-D14</f>
        <v>0</v>
      </c>
      <c r="E15" s="43">
        <f t="shared" si="2"/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90000</v>
      </c>
      <c r="K15" s="43">
        <f t="shared" si="2"/>
        <v>180000</v>
      </c>
      <c r="L15" s="43">
        <f t="shared" si="2"/>
        <v>0</v>
      </c>
      <c r="M15" s="43">
        <f t="shared" si="2"/>
        <v>90000</v>
      </c>
    </row>
    <row r="18" spans="1:13" ht="15.75" x14ac:dyDescent="0.25">
      <c r="A18" s="31" t="s">
        <v>0</v>
      </c>
      <c r="B18" s="31" t="s">
        <v>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">
      <c r="A19" s="78"/>
      <c r="B19" s="79">
        <v>46023</v>
      </c>
      <c r="C19" s="79">
        <v>46054</v>
      </c>
      <c r="D19" s="79">
        <v>46082</v>
      </c>
      <c r="E19" s="79">
        <v>46113</v>
      </c>
      <c r="F19" s="79">
        <v>46143</v>
      </c>
      <c r="G19" s="79">
        <v>46174</v>
      </c>
      <c r="H19" s="79">
        <v>46204</v>
      </c>
      <c r="I19" s="79">
        <v>46235</v>
      </c>
      <c r="J19" s="79">
        <v>46266</v>
      </c>
      <c r="K19" s="79">
        <v>46296</v>
      </c>
      <c r="L19" s="79">
        <v>46327</v>
      </c>
      <c r="M19" s="79">
        <v>46357</v>
      </c>
    </row>
    <row r="20" spans="1:13" x14ac:dyDescent="0.2">
      <c r="A20" s="78" t="s">
        <v>110</v>
      </c>
      <c r="B20" s="42">
        <v>90000</v>
      </c>
      <c r="C20" s="42">
        <f t="shared" ref="C20:M20" si="3">B31</f>
        <v>0</v>
      </c>
      <c r="D20" s="42">
        <f t="shared" si="3"/>
        <v>90000</v>
      </c>
      <c r="E20" s="42">
        <f t="shared" si="3"/>
        <v>180000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76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637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636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90000</v>
      </c>
      <c r="C28" s="42">
        <v>90000</v>
      </c>
      <c r="D28" s="42">
        <v>90000</v>
      </c>
      <c r="E28" s="42">
        <v>90000</v>
      </c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 t="shared" ref="B29:H29" si="4">SUM(B20:B28)</f>
        <v>180000</v>
      </c>
      <c r="C29" s="43">
        <f t="shared" si="4"/>
        <v>90000</v>
      </c>
      <c r="D29" s="43">
        <f t="shared" si="4"/>
        <v>180000</v>
      </c>
      <c r="E29" s="43">
        <f t="shared" si="4"/>
        <v>270000</v>
      </c>
      <c r="F29" s="43">
        <f t="shared" si="4"/>
        <v>0</v>
      </c>
      <c r="G29" s="43">
        <f t="shared" si="4"/>
        <v>0</v>
      </c>
      <c r="H29" s="43">
        <f t="shared" si="4"/>
        <v>0</v>
      </c>
      <c r="I29" s="43">
        <f>SUM(I20:I28)</f>
        <v>0</v>
      </c>
      <c r="J29" s="43">
        <f>SUM(J20:J28)</f>
        <v>0</v>
      </c>
      <c r="K29" s="43">
        <f>SUM(K20:K28)</f>
        <v>0</v>
      </c>
      <c r="L29" s="43">
        <f>SUM(L20:L28)</f>
        <v>0</v>
      </c>
      <c r="M29" s="43">
        <f>SUM(M20:M28)</f>
        <v>0</v>
      </c>
    </row>
    <row r="30" spans="1:13" x14ac:dyDescent="0.2">
      <c r="A30" s="78" t="s">
        <v>7</v>
      </c>
      <c r="B30" s="44">
        <v>180000</v>
      </c>
      <c r="C30" s="44"/>
      <c r="D30" s="44"/>
      <c r="E30" s="44">
        <v>270000</v>
      </c>
      <c r="F30" s="44"/>
      <c r="G30" s="44"/>
      <c r="H30" s="44"/>
      <c r="I30" s="44"/>
      <c r="J30" s="44"/>
      <c r="K30" s="44"/>
      <c r="L30" s="44"/>
      <c r="M30" s="44"/>
    </row>
    <row r="31" spans="1:13" x14ac:dyDescent="0.2">
      <c r="A31" s="78" t="s">
        <v>111</v>
      </c>
      <c r="B31" s="43">
        <f>B29-B30</f>
        <v>0</v>
      </c>
      <c r="C31" s="43">
        <f>C29-C30</f>
        <v>90000</v>
      </c>
      <c r="D31" s="43">
        <f t="shared" ref="D31:M31" si="5">D29-D30</f>
        <v>180000</v>
      </c>
      <c r="E31" s="43">
        <f t="shared" si="5"/>
        <v>0</v>
      </c>
      <c r="F31" s="43">
        <f t="shared" si="5"/>
        <v>0</v>
      </c>
      <c r="G31" s="43">
        <f t="shared" si="5"/>
        <v>0</v>
      </c>
      <c r="H31" s="43">
        <f t="shared" si="5"/>
        <v>0</v>
      </c>
      <c r="I31" s="43">
        <f t="shared" si="5"/>
        <v>0</v>
      </c>
      <c r="J31" s="43">
        <f t="shared" si="5"/>
        <v>0</v>
      </c>
      <c r="K31" s="43">
        <f t="shared" si="5"/>
        <v>0</v>
      </c>
      <c r="L31" s="43">
        <f t="shared" si="5"/>
        <v>0</v>
      </c>
      <c r="M31" s="43">
        <f t="shared" si="5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2:N40"/>
  <sheetViews>
    <sheetView workbookViewId="0">
      <selection activeCell="H26" sqref="H26"/>
    </sheetView>
  </sheetViews>
  <sheetFormatPr baseColWidth="10" defaultRowHeight="12.75" x14ac:dyDescent="0.2"/>
  <cols>
    <col min="1" max="1" width="2.28515625" customWidth="1"/>
    <col min="2" max="2" width="28.140625" customWidth="1"/>
    <col min="3" max="3" width="12.28515625" customWidth="1"/>
    <col min="4" max="4" width="13.42578125" customWidth="1"/>
    <col min="5" max="5" width="12.5703125" customWidth="1"/>
    <col min="6" max="6" width="12.140625" customWidth="1"/>
    <col min="7" max="7" width="11.28515625" customWidth="1"/>
    <col min="8" max="8" width="11.140625" customWidth="1"/>
    <col min="9" max="9" width="11.28515625" customWidth="1"/>
    <col min="10" max="10" width="12.5703125" customWidth="1"/>
    <col min="11" max="11" width="11.7109375" customWidth="1"/>
    <col min="12" max="12" width="12" customWidth="1"/>
    <col min="13" max="13" width="12.140625" customWidth="1"/>
    <col min="14" max="14" width="12.5703125" customWidth="1"/>
  </cols>
  <sheetData>
    <row r="2" spans="1:14" ht="27" x14ac:dyDescent="0.35"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.25" x14ac:dyDescent="0.3">
      <c r="B3" s="11"/>
      <c r="C3" s="216"/>
      <c r="D3" s="216"/>
      <c r="E3" s="216"/>
      <c r="F3" s="216"/>
      <c r="G3" s="216"/>
      <c r="H3" s="216"/>
      <c r="I3" s="2"/>
      <c r="J3" s="2"/>
      <c r="K3" s="2"/>
      <c r="L3" s="2"/>
      <c r="M3" s="2"/>
      <c r="N3" s="2"/>
    </row>
    <row r="4" spans="1:14" ht="20.25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20.25" x14ac:dyDescent="0.3">
      <c r="A5" s="17"/>
      <c r="B5" s="11" t="s">
        <v>11</v>
      </c>
      <c r="C5" s="216" t="s">
        <v>130</v>
      </c>
      <c r="D5" s="216"/>
      <c r="E5" s="216"/>
      <c r="F5" s="216"/>
      <c r="G5" s="216"/>
      <c r="H5" s="216"/>
      <c r="I5" s="2"/>
      <c r="J5" s="2"/>
      <c r="K5" s="2"/>
      <c r="L5" s="2"/>
      <c r="M5" s="2"/>
      <c r="N5" s="2"/>
    </row>
    <row r="6" spans="1:14" ht="20.25" x14ac:dyDescent="0.3">
      <c r="A6" s="1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8" x14ac:dyDescent="0.25">
      <c r="A7" s="17"/>
      <c r="B7" s="31" t="s">
        <v>0</v>
      </c>
      <c r="C7" s="31" t="s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8" x14ac:dyDescent="0.25">
      <c r="A8" s="17"/>
      <c r="B8" s="78"/>
      <c r="C8" s="79">
        <v>41275</v>
      </c>
      <c r="D8" s="79">
        <v>41306</v>
      </c>
      <c r="E8" s="79">
        <v>41334</v>
      </c>
      <c r="F8" s="79">
        <v>41365</v>
      </c>
      <c r="G8" s="79">
        <v>41395</v>
      </c>
      <c r="H8" s="79">
        <v>41426</v>
      </c>
      <c r="I8" s="79">
        <v>41456</v>
      </c>
      <c r="J8" s="79">
        <v>41487</v>
      </c>
      <c r="K8" s="79">
        <v>41518</v>
      </c>
      <c r="L8" s="79">
        <v>41548</v>
      </c>
      <c r="M8" s="79">
        <v>41579</v>
      </c>
      <c r="N8" s="79">
        <v>41609</v>
      </c>
    </row>
    <row r="9" spans="1:14" ht="18" x14ac:dyDescent="0.25">
      <c r="A9" s="17"/>
      <c r="B9" s="78" t="s">
        <v>110</v>
      </c>
      <c r="C9" s="42"/>
      <c r="D9" s="42">
        <f>C20</f>
        <v>500</v>
      </c>
      <c r="E9" s="42">
        <f t="shared" ref="E9:N9" si="0">D20</f>
        <v>1100</v>
      </c>
      <c r="F9" s="42">
        <f t="shared" si="0"/>
        <v>0</v>
      </c>
      <c r="G9" s="42">
        <f t="shared" si="0"/>
        <v>500</v>
      </c>
      <c r="H9" s="42">
        <f t="shared" si="0"/>
        <v>1000</v>
      </c>
      <c r="I9" s="42">
        <f t="shared" si="0"/>
        <v>1500</v>
      </c>
      <c r="J9" s="42">
        <f t="shared" si="0"/>
        <v>2000</v>
      </c>
      <c r="K9" s="42">
        <f t="shared" si="0"/>
        <v>2500</v>
      </c>
      <c r="L9" s="42">
        <f>K20</f>
        <v>0</v>
      </c>
      <c r="M9" s="42">
        <f t="shared" si="0"/>
        <v>500</v>
      </c>
      <c r="N9" s="42">
        <f t="shared" si="0"/>
        <v>1000</v>
      </c>
    </row>
    <row r="10" spans="1:14" ht="18" x14ac:dyDescent="0.25">
      <c r="A10" s="17"/>
      <c r="B10" s="78" t="s">
        <v>76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1:14" ht="18" x14ac:dyDescent="0.25">
      <c r="A11" s="17"/>
      <c r="B11" s="78" t="s">
        <v>3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1:14" ht="18" x14ac:dyDescent="0.25">
      <c r="A12" s="17"/>
      <c r="B12" s="78" t="s">
        <v>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1:14" ht="18" x14ac:dyDescent="0.25">
      <c r="A13" s="17"/>
      <c r="B13" s="78" t="s">
        <v>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1:14" ht="18" x14ac:dyDescent="0.25">
      <c r="A14" s="17"/>
      <c r="B14" s="78" t="s">
        <v>73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1:14" ht="18" x14ac:dyDescent="0.25">
      <c r="A15" s="17"/>
      <c r="B15" s="78" t="s">
        <v>74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1:14" ht="18" x14ac:dyDescent="0.25">
      <c r="A16" s="17"/>
      <c r="B16" s="78" t="s">
        <v>75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18" x14ac:dyDescent="0.25">
      <c r="A17" s="17"/>
      <c r="B17" s="78" t="s">
        <v>5</v>
      </c>
      <c r="C17" s="42">
        <v>500</v>
      </c>
      <c r="D17" s="42">
        <v>600</v>
      </c>
      <c r="E17" s="42">
        <v>600</v>
      </c>
      <c r="F17" s="42">
        <v>500</v>
      </c>
      <c r="G17" s="42">
        <v>500</v>
      </c>
      <c r="H17" s="42">
        <v>500</v>
      </c>
      <c r="I17" s="42">
        <v>500</v>
      </c>
      <c r="J17" s="42">
        <v>500</v>
      </c>
      <c r="K17" s="42">
        <v>500</v>
      </c>
      <c r="L17" s="42">
        <v>500</v>
      </c>
      <c r="M17" s="42">
        <v>500</v>
      </c>
      <c r="N17" s="42">
        <v>500</v>
      </c>
    </row>
    <row r="18" spans="1:14" ht="18" x14ac:dyDescent="0.25">
      <c r="A18" s="17"/>
      <c r="B18" s="78" t="s">
        <v>6</v>
      </c>
      <c r="C18" s="43">
        <f>SUM(C9:C17)</f>
        <v>500</v>
      </c>
      <c r="D18" s="43">
        <f t="shared" ref="D18:N18" si="1">SUM(D9:D17)</f>
        <v>1100</v>
      </c>
      <c r="E18" s="43">
        <f t="shared" si="1"/>
        <v>1700</v>
      </c>
      <c r="F18" s="43">
        <f t="shared" si="1"/>
        <v>500</v>
      </c>
      <c r="G18" s="43">
        <f t="shared" si="1"/>
        <v>1000</v>
      </c>
      <c r="H18" s="43">
        <f t="shared" si="1"/>
        <v>1500</v>
      </c>
      <c r="I18" s="43">
        <f t="shared" si="1"/>
        <v>2000</v>
      </c>
      <c r="J18" s="43">
        <f t="shared" si="1"/>
        <v>2500</v>
      </c>
      <c r="K18" s="43">
        <f t="shared" si="1"/>
        <v>3000</v>
      </c>
      <c r="L18" s="43">
        <f t="shared" si="1"/>
        <v>500</v>
      </c>
      <c r="M18" s="43">
        <f t="shared" si="1"/>
        <v>1000</v>
      </c>
      <c r="N18" s="43">
        <f t="shared" si="1"/>
        <v>1500</v>
      </c>
    </row>
    <row r="19" spans="1:14" x14ac:dyDescent="0.2">
      <c r="B19" s="78" t="s">
        <v>7</v>
      </c>
      <c r="C19" s="44"/>
      <c r="D19" s="44"/>
      <c r="E19" s="44">
        <v>1700</v>
      </c>
      <c r="F19" s="44"/>
      <c r="G19" s="44"/>
      <c r="H19" s="44"/>
      <c r="I19" s="44"/>
      <c r="J19" s="44"/>
      <c r="K19" s="44">
        <v>3000</v>
      </c>
      <c r="L19" s="44"/>
      <c r="M19" s="44"/>
      <c r="N19" s="44">
        <v>1500</v>
      </c>
    </row>
    <row r="20" spans="1:14" x14ac:dyDescent="0.2">
      <c r="B20" s="78" t="s">
        <v>111</v>
      </c>
      <c r="C20" s="43">
        <f>C18-C19</f>
        <v>500</v>
      </c>
      <c r="D20" s="43">
        <f>D18-D19</f>
        <v>1100</v>
      </c>
      <c r="E20" s="43">
        <f t="shared" ref="E20:N20" si="2">E18-E19</f>
        <v>0</v>
      </c>
      <c r="F20" s="43">
        <f t="shared" si="2"/>
        <v>500</v>
      </c>
      <c r="G20" s="43">
        <f t="shared" si="2"/>
        <v>1000</v>
      </c>
      <c r="H20" s="43">
        <f t="shared" si="2"/>
        <v>1500</v>
      </c>
      <c r="I20" s="43">
        <f t="shared" si="2"/>
        <v>2000</v>
      </c>
      <c r="J20" s="43">
        <f t="shared" si="2"/>
        <v>2500</v>
      </c>
      <c r="K20" s="43">
        <f t="shared" si="2"/>
        <v>0</v>
      </c>
      <c r="L20" s="43">
        <f t="shared" si="2"/>
        <v>500</v>
      </c>
      <c r="M20" s="43">
        <f t="shared" si="2"/>
        <v>1000</v>
      </c>
      <c r="N20" s="43">
        <f t="shared" si="2"/>
        <v>0</v>
      </c>
    </row>
    <row r="27" spans="1:14" ht="15.75" x14ac:dyDescent="0.25">
      <c r="B27" s="32" t="s">
        <v>0</v>
      </c>
      <c r="C27" s="32" t="s">
        <v>1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spans="1:14" x14ac:dyDescent="0.2">
      <c r="B28" s="81"/>
      <c r="C28" s="82">
        <v>41640</v>
      </c>
      <c r="D28" s="82">
        <v>41671</v>
      </c>
      <c r="E28" s="82">
        <v>41699</v>
      </c>
      <c r="F28" s="82">
        <v>41730</v>
      </c>
      <c r="G28" s="82">
        <v>41760</v>
      </c>
      <c r="H28" s="82">
        <v>41791</v>
      </c>
      <c r="I28" s="82">
        <v>41821</v>
      </c>
      <c r="J28" s="82">
        <v>41852</v>
      </c>
      <c r="K28" s="82">
        <v>41883</v>
      </c>
      <c r="L28" s="82">
        <v>41913</v>
      </c>
      <c r="M28" s="82">
        <v>41944</v>
      </c>
      <c r="N28" s="82">
        <v>41974</v>
      </c>
    </row>
    <row r="29" spans="1:14" x14ac:dyDescent="0.2">
      <c r="B29" s="78" t="s">
        <v>110</v>
      </c>
      <c r="C29" s="42"/>
      <c r="D29" s="42">
        <f>C40</f>
        <v>200</v>
      </c>
      <c r="E29" s="42">
        <f t="shared" ref="E29:N29" si="3">D40</f>
        <v>400</v>
      </c>
      <c r="F29" s="42">
        <f t="shared" si="3"/>
        <v>600</v>
      </c>
      <c r="G29" s="42">
        <f t="shared" si="3"/>
        <v>800</v>
      </c>
      <c r="H29" s="42">
        <f t="shared" si="3"/>
        <v>1000</v>
      </c>
      <c r="I29" s="42">
        <f t="shared" si="3"/>
        <v>1000</v>
      </c>
      <c r="J29" s="42">
        <f t="shared" si="3"/>
        <v>1000</v>
      </c>
      <c r="K29" s="42">
        <f t="shared" si="3"/>
        <v>1000</v>
      </c>
      <c r="L29" s="42">
        <f t="shared" si="3"/>
        <v>1000</v>
      </c>
      <c r="M29" s="42">
        <f t="shared" si="3"/>
        <v>1000</v>
      </c>
      <c r="N29" s="42">
        <f t="shared" si="3"/>
        <v>1000</v>
      </c>
    </row>
    <row r="30" spans="1:14" x14ac:dyDescent="0.2">
      <c r="B30" s="78" t="s">
        <v>76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14" x14ac:dyDescent="0.2">
      <c r="B31" s="78" t="s">
        <v>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4" x14ac:dyDescent="0.2">
      <c r="B32" s="78" t="s">
        <v>4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2:14" x14ac:dyDescent="0.2">
      <c r="B33" s="78" t="s">
        <v>9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2:14" x14ac:dyDescent="0.2">
      <c r="B34" s="78" t="s">
        <v>73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2:14" x14ac:dyDescent="0.2">
      <c r="B35" s="78" t="s">
        <v>74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2:14" x14ac:dyDescent="0.2">
      <c r="B36" s="78" t="s">
        <v>75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2:14" x14ac:dyDescent="0.2">
      <c r="B37" s="78" t="s">
        <v>5</v>
      </c>
      <c r="C37" s="42">
        <v>200</v>
      </c>
      <c r="D37" s="42">
        <v>200</v>
      </c>
      <c r="E37" s="42">
        <v>200</v>
      </c>
      <c r="F37" s="42">
        <v>200</v>
      </c>
      <c r="G37" s="42">
        <v>200</v>
      </c>
      <c r="H37" s="42"/>
      <c r="I37" s="42"/>
      <c r="J37" s="42"/>
      <c r="K37" s="42"/>
      <c r="L37" s="42"/>
      <c r="M37" s="42"/>
      <c r="N37" s="42"/>
    </row>
    <row r="38" spans="2:14" x14ac:dyDescent="0.2">
      <c r="B38" s="78" t="s">
        <v>6</v>
      </c>
      <c r="C38" s="43">
        <f>C29+C37</f>
        <v>200</v>
      </c>
      <c r="D38" s="43">
        <f t="shared" ref="D38:N38" si="4">SUM(D29:D37)</f>
        <v>400</v>
      </c>
      <c r="E38" s="43">
        <f t="shared" si="4"/>
        <v>600</v>
      </c>
      <c r="F38" s="43">
        <f t="shared" si="4"/>
        <v>800</v>
      </c>
      <c r="G38" s="43">
        <f t="shared" si="4"/>
        <v>1000</v>
      </c>
      <c r="H38" s="43">
        <f t="shared" si="4"/>
        <v>1000</v>
      </c>
      <c r="I38" s="43">
        <f t="shared" si="4"/>
        <v>1000</v>
      </c>
      <c r="J38" s="43">
        <f t="shared" si="4"/>
        <v>1000</v>
      </c>
      <c r="K38" s="43">
        <f t="shared" si="4"/>
        <v>1000</v>
      </c>
      <c r="L38" s="43">
        <f t="shared" si="4"/>
        <v>1000</v>
      </c>
      <c r="M38" s="43">
        <f t="shared" si="4"/>
        <v>1000</v>
      </c>
      <c r="N38" s="43">
        <f t="shared" si="4"/>
        <v>1000</v>
      </c>
    </row>
    <row r="39" spans="2:14" ht="13.5" thickBot="1" x14ac:dyDescent="0.25">
      <c r="B39" s="78" t="s">
        <v>7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2:14" ht="13.5" thickBot="1" x14ac:dyDescent="0.25">
      <c r="B40" s="78" t="s">
        <v>111</v>
      </c>
      <c r="C40" s="45">
        <f t="shared" ref="C40:N40" si="5">C38-C39</f>
        <v>200</v>
      </c>
      <c r="D40" s="46">
        <f t="shared" si="5"/>
        <v>400</v>
      </c>
      <c r="E40" s="46">
        <f t="shared" si="5"/>
        <v>600</v>
      </c>
      <c r="F40" s="46">
        <f t="shared" si="5"/>
        <v>800</v>
      </c>
      <c r="G40" s="46">
        <f t="shared" si="5"/>
        <v>1000</v>
      </c>
      <c r="H40" s="46">
        <f t="shared" si="5"/>
        <v>1000</v>
      </c>
      <c r="I40" s="46">
        <f t="shared" si="5"/>
        <v>1000</v>
      </c>
      <c r="J40" s="46">
        <f t="shared" si="5"/>
        <v>1000</v>
      </c>
      <c r="K40" s="46">
        <f t="shared" si="5"/>
        <v>1000</v>
      </c>
      <c r="L40" s="46">
        <f t="shared" si="5"/>
        <v>1000</v>
      </c>
      <c r="M40" s="46">
        <f t="shared" si="5"/>
        <v>1000</v>
      </c>
      <c r="N40" s="47">
        <f t="shared" si="5"/>
        <v>1000</v>
      </c>
    </row>
  </sheetData>
  <mergeCells count="2">
    <mergeCell ref="C3:H3"/>
    <mergeCell ref="C5:H5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3:N65"/>
  <sheetViews>
    <sheetView workbookViewId="0">
      <selection activeCell="C24" sqref="C24"/>
    </sheetView>
  </sheetViews>
  <sheetFormatPr baseColWidth="10" defaultRowHeight="12.75" x14ac:dyDescent="0.2"/>
  <cols>
    <col min="1" max="1" width="32.42578125" customWidth="1"/>
    <col min="2" max="2" width="12.425781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43101</v>
      </c>
      <c r="C4" s="82">
        <v>43132</v>
      </c>
      <c r="D4" s="82">
        <v>43160</v>
      </c>
      <c r="E4" s="82">
        <v>43191</v>
      </c>
      <c r="F4" s="82">
        <v>43221</v>
      </c>
      <c r="G4" s="82">
        <v>43252</v>
      </c>
      <c r="H4" s="82">
        <v>43282</v>
      </c>
      <c r="I4" s="82">
        <v>43313</v>
      </c>
      <c r="J4" s="82">
        <v>43344</v>
      </c>
      <c r="K4" s="82">
        <v>43374</v>
      </c>
      <c r="L4" s="82">
        <v>43405</v>
      </c>
      <c r="M4" s="82">
        <v>43435</v>
      </c>
    </row>
    <row r="5" spans="1:13" ht="15" x14ac:dyDescent="0.2">
      <c r="A5" s="78" t="s">
        <v>110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28"/>
      <c r="M5" s="28"/>
    </row>
    <row r="6" spans="1:13" ht="15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28"/>
      <c r="M6" s="28"/>
    </row>
    <row r="7" spans="1:13" ht="15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28"/>
      <c r="M7" s="28"/>
    </row>
    <row r="8" spans="1:13" ht="15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28"/>
      <c r="M8" s="28"/>
    </row>
    <row r="9" spans="1:13" ht="15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28"/>
      <c r="M9" s="28"/>
    </row>
    <row r="10" spans="1:13" ht="15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28"/>
      <c r="M10" s="28"/>
    </row>
    <row r="11" spans="1:13" ht="15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28"/>
      <c r="M11" s="28"/>
    </row>
    <row r="12" spans="1:13" ht="15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28"/>
      <c r="M12" s="28"/>
    </row>
    <row r="13" spans="1:13" ht="15" x14ac:dyDescent="0.2">
      <c r="A13" s="78" t="s">
        <v>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28"/>
      <c r="M13" s="28"/>
    </row>
    <row r="14" spans="1:13" ht="15" x14ac:dyDescent="0.2">
      <c r="A14" s="78" t="s">
        <v>6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29"/>
      <c r="M14" s="29"/>
    </row>
    <row r="15" spans="1:13" ht="15.75" thickBot="1" x14ac:dyDescent="0.25">
      <c r="A15" s="78" t="s">
        <v>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30"/>
      <c r="M15" s="30"/>
    </row>
    <row r="16" spans="1:13" ht="13.5" thickBot="1" x14ac:dyDescent="0.25">
      <c r="A16" s="78" t="s">
        <v>111</v>
      </c>
      <c r="B16" s="45">
        <f>B14-B15</f>
        <v>0</v>
      </c>
      <c r="C16" s="45">
        <f t="shared" ref="C16:L16" si="0">C14-C15</f>
        <v>0</v>
      </c>
      <c r="D16" s="45">
        <f t="shared" si="0"/>
        <v>0</v>
      </c>
      <c r="E16" s="45">
        <f t="shared" si="0"/>
        <v>0</v>
      </c>
      <c r="F16" s="45">
        <f t="shared" si="0"/>
        <v>0</v>
      </c>
      <c r="G16" s="45">
        <f t="shared" si="0"/>
        <v>0</v>
      </c>
      <c r="H16" s="45">
        <f t="shared" si="0"/>
        <v>0</v>
      </c>
      <c r="I16" s="45">
        <f t="shared" si="0"/>
        <v>0</v>
      </c>
      <c r="J16" s="45">
        <f t="shared" si="0"/>
        <v>0</v>
      </c>
      <c r="K16" s="45">
        <f t="shared" si="0"/>
        <v>0</v>
      </c>
      <c r="L16" s="45">
        <f t="shared" si="0"/>
        <v>0</v>
      </c>
      <c r="M16" s="45">
        <f>M14-M15</f>
        <v>0</v>
      </c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9" spans="1:13" ht="15.75" x14ac:dyDescent="0.25">
      <c r="A19" s="32" t="s">
        <v>0</v>
      </c>
      <c r="B19" s="32" t="s">
        <v>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ht="15" x14ac:dyDescent="0.2">
      <c r="A20" s="33"/>
      <c r="B20" s="82">
        <v>42736</v>
      </c>
      <c r="C20" s="82">
        <v>40940</v>
      </c>
      <c r="D20" s="82">
        <v>40969</v>
      </c>
      <c r="E20" s="82">
        <v>41000</v>
      </c>
      <c r="F20" s="82">
        <v>41030</v>
      </c>
      <c r="G20" s="82">
        <v>41061</v>
      </c>
      <c r="H20" s="82">
        <v>41091</v>
      </c>
      <c r="I20" s="82">
        <v>41122</v>
      </c>
      <c r="J20" s="82">
        <v>41153</v>
      </c>
      <c r="K20" s="82">
        <v>41183</v>
      </c>
      <c r="L20" s="82">
        <v>41214</v>
      </c>
      <c r="M20" s="82">
        <v>41244</v>
      </c>
    </row>
    <row r="21" spans="1:13" x14ac:dyDescent="0.2">
      <c r="A21" s="78" t="s">
        <v>110</v>
      </c>
      <c r="B21" s="42"/>
      <c r="C21" s="42">
        <f t="shared" ref="C21:M21" si="1">B32</f>
        <v>0</v>
      </c>
      <c r="D21" s="42">
        <f t="shared" si="1"/>
        <v>0</v>
      </c>
      <c r="E21" s="42">
        <f t="shared" si="1"/>
        <v>0</v>
      </c>
      <c r="F21" s="42">
        <f t="shared" si="1"/>
        <v>0</v>
      </c>
      <c r="G21" s="42">
        <f t="shared" si="1"/>
        <v>0</v>
      </c>
      <c r="H21" s="42">
        <f t="shared" si="1"/>
        <v>0</v>
      </c>
      <c r="I21" s="42">
        <f t="shared" si="1"/>
        <v>0</v>
      </c>
      <c r="J21" s="42">
        <f t="shared" si="1"/>
        <v>0</v>
      </c>
      <c r="K21" s="42">
        <f t="shared" si="1"/>
        <v>0</v>
      </c>
      <c r="L21" s="42">
        <f t="shared" si="1"/>
        <v>0</v>
      </c>
      <c r="M21" s="42">
        <f t="shared" si="1"/>
        <v>0</v>
      </c>
    </row>
    <row r="22" spans="1:13" x14ac:dyDescent="0.2">
      <c r="A22" s="78" t="s">
        <v>76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 t="s">
        <v>327</v>
      </c>
    </row>
    <row r="30" spans="1:13" x14ac:dyDescent="0.2">
      <c r="A30" s="78" t="s">
        <v>6</v>
      </c>
      <c r="B30" s="43">
        <f t="shared" ref="B30:M30" si="2">SUM(B21:B29)</f>
        <v>0</v>
      </c>
      <c r="C30" s="43">
        <f t="shared" si="2"/>
        <v>0</v>
      </c>
      <c r="D30" s="43">
        <f t="shared" si="2"/>
        <v>0</v>
      </c>
      <c r="E30" s="43">
        <f t="shared" si="2"/>
        <v>0</v>
      </c>
      <c r="F30" s="43">
        <f t="shared" si="2"/>
        <v>0</v>
      </c>
      <c r="G30" s="43">
        <f t="shared" si="2"/>
        <v>0</v>
      </c>
      <c r="H30" s="43">
        <f t="shared" si="2"/>
        <v>0</v>
      </c>
      <c r="I30" s="43">
        <f t="shared" si="2"/>
        <v>0</v>
      </c>
      <c r="J30" s="43">
        <f t="shared" si="2"/>
        <v>0</v>
      </c>
      <c r="K30" s="43">
        <f t="shared" si="2"/>
        <v>0</v>
      </c>
      <c r="L30" s="43">
        <f t="shared" si="2"/>
        <v>0</v>
      </c>
      <c r="M30" s="43">
        <f t="shared" si="2"/>
        <v>0</v>
      </c>
    </row>
    <row r="31" spans="1:13" ht="13.5" thickBot="1" x14ac:dyDescent="0.25">
      <c r="A31" s="78" t="s">
        <v>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M32" si="3">B30-B31</f>
        <v>0</v>
      </c>
      <c r="C32" s="46">
        <f t="shared" si="3"/>
        <v>0</v>
      </c>
      <c r="D32" s="46">
        <f t="shared" si="3"/>
        <v>0</v>
      </c>
      <c r="E32" s="46">
        <f t="shared" si="3"/>
        <v>0</v>
      </c>
      <c r="F32" s="46">
        <f t="shared" si="3"/>
        <v>0</v>
      </c>
      <c r="G32" s="46">
        <f t="shared" si="3"/>
        <v>0</v>
      </c>
      <c r="H32" s="46">
        <f t="shared" si="3"/>
        <v>0</v>
      </c>
      <c r="I32" s="46">
        <f t="shared" si="3"/>
        <v>0</v>
      </c>
      <c r="J32" s="46">
        <f t="shared" si="3"/>
        <v>0</v>
      </c>
      <c r="K32" s="46">
        <f t="shared" si="3"/>
        <v>0</v>
      </c>
      <c r="L32" s="46">
        <f t="shared" si="3"/>
        <v>0</v>
      </c>
      <c r="M32" s="47">
        <f t="shared" si="3"/>
        <v>0</v>
      </c>
    </row>
    <row r="35" spans="1:13" ht="15.75" x14ac:dyDescent="0.25">
      <c r="A35" s="32" t="s">
        <v>0</v>
      </c>
      <c r="B35" s="32" t="s">
        <v>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x14ac:dyDescent="0.2">
      <c r="A36" s="81"/>
      <c r="B36" s="82">
        <v>41275</v>
      </c>
      <c r="C36" s="82">
        <v>41306</v>
      </c>
      <c r="D36" s="82">
        <v>41334</v>
      </c>
      <c r="E36" s="82">
        <v>41365</v>
      </c>
      <c r="F36" s="82">
        <v>41395</v>
      </c>
      <c r="G36" s="82">
        <v>41426</v>
      </c>
      <c r="H36" s="82">
        <v>41456</v>
      </c>
      <c r="I36" s="82">
        <v>41487</v>
      </c>
      <c r="J36" s="82">
        <v>41518</v>
      </c>
      <c r="K36" s="82">
        <v>41548</v>
      </c>
      <c r="L36" s="82">
        <v>41579</v>
      </c>
      <c r="M36" s="82">
        <v>41609</v>
      </c>
    </row>
    <row r="37" spans="1:13" x14ac:dyDescent="0.2">
      <c r="A37" s="78" t="s">
        <v>110</v>
      </c>
      <c r="B37" s="42">
        <v>5000</v>
      </c>
      <c r="C37" s="42">
        <f t="shared" ref="C37:M37" si="4">B48</f>
        <v>-8406</v>
      </c>
      <c r="D37" s="42">
        <f t="shared" si="4"/>
        <v>-7606</v>
      </c>
      <c r="E37" s="42">
        <f t="shared" si="4"/>
        <v>-6806</v>
      </c>
      <c r="F37" s="42">
        <f t="shared" si="4"/>
        <v>-1806</v>
      </c>
      <c r="G37" s="42">
        <f t="shared" si="4"/>
        <v>8994</v>
      </c>
      <c r="H37" s="42">
        <f t="shared" si="4"/>
        <v>9794</v>
      </c>
      <c r="I37" s="42">
        <f t="shared" si="4"/>
        <v>10594</v>
      </c>
      <c r="J37" s="42">
        <f t="shared" si="4"/>
        <v>11394</v>
      </c>
      <c r="K37" s="42">
        <f t="shared" si="4"/>
        <v>12194</v>
      </c>
      <c r="L37" s="42">
        <f t="shared" si="4"/>
        <v>12994</v>
      </c>
      <c r="M37" s="42">
        <f t="shared" si="4"/>
        <v>13794</v>
      </c>
    </row>
    <row r="38" spans="1:13" x14ac:dyDescent="0.2">
      <c r="A38" s="78" t="s">
        <v>76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x14ac:dyDescent="0.2">
      <c r="A39" s="78" t="s">
        <v>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x14ac:dyDescent="0.2">
      <c r="A40" s="78" t="s">
        <v>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286</v>
      </c>
      <c r="B42" s="42">
        <v>3000</v>
      </c>
      <c r="C42" s="42"/>
      <c r="D42" s="42"/>
      <c r="E42" s="42">
        <v>2000</v>
      </c>
      <c r="F42" s="42">
        <v>10000</v>
      </c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74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284</v>
      </c>
      <c r="B44" s="42"/>
      <c r="C44" s="42"/>
      <c r="D44" s="42"/>
      <c r="E44" s="42">
        <v>2200</v>
      </c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5</v>
      </c>
      <c r="B45" s="42">
        <v>800</v>
      </c>
      <c r="C45" s="42">
        <v>800</v>
      </c>
      <c r="D45" s="42">
        <v>800</v>
      </c>
      <c r="E45" s="42">
        <v>800</v>
      </c>
      <c r="F45" s="42">
        <v>800</v>
      </c>
      <c r="G45" s="42">
        <v>800</v>
      </c>
      <c r="H45" s="42">
        <v>800</v>
      </c>
      <c r="I45" s="42">
        <v>800</v>
      </c>
      <c r="J45" s="42">
        <v>800</v>
      </c>
      <c r="K45" s="42">
        <v>800</v>
      </c>
      <c r="L45" s="42">
        <v>800</v>
      </c>
      <c r="M45" s="42">
        <v>800</v>
      </c>
    </row>
    <row r="46" spans="1:13" x14ac:dyDescent="0.2">
      <c r="A46" s="78" t="s">
        <v>6</v>
      </c>
      <c r="B46" s="43">
        <f t="shared" ref="B46:M46" si="5">SUM(B37:B45)</f>
        <v>8800</v>
      </c>
      <c r="C46" s="43">
        <f t="shared" si="5"/>
        <v>-7606</v>
      </c>
      <c r="D46" s="43">
        <f t="shared" si="5"/>
        <v>-6806</v>
      </c>
      <c r="E46" s="43">
        <f t="shared" si="5"/>
        <v>-1806</v>
      </c>
      <c r="F46" s="43">
        <f t="shared" si="5"/>
        <v>8994</v>
      </c>
      <c r="G46" s="43">
        <f t="shared" si="5"/>
        <v>9794</v>
      </c>
      <c r="H46" s="43">
        <f t="shared" si="5"/>
        <v>10594</v>
      </c>
      <c r="I46" s="43">
        <f t="shared" si="5"/>
        <v>11394</v>
      </c>
      <c r="J46" s="43">
        <f t="shared" si="5"/>
        <v>12194</v>
      </c>
      <c r="K46" s="43">
        <f t="shared" si="5"/>
        <v>12994</v>
      </c>
      <c r="L46" s="43">
        <f t="shared" si="5"/>
        <v>13794</v>
      </c>
      <c r="M46" s="43">
        <f t="shared" si="5"/>
        <v>14594</v>
      </c>
    </row>
    <row r="47" spans="1:13" ht="13.5" thickBot="1" x14ac:dyDescent="0.25">
      <c r="A47" s="78" t="s">
        <v>287</v>
      </c>
      <c r="B47" s="44">
        <v>17206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ht="13.5" thickBot="1" x14ac:dyDescent="0.25">
      <c r="A48" s="78" t="s">
        <v>111</v>
      </c>
      <c r="B48" s="45">
        <f t="shared" ref="B48:M48" si="6">B46-B47</f>
        <v>-8406</v>
      </c>
      <c r="C48" s="46">
        <f t="shared" si="6"/>
        <v>-7606</v>
      </c>
      <c r="D48" s="46">
        <f t="shared" si="6"/>
        <v>-6806</v>
      </c>
      <c r="E48" s="46">
        <f t="shared" si="6"/>
        <v>-1806</v>
      </c>
      <c r="F48" s="46">
        <f t="shared" si="6"/>
        <v>8994</v>
      </c>
      <c r="G48" s="46">
        <f t="shared" si="6"/>
        <v>9794</v>
      </c>
      <c r="H48" s="46">
        <f t="shared" si="6"/>
        <v>10594</v>
      </c>
      <c r="I48" s="46">
        <f t="shared" si="6"/>
        <v>11394</v>
      </c>
      <c r="J48" s="46">
        <f t="shared" si="6"/>
        <v>12194</v>
      </c>
      <c r="K48" s="46">
        <f t="shared" si="6"/>
        <v>12994</v>
      </c>
      <c r="L48" s="46">
        <f t="shared" si="6"/>
        <v>13794</v>
      </c>
      <c r="M48" s="47">
        <f t="shared" si="6"/>
        <v>14594</v>
      </c>
    </row>
    <row r="52" spans="1:14" ht="15.75" x14ac:dyDescent="0.25">
      <c r="A52" s="32" t="s">
        <v>0</v>
      </c>
      <c r="B52" s="32" t="s">
        <v>1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4" x14ac:dyDescent="0.2">
      <c r="A53" s="81"/>
      <c r="B53" s="82">
        <v>41640</v>
      </c>
      <c r="C53" s="82">
        <v>41671</v>
      </c>
      <c r="D53" s="82">
        <v>41699</v>
      </c>
      <c r="E53" s="82">
        <v>41730</v>
      </c>
      <c r="F53" s="82">
        <v>41760</v>
      </c>
      <c r="G53" s="82">
        <v>41791</v>
      </c>
      <c r="H53" s="82">
        <v>41821</v>
      </c>
      <c r="I53" s="82">
        <v>41852</v>
      </c>
      <c r="J53" s="82">
        <v>41883</v>
      </c>
      <c r="K53" s="82">
        <v>41913</v>
      </c>
      <c r="L53" s="82">
        <v>41944</v>
      </c>
      <c r="M53" s="82">
        <v>41974</v>
      </c>
    </row>
    <row r="54" spans="1:14" x14ac:dyDescent="0.2">
      <c r="A54" s="78" t="s">
        <v>110</v>
      </c>
      <c r="B54" s="42">
        <v>14594</v>
      </c>
      <c r="C54" s="42">
        <f t="shared" ref="C54:M54" si="7">B65</f>
        <v>15394</v>
      </c>
      <c r="D54" s="42">
        <f t="shared" si="7"/>
        <v>16194</v>
      </c>
      <c r="E54" s="42">
        <f t="shared" si="7"/>
        <v>16994</v>
      </c>
      <c r="F54" s="42">
        <f t="shared" si="7"/>
        <v>17794</v>
      </c>
      <c r="G54" s="42">
        <f t="shared" si="7"/>
        <v>18594</v>
      </c>
      <c r="H54" s="42">
        <f t="shared" si="7"/>
        <v>19394</v>
      </c>
      <c r="I54" s="42">
        <f t="shared" si="7"/>
        <v>20194</v>
      </c>
      <c r="J54" s="42">
        <f t="shared" si="7"/>
        <v>20994</v>
      </c>
      <c r="K54" s="42">
        <f t="shared" si="7"/>
        <v>21794</v>
      </c>
      <c r="L54" s="42">
        <f t="shared" si="7"/>
        <v>0</v>
      </c>
      <c r="M54" s="42">
        <f t="shared" si="7"/>
        <v>3800</v>
      </c>
    </row>
    <row r="55" spans="1:14" x14ac:dyDescent="0.2">
      <c r="A55" s="78" t="s">
        <v>76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1:14" x14ac:dyDescent="0.2">
      <c r="A56" s="78" t="s">
        <v>3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4" x14ac:dyDescent="0.2">
      <c r="A57" s="78" t="s">
        <v>4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pans="1:14" x14ac:dyDescent="0.2">
      <c r="A58" s="78" t="s">
        <v>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1:14" x14ac:dyDescent="0.2">
      <c r="A59" s="78" t="s">
        <v>286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>
        <v>3000</v>
      </c>
      <c r="M59" s="42"/>
    </row>
    <row r="60" spans="1:14" x14ac:dyDescent="0.2">
      <c r="A60" s="78" t="s">
        <v>74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4" x14ac:dyDescent="0.2">
      <c r="A61" s="78" t="s">
        <v>284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pans="1:14" x14ac:dyDescent="0.2">
      <c r="A62" s="78" t="s">
        <v>5</v>
      </c>
      <c r="B62" s="42">
        <v>800</v>
      </c>
      <c r="C62" s="42">
        <v>800</v>
      </c>
      <c r="D62" s="42">
        <v>800</v>
      </c>
      <c r="E62" s="42">
        <v>800</v>
      </c>
      <c r="F62" s="42">
        <v>800</v>
      </c>
      <c r="G62" s="42">
        <v>800</v>
      </c>
      <c r="H62" s="42">
        <v>800</v>
      </c>
      <c r="I62" s="42">
        <v>800</v>
      </c>
      <c r="J62" s="42">
        <v>800</v>
      </c>
      <c r="K62" s="42">
        <v>800</v>
      </c>
      <c r="L62" s="42">
        <v>800</v>
      </c>
      <c r="M62" s="42">
        <v>800</v>
      </c>
    </row>
    <row r="63" spans="1:14" x14ac:dyDescent="0.2">
      <c r="A63" s="78" t="s">
        <v>6</v>
      </c>
      <c r="B63" s="43">
        <f t="shared" ref="B63:M63" si="8">SUM(B54:B62)</f>
        <v>15394</v>
      </c>
      <c r="C63" s="43">
        <f t="shared" si="8"/>
        <v>16194</v>
      </c>
      <c r="D63" s="43">
        <f t="shared" si="8"/>
        <v>16994</v>
      </c>
      <c r="E63" s="43">
        <f t="shared" si="8"/>
        <v>17794</v>
      </c>
      <c r="F63" s="43">
        <f t="shared" si="8"/>
        <v>18594</v>
      </c>
      <c r="G63" s="43">
        <f t="shared" si="8"/>
        <v>19394</v>
      </c>
      <c r="H63" s="43">
        <f t="shared" si="8"/>
        <v>20194</v>
      </c>
      <c r="I63" s="43">
        <f t="shared" si="8"/>
        <v>20994</v>
      </c>
      <c r="J63" s="43">
        <f t="shared" si="8"/>
        <v>21794</v>
      </c>
      <c r="K63" s="43">
        <f t="shared" si="8"/>
        <v>22594</v>
      </c>
      <c r="L63" s="43">
        <f t="shared" si="8"/>
        <v>3800</v>
      </c>
      <c r="M63" s="43">
        <f t="shared" si="8"/>
        <v>4600</v>
      </c>
    </row>
    <row r="64" spans="1:14" ht="13.5" thickBot="1" x14ac:dyDescent="0.25">
      <c r="A64" s="78" t="s">
        <v>287</v>
      </c>
      <c r="B64" s="44"/>
      <c r="C64" s="44"/>
      <c r="D64" s="44"/>
      <c r="E64" s="44"/>
      <c r="F64" s="44"/>
      <c r="G64" s="44"/>
      <c r="H64" s="44"/>
      <c r="I64" s="44"/>
      <c r="J64" s="44"/>
      <c r="K64" s="44">
        <v>22594</v>
      </c>
      <c r="L64" s="44"/>
      <c r="M64" s="44">
        <v>8510</v>
      </c>
      <c r="N64" t="s">
        <v>321</v>
      </c>
    </row>
    <row r="65" spans="1:13" ht="13.5" thickBot="1" x14ac:dyDescent="0.25">
      <c r="A65" s="78" t="s">
        <v>111</v>
      </c>
      <c r="B65" s="45">
        <f t="shared" ref="B65:M65" si="9">B63-B64</f>
        <v>15394</v>
      </c>
      <c r="C65" s="46">
        <f t="shared" si="9"/>
        <v>16194</v>
      </c>
      <c r="D65" s="46">
        <f t="shared" si="9"/>
        <v>16994</v>
      </c>
      <c r="E65" s="46">
        <f t="shared" si="9"/>
        <v>17794</v>
      </c>
      <c r="F65" s="46">
        <f t="shared" si="9"/>
        <v>18594</v>
      </c>
      <c r="G65" s="46">
        <f t="shared" si="9"/>
        <v>19394</v>
      </c>
      <c r="H65" s="46">
        <f t="shared" si="9"/>
        <v>20194</v>
      </c>
      <c r="I65" s="46">
        <f t="shared" si="9"/>
        <v>20994</v>
      </c>
      <c r="J65" s="46">
        <f t="shared" si="9"/>
        <v>21794</v>
      </c>
      <c r="K65" s="46">
        <f t="shared" si="9"/>
        <v>0</v>
      </c>
      <c r="L65" s="46">
        <f t="shared" si="9"/>
        <v>3800</v>
      </c>
      <c r="M65" s="47">
        <f t="shared" si="9"/>
        <v>-3910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N48"/>
  <sheetViews>
    <sheetView topLeftCell="A16" workbookViewId="0">
      <selection activeCell="E32" sqref="E32"/>
    </sheetView>
  </sheetViews>
  <sheetFormatPr baseColWidth="10" defaultRowHeight="12.75" x14ac:dyDescent="0.2"/>
  <cols>
    <col min="1" max="1" width="28.85546875" customWidth="1"/>
    <col min="5" max="5" width="12.140625" bestFit="1" customWidth="1"/>
    <col min="9" max="9" width="12.5703125" bestFit="1" customWidth="1"/>
    <col min="10" max="10" width="12.7109375" customWidth="1"/>
    <col min="11" max="11" width="13.140625" customWidth="1"/>
    <col min="12" max="12" width="12.85546875" customWidth="1"/>
    <col min="13" max="13" width="13" customWidth="1"/>
  </cols>
  <sheetData>
    <row r="1" spans="1:14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4" x14ac:dyDescent="0.2">
      <c r="A2" s="72" t="s">
        <v>0</v>
      </c>
      <c r="B2" s="72" t="s">
        <v>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x14ac:dyDescent="0.2">
      <c r="A3" s="73"/>
      <c r="B3" s="74">
        <v>45658</v>
      </c>
      <c r="C3" s="74">
        <v>45689</v>
      </c>
      <c r="D3" s="74">
        <v>45717</v>
      </c>
      <c r="E3" s="74">
        <v>45748</v>
      </c>
      <c r="F3" s="74">
        <v>45778</v>
      </c>
      <c r="G3" s="74">
        <v>45809</v>
      </c>
      <c r="H3" s="74">
        <v>45839</v>
      </c>
      <c r="I3" s="74">
        <v>45870</v>
      </c>
      <c r="J3" s="74">
        <v>45901</v>
      </c>
      <c r="K3" s="74">
        <v>45931</v>
      </c>
      <c r="L3" s="74">
        <v>45962</v>
      </c>
      <c r="M3" s="74">
        <v>45992</v>
      </c>
    </row>
    <row r="4" spans="1:14" x14ac:dyDescent="0.2">
      <c r="A4" s="65" t="s">
        <v>110</v>
      </c>
      <c r="B4" s="69"/>
      <c r="C4" s="69">
        <f>B15</f>
        <v>0</v>
      </c>
      <c r="D4" s="69">
        <f t="shared" ref="D4:J4" si="0">C15</f>
        <v>0</v>
      </c>
      <c r="E4" s="69">
        <f t="shared" si="0"/>
        <v>70100</v>
      </c>
      <c r="F4" s="69">
        <f t="shared" si="0"/>
        <v>146115</v>
      </c>
      <c r="G4" s="69">
        <f t="shared" si="0"/>
        <v>0</v>
      </c>
      <c r="H4" s="69">
        <f t="shared" si="0"/>
        <v>0</v>
      </c>
      <c r="I4" s="69">
        <f t="shared" si="0"/>
        <v>84600</v>
      </c>
      <c r="J4" s="69">
        <f t="shared" si="0"/>
        <v>0</v>
      </c>
      <c r="K4" s="69">
        <f>J15</f>
        <v>107450</v>
      </c>
      <c r="L4" s="69">
        <f>K15</f>
        <v>0</v>
      </c>
      <c r="M4" s="69">
        <f>L15</f>
        <v>100000</v>
      </c>
    </row>
    <row r="5" spans="1:14" x14ac:dyDescent="0.2">
      <c r="A5" s="65" t="s">
        <v>76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4" x14ac:dyDescent="0.2">
      <c r="A6" s="65" t="s">
        <v>3</v>
      </c>
      <c r="B6" s="69"/>
      <c r="C6" s="69">
        <v>4630</v>
      </c>
      <c r="D6" s="69">
        <v>10100</v>
      </c>
      <c r="E6" s="69">
        <v>16015</v>
      </c>
      <c r="F6" s="69">
        <v>28000</v>
      </c>
      <c r="G6" s="69">
        <v>91200</v>
      </c>
      <c r="H6" s="69">
        <v>4600</v>
      </c>
      <c r="I6" s="69">
        <v>9000</v>
      </c>
      <c r="J6" s="69">
        <v>27450</v>
      </c>
      <c r="K6" s="69"/>
      <c r="L6" s="69"/>
      <c r="M6" s="69"/>
    </row>
    <row r="7" spans="1:14" x14ac:dyDescent="0.2">
      <c r="A7" s="65" t="s">
        <v>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4" x14ac:dyDescent="0.2">
      <c r="A8" s="65" t="s">
        <v>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4" x14ac:dyDescent="0.2">
      <c r="A9" s="65" t="s">
        <v>73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4" x14ac:dyDescent="0.2">
      <c r="A10" s="65" t="s">
        <v>205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4" x14ac:dyDescent="0.2">
      <c r="A11" s="65" t="s">
        <v>75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4" x14ac:dyDescent="0.2">
      <c r="A12" s="65" t="s">
        <v>5</v>
      </c>
      <c r="B12" s="69"/>
      <c r="C12" s="69">
        <v>90000</v>
      </c>
      <c r="D12" s="69">
        <v>60000</v>
      </c>
      <c r="E12" s="69">
        <v>60000</v>
      </c>
      <c r="F12" s="69">
        <v>60000</v>
      </c>
      <c r="G12" s="69">
        <v>70000</v>
      </c>
      <c r="H12" s="69">
        <v>80000</v>
      </c>
      <c r="I12" s="69">
        <v>80000</v>
      </c>
      <c r="J12" s="69">
        <v>80000</v>
      </c>
      <c r="K12" s="69">
        <v>80000</v>
      </c>
      <c r="L12" s="69">
        <v>100000</v>
      </c>
      <c r="M12" s="69">
        <v>120000</v>
      </c>
      <c r="N12" s="55"/>
    </row>
    <row r="13" spans="1:14" x14ac:dyDescent="0.2">
      <c r="A13" s="65" t="s">
        <v>6</v>
      </c>
      <c r="B13" s="70">
        <f t="shared" ref="B13:M13" si="1">SUM(B4:B12)</f>
        <v>0</v>
      </c>
      <c r="C13" s="70">
        <f t="shared" si="1"/>
        <v>94630</v>
      </c>
      <c r="D13" s="70">
        <f t="shared" si="1"/>
        <v>70100</v>
      </c>
      <c r="E13" s="70">
        <f t="shared" si="1"/>
        <v>146115</v>
      </c>
      <c r="F13" s="70">
        <f t="shared" si="1"/>
        <v>234115</v>
      </c>
      <c r="G13" s="70">
        <f t="shared" si="1"/>
        <v>161200</v>
      </c>
      <c r="H13" s="70">
        <f t="shared" si="1"/>
        <v>84600</v>
      </c>
      <c r="I13" s="70">
        <f t="shared" si="1"/>
        <v>173600</v>
      </c>
      <c r="J13" s="70">
        <f t="shared" si="1"/>
        <v>107450</v>
      </c>
      <c r="K13" s="70">
        <f t="shared" si="1"/>
        <v>187450</v>
      </c>
      <c r="L13" s="70">
        <f t="shared" si="1"/>
        <v>100000</v>
      </c>
      <c r="M13" s="70">
        <f t="shared" si="1"/>
        <v>220000</v>
      </c>
    </row>
    <row r="14" spans="1:14" ht="13.5" thickBot="1" x14ac:dyDescent="0.25">
      <c r="A14" s="65" t="s">
        <v>7</v>
      </c>
      <c r="B14" s="71"/>
      <c r="C14" s="71">
        <v>94630</v>
      </c>
      <c r="D14" s="71"/>
      <c r="E14" s="71"/>
      <c r="F14" s="71">
        <v>234115</v>
      </c>
      <c r="G14" s="71">
        <v>161200</v>
      </c>
      <c r="H14" s="71"/>
      <c r="I14" s="71">
        <v>173600</v>
      </c>
      <c r="J14" s="71"/>
      <c r="K14" s="71">
        <v>187450</v>
      </c>
      <c r="L14" s="71"/>
      <c r="M14" s="71"/>
    </row>
    <row r="15" spans="1:14" ht="13.5" thickBot="1" x14ac:dyDescent="0.25">
      <c r="A15" s="65" t="s">
        <v>111</v>
      </c>
      <c r="B15" s="75">
        <f t="shared" ref="B15:M15" si="2">B13-B14</f>
        <v>0</v>
      </c>
      <c r="C15" s="76">
        <f t="shared" si="2"/>
        <v>0</v>
      </c>
      <c r="D15" s="76">
        <f t="shared" si="2"/>
        <v>70100</v>
      </c>
      <c r="E15" s="76">
        <f t="shared" si="2"/>
        <v>146115</v>
      </c>
      <c r="F15" s="76">
        <f t="shared" si="2"/>
        <v>0</v>
      </c>
      <c r="G15" s="76">
        <f t="shared" si="2"/>
        <v>0</v>
      </c>
      <c r="H15" s="76">
        <f t="shared" si="2"/>
        <v>84600</v>
      </c>
      <c r="I15" s="76">
        <f t="shared" si="2"/>
        <v>0</v>
      </c>
      <c r="J15" s="76">
        <f t="shared" si="2"/>
        <v>107450</v>
      </c>
      <c r="K15" s="76">
        <f t="shared" si="2"/>
        <v>0</v>
      </c>
      <c r="L15" s="76">
        <f t="shared" si="2"/>
        <v>100000</v>
      </c>
      <c r="M15" s="77">
        <f t="shared" si="2"/>
        <v>220000</v>
      </c>
    </row>
    <row r="16" spans="1:14" x14ac:dyDescent="0.2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</row>
    <row r="17" spans="1:14" x14ac:dyDescent="0.2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</row>
    <row r="18" spans="1:14" x14ac:dyDescent="0.2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4" x14ac:dyDescent="0.2">
      <c r="A19" s="72" t="s">
        <v>0</v>
      </c>
      <c r="B19" s="72" t="s">
        <v>1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</row>
    <row r="20" spans="1:14" x14ac:dyDescent="0.2">
      <c r="A20" s="73"/>
      <c r="B20" s="74">
        <v>46023</v>
      </c>
      <c r="C20" s="74">
        <v>46054</v>
      </c>
      <c r="D20" s="74">
        <v>46082</v>
      </c>
      <c r="E20" s="74">
        <v>46113</v>
      </c>
      <c r="F20" s="74">
        <v>46143</v>
      </c>
      <c r="G20" s="74">
        <v>46174</v>
      </c>
      <c r="H20" s="74">
        <v>46204</v>
      </c>
      <c r="I20" s="74">
        <v>46235</v>
      </c>
      <c r="J20" s="74">
        <v>46266</v>
      </c>
      <c r="K20" s="74">
        <v>46296</v>
      </c>
      <c r="L20" s="74">
        <v>46327</v>
      </c>
      <c r="M20" s="74">
        <v>46357</v>
      </c>
    </row>
    <row r="21" spans="1:14" x14ac:dyDescent="0.2">
      <c r="A21" s="65" t="s">
        <v>110</v>
      </c>
      <c r="B21" s="69">
        <v>220000</v>
      </c>
      <c r="C21" s="69">
        <f>B32</f>
        <v>340000</v>
      </c>
      <c r="D21" s="69">
        <f t="shared" ref="D21:M21" si="3">C32</f>
        <v>0</v>
      </c>
      <c r="E21" s="69">
        <f t="shared" si="3"/>
        <v>120000</v>
      </c>
      <c r="F21" s="69">
        <f t="shared" si="3"/>
        <v>0</v>
      </c>
      <c r="G21" s="69">
        <f t="shared" si="3"/>
        <v>0</v>
      </c>
      <c r="H21" s="69">
        <f t="shared" si="3"/>
        <v>0</v>
      </c>
      <c r="I21" s="69">
        <f t="shared" si="3"/>
        <v>0</v>
      </c>
      <c r="J21" s="69">
        <f t="shared" si="3"/>
        <v>0</v>
      </c>
      <c r="K21" s="69">
        <f t="shared" si="3"/>
        <v>0</v>
      </c>
      <c r="L21" s="69">
        <f t="shared" si="3"/>
        <v>0</v>
      </c>
      <c r="M21" s="69">
        <f t="shared" si="3"/>
        <v>0</v>
      </c>
    </row>
    <row r="22" spans="1:14" x14ac:dyDescent="0.2">
      <c r="A22" s="65" t="s">
        <v>531</v>
      </c>
      <c r="B22" s="69"/>
      <c r="C22" s="69">
        <v>52100</v>
      </c>
      <c r="D22" s="69"/>
      <c r="E22" s="69">
        <v>203000</v>
      </c>
      <c r="F22" s="69"/>
      <c r="G22" s="69"/>
      <c r="H22" s="69"/>
      <c r="I22" s="69"/>
      <c r="J22" s="69"/>
      <c r="K22" s="69"/>
      <c r="L22" s="69"/>
      <c r="M22" s="69"/>
    </row>
    <row r="23" spans="1:14" x14ac:dyDescent="0.2">
      <c r="A23" s="65" t="s">
        <v>530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4" x14ac:dyDescent="0.2">
      <c r="A24" s="65" t="s">
        <v>4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4" x14ac:dyDescent="0.2">
      <c r="A25" s="65" t="s">
        <v>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4" x14ac:dyDescent="0.2">
      <c r="A26" s="65" t="s">
        <v>73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4" x14ac:dyDescent="0.2">
      <c r="A27" s="65" t="s">
        <v>205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4" x14ac:dyDescent="0.2">
      <c r="A28" s="65" t="s">
        <v>451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4" x14ac:dyDescent="0.2">
      <c r="A29" s="65" t="s">
        <v>5</v>
      </c>
      <c r="B29" s="69">
        <v>120000</v>
      </c>
      <c r="C29" s="69">
        <v>120000</v>
      </c>
      <c r="D29" s="69">
        <v>120000</v>
      </c>
      <c r="E29" s="69">
        <v>120000</v>
      </c>
      <c r="F29" s="69"/>
      <c r="G29" s="69"/>
      <c r="H29" s="69"/>
      <c r="I29" s="69"/>
      <c r="J29" s="69"/>
      <c r="K29" s="69"/>
      <c r="L29" s="69"/>
      <c r="M29" s="69"/>
      <c r="N29" s="55">
        <f>SUM(B29:M29)</f>
        <v>480000</v>
      </c>
    </row>
    <row r="30" spans="1:14" x14ac:dyDescent="0.2">
      <c r="A30" s="65" t="s">
        <v>6</v>
      </c>
      <c r="B30" s="70">
        <f t="shared" ref="B30:M30" si="4">SUM(B21:B29)</f>
        <v>340000</v>
      </c>
      <c r="C30" s="70">
        <f t="shared" si="4"/>
        <v>512100</v>
      </c>
      <c r="D30" s="70">
        <f t="shared" si="4"/>
        <v>120000</v>
      </c>
      <c r="E30" s="70">
        <f t="shared" si="4"/>
        <v>443000</v>
      </c>
      <c r="F30" s="70">
        <f t="shared" si="4"/>
        <v>0</v>
      </c>
      <c r="G30" s="70">
        <f t="shared" si="4"/>
        <v>0</v>
      </c>
      <c r="H30" s="70">
        <f t="shared" si="4"/>
        <v>0</v>
      </c>
      <c r="I30" s="70">
        <f t="shared" si="4"/>
        <v>0</v>
      </c>
      <c r="J30" s="70">
        <f t="shared" si="4"/>
        <v>0</v>
      </c>
      <c r="K30" s="70">
        <f t="shared" si="4"/>
        <v>0</v>
      </c>
      <c r="L30" s="70">
        <f t="shared" si="4"/>
        <v>0</v>
      </c>
      <c r="M30" s="70">
        <f t="shared" si="4"/>
        <v>0</v>
      </c>
    </row>
    <row r="31" spans="1:14" ht="13.5" thickBot="1" x14ac:dyDescent="0.25">
      <c r="A31" s="65" t="s">
        <v>7</v>
      </c>
      <c r="B31" s="71"/>
      <c r="C31" s="71">
        <v>512100</v>
      </c>
      <c r="D31" s="71"/>
      <c r="E31" s="71">
        <f>240000+203000</f>
        <v>443000</v>
      </c>
      <c r="F31" s="71"/>
      <c r="G31" s="71"/>
      <c r="H31" s="71"/>
      <c r="I31" s="71"/>
      <c r="J31" s="71"/>
      <c r="K31" s="71"/>
      <c r="L31" s="71"/>
      <c r="M31" s="71"/>
      <c r="N31" s="55">
        <f>N12+N29/2</f>
        <v>240000</v>
      </c>
    </row>
    <row r="32" spans="1:14" ht="13.5" thickBot="1" x14ac:dyDescent="0.25">
      <c r="A32" s="65" t="s">
        <v>111</v>
      </c>
      <c r="B32" s="75">
        <f t="shared" ref="B32:M32" si="5">B30-B31</f>
        <v>340000</v>
      </c>
      <c r="C32" s="76">
        <f t="shared" si="5"/>
        <v>0</v>
      </c>
      <c r="D32" s="76">
        <f t="shared" si="5"/>
        <v>120000</v>
      </c>
      <c r="E32" s="76">
        <f t="shared" si="5"/>
        <v>0</v>
      </c>
      <c r="F32" s="76">
        <f t="shared" si="5"/>
        <v>0</v>
      </c>
      <c r="G32" s="76">
        <f t="shared" si="5"/>
        <v>0</v>
      </c>
      <c r="H32" s="76">
        <f t="shared" si="5"/>
        <v>0</v>
      </c>
      <c r="I32" s="76">
        <f t="shared" si="5"/>
        <v>0</v>
      </c>
      <c r="J32" s="76">
        <f t="shared" si="5"/>
        <v>0</v>
      </c>
      <c r="K32" s="76">
        <f t="shared" si="5"/>
        <v>0</v>
      </c>
      <c r="L32" s="76">
        <f t="shared" si="5"/>
        <v>0</v>
      </c>
      <c r="M32" s="76">
        <f t="shared" si="5"/>
        <v>0</v>
      </c>
      <c r="N32" s="55"/>
    </row>
    <row r="33" spans="1:13" x14ac:dyDescent="0.2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</row>
    <row r="34" spans="1:13" x14ac:dyDescent="0.2">
      <c r="A34" s="65"/>
      <c r="B34" s="182">
        <v>44567</v>
      </c>
      <c r="C34" s="182">
        <v>44596</v>
      </c>
      <c r="D34" s="182">
        <v>44620</v>
      </c>
      <c r="E34" s="65"/>
      <c r="F34" s="65"/>
      <c r="G34" s="65"/>
      <c r="H34" s="65"/>
      <c r="I34" s="65"/>
      <c r="J34" s="65"/>
      <c r="K34" s="65"/>
      <c r="L34" s="65"/>
      <c r="M34" s="65"/>
    </row>
    <row r="35" spans="1:13" x14ac:dyDescent="0.2">
      <c r="A35" s="162"/>
      <c r="B35" s="162"/>
      <c r="C35" s="183">
        <v>44596</v>
      </c>
      <c r="D35" s="163"/>
      <c r="E35" s="163"/>
      <c r="F35" s="163"/>
      <c r="G35" s="163"/>
      <c r="H35" s="163"/>
      <c r="I35" s="163"/>
      <c r="J35" s="163"/>
      <c r="K35" s="163"/>
      <c r="L35" s="163"/>
      <c r="M35" s="163"/>
    </row>
    <row r="36" spans="1:13" x14ac:dyDescent="0.2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</row>
    <row r="37" spans="1:13" x14ac:dyDescent="0.2">
      <c r="A37" s="16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</row>
    <row r="38" spans="1:13" x14ac:dyDescent="0.2">
      <c r="A38" s="165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</row>
    <row r="39" spans="1:13" x14ac:dyDescent="0.2">
      <c r="A39" s="16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</row>
    <row r="40" spans="1:13" x14ac:dyDescent="0.2">
      <c r="A40" s="16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</row>
    <row r="41" spans="1:13" x14ac:dyDescent="0.2">
      <c r="A41" s="165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</row>
    <row r="42" spans="1:13" x14ac:dyDescent="0.2">
      <c r="A42" s="165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</row>
    <row r="43" spans="1:13" x14ac:dyDescent="0.2">
      <c r="A43" s="16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</row>
    <row r="44" spans="1:13" x14ac:dyDescent="0.2">
      <c r="A44" s="165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x14ac:dyDescent="0.2">
      <c r="A45" s="16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</row>
    <row r="46" spans="1:13" x14ac:dyDescent="0.2">
      <c r="A46" s="165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</row>
    <row r="47" spans="1:13" x14ac:dyDescent="0.2">
      <c r="A47" s="165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</row>
    <row r="48" spans="1:13" x14ac:dyDescent="0.2">
      <c r="A48" s="165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/>
  <dimension ref="A1:M50"/>
  <sheetViews>
    <sheetView topLeftCell="A19" workbookViewId="0">
      <selection activeCell="F53" sqref="F53"/>
    </sheetView>
  </sheetViews>
  <sheetFormatPr baseColWidth="10" defaultRowHeight="12.75" x14ac:dyDescent="0.2"/>
  <cols>
    <col min="1" max="1" width="34.85546875" customWidth="1"/>
    <col min="2" max="2" width="12.85546875" bestFit="1" customWidth="1"/>
    <col min="3" max="3" width="11.85546875" bestFit="1" customWidth="1"/>
    <col min="6" max="6" width="12.7109375" customWidth="1"/>
    <col min="7" max="7" width="11.85546875" bestFit="1" customWidth="1"/>
    <col min="8" max="8" width="12.85546875" customWidth="1"/>
    <col min="9" max="9" width="14.140625" customWidth="1"/>
    <col min="10" max="10" width="13" customWidth="1"/>
    <col min="11" max="11" width="11.7109375" customWidth="1"/>
  </cols>
  <sheetData>
    <row r="1" spans="1:13" ht="13.5" thickBot="1" x14ac:dyDescent="0.25"/>
    <row r="2" spans="1:13" ht="13.5" thickBot="1" x14ac:dyDescent="0.25">
      <c r="A2" s="167" t="s">
        <v>468</v>
      </c>
    </row>
    <row r="3" spans="1:13" x14ac:dyDescent="0.2">
      <c r="A3" s="50" t="s">
        <v>0</v>
      </c>
      <c r="B3" s="50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x14ac:dyDescent="0.2">
      <c r="A4" s="78"/>
      <c r="B4" s="79">
        <v>45292</v>
      </c>
      <c r="C4" s="79">
        <v>45323</v>
      </c>
      <c r="D4" s="79">
        <v>45352</v>
      </c>
      <c r="E4" s="79">
        <v>45383</v>
      </c>
      <c r="F4" s="79">
        <v>45413</v>
      </c>
      <c r="G4" s="79">
        <v>45444</v>
      </c>
      <c r="H4" s="79">
        <v>45474</v>
      </c>
      <c r="I4" s="79">
        <v>45505</v>
      </c>
      <c r="J4" s="79">
        <v>45536</v>
      </c>
      <c r="K4" s="79">
        <v>45566</v>
      </c>
      <c r="L4" s="79">
        <v>45597</v>
      </c>
      <c r="M4" s="79">
        <v>45627</v>
      </c>
    </row>
    <row r="5" spans="1:13" x14ac:dyDescent="0.2">
      <c r="A5" s="78" t="s">
        <v>110</v>
      </c>
      <c r="B5" s="42"/>
      <c r="C5" s="42">
        <f>B16</f>
        <v>60140</v>
      </c>
      <c r="D5" s="42">
        <f t="shared" ref="D5:M5" si="0">C16</f>
        <v>0</v>
      </c>
      <c r="E5" s="42">
        <f t="shared" si="0"/>
        <v>60140</v>
      </c>
      <c r="F5" s="42">
        <f t="shared" si="0"/>
        <v>130280</v>
      </c>
      <c r="G5" s="42">
        <f t="shared" si="0"/>
        <v>195420</v>
      </c>
      <c r="H5" s="42">
        <f t="shared" si="0"/>
        <v>260560</v>
      </c>
      <c r="I5" s="42">
        <f t="shared" si="0"/>
        <v>0</v>
      </c>
      <c r="J5" s="42">
        <f t="shared" si="0"/>
        <v>70758</v>
      </c>
      <c r="K5" s="42">
        <f>J16</f>
        <v>141516</v>
      </c>
      <c r="L5" s="42">
        <f t="shared" si="0"/>
        <v>212274</v>
      </c>
      <c r="M5" s="42">
        <f t="shared" si="0"/>
        <v>32</v>
      </c>
    </row>
    <row r="6" spans="1:13" x14ac:dyDescent="0.2">
      <c r="A6" s="78" t="s">
        <v>2</v>
      </c>
      <c r="B6" s="42">
        <v>45140</v>
      </c>
      <c r="C6" s="42">
        <v>45140</v>
      </c>
      <c r="D6" s="42">
        <v>45140</v>
      </c>
      <c r="E6" s="42">
        <v>45140</v>
      </c>
      <c r="F6" s="42">
        <v>45140</v>
      </c>
      <c r="G6" s="42">
        <v>45140</v>
      </c>
      <c r="H6" s="42">
        <v>45140</v>
      </c>
      <c r="I6" s="42">
        <v>40758</v>
      </c>
      <c r="J6" s="42">
        <v>40758</v>
      </c>
      <c r="K6" s="42">
        <v>40758</v>
      </c>
      <c r="L6" s="42">
        <v>40758</v>
      </c>
      <c r="M6" s="42">
        <v>40758</v>
      </c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>
        <v>10000</v>
      </c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15000</v>
      </c>
      <c r="C13" s="42">
        <v>15000</v>
      </c>
      <c r="D13" s="42">
        <v>15000</v>
      </c>
      <c r="E13" s="42">
        <v>15000</v>
      </c>
      <c r="F13" s="42">
        <v>20000</v>
      </c>
      <c r="G13" s="42">
        <v>20000</v>
      </c>
      <c r="H13" s="42">
        <v>20000</v>
      </c>
      <c r="I13" s="42">
        <v>30000</v>
      </c>
      <c r="J13" s="42">
        <v>30000</v>
      </c>
      <c r="K13" s="42">
        <v>30000</v>
      </c>
      <c r="L13" s="42">
        <v>30000</v>
      </c>
      <c r="M13" s="42">
        <v>30000</v>
      </c>
    </row>
    <row r="14" spans="1:13" x14ac:dyDescent="0.2">
      <c r="A14" s="78" t="s">
        <v>6</v>
      </c>
      <c r="B14" s="143">
        <f>SUM(B5:B13)</f>
        <v>60140</v>
      </c>
      <c r="C14" s="43">
        <f t="shared" ref="C14:M14" si="1">SUM(C5:C13)</f>
        <v>120280</v>
      </c>
      <c r="D14" s="43">
        <f t="shared" si="1"/>
        <v>60140</v>
      </c>
      <c r="E14" s="43">
        <f t="shared" si="1"/>
        <v>130280</v>
      </c>
      <c r="F14" s="43">
        <f t="shared" si="1"/>
        <v>195420</v>
      </c>
      <c r="G14" s="43">
        <f t="shared" si="1"/>
        <v>260560</v>
      </c>
      <c r="H14" s="43">
        <f t="shared" si="1"/>
        <v>325700</v>
      </c>
      <c r="I14" s="43">
        <f t="shared" si="1"/>
        <v>70758</v>
      </c>
      <c r="J14" s="43">
        <f t="shared" si="1"/>
        <v>141516</v>
      </c>
      <c r="K14" s="43">
        <f t="shared" si="1"/>
        <v>212274</v>
      </c>
      <c r="L14" s="43">
        <f t="shared" si="1"/>
        <v>283032</v>
      </c>
      <c r="M14" s="137">
        <f t="shared" si="1"/>
        <v>70790</v>
      </c>
    </row>
    <row r="15" spans="1:13" x14ac:dyDescent="0.2">
      <c r="A15" s="78" t="s">
        <v>7</v>
      </c>
      <c r="B15" s="168"/>
      <c r="C15" s="44">
        <v>120280</v>
      </c>
      <c r="D15" s="44"/>
      <c r="E15" s="44"/>
      <c r="F15" s="44"/>
      <c r="G15" s="44"/>
      <c r="H15" s="44">
        <v>325700</v>
      </c>
      <c r="I15" s="44"/>
      <c r="J15" s="44"/>
      <c r="K15" s="44"/>
      <c r="L15" s="44">
        <v>283000</v>
      </c>
      <c r="M15" s="169"/>
    </row>
    <row r="16" spans="1:13" x14ac:dyDescent="0.2">
      <c r="A16" s="78" t="s">
        <v>111</v>
      </c>
      <c r="B16" s="143">
        <f>B14-B15</f>
        <v>60140</v>
      </c>
      <c r="C16" s="43">
        <f>C14-C15</f>
        <v>0</v>
      </c>
      <c r="D16" s="43">
        <f t="shared" ref="D16:M16" si="2">D14-D15</f>
        <v>60140</v>
      </c>
      <c r="E16" s="43">
        <f t="shared" si="2"/>
        <v>130280</v>
      </c>
      <c r="F16" s="43">
        <f t="shared" si="2"/>
        <v>195420</v>
      </c>
      <c r="G16" s="43">
        <f t="shared" si="2"/>
        <v>260560</v>
      </c>
      <c r="H16" s="43">
        <f t="shared" si="2"/>
        <v>0</v>
      </c>
      <c r="I16" s="43">
        <f t="shared" si="2"/>
        <v>70758</v>
      </c>
      <c r="J16" s="43">
        <f t="shared" si="2"/>
        <v>141516</v>
      </c>
      <c r="K16" s="43">
        <f t="shared" si="2"/>
        <v>212274</v>
      </c>
      <c r="L16" s="43">
        <f t="shared" si="2"/>
        <v>32</v>
      </c>
      <c r="M16" s="137">
        <f t="shared" si="2"/>
        <v>70790</v>
      </c>
    </row>
    <row r="19" spans="1:13" x14ac:dyDescent="0.2">
      <c r="A19" s="50" t="s">
        <v>0</v>
      </c>
      <c r="B19" s="50" t="s">
        <v>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93">
        <v>45658</v>
      </c>
      <c r="C20" s="93">
        <v>45689</v>
      </c>
      <c r="D20" s="93">
        <v>45717</v>
      </c>
      <c r="E20" s="93">
        <v>45748</v>
      </c>
      <c r="F20" s="93">
        <v>45778</v>
      </c>
      <c r="G20" s="93">
        <v>45809</v>
      </c>
      <c r="H20" s="93">
        <v>45839</v>
      </c>
      <c r="I20" s="93">
        <v>45870</v>
      </c>
      <c r="J20" s="93">
        <v>45901</v>
      </c>
      <c r="K20" s="93">
        <v>45931</v>
      </c>
      <c r="L20" s="93">
        <v>45962</v>
      </c>
      <c r="M20" s="93">
        <v>45992</v>
      </c>
    </row>
    <row r="21" spans="1:13" x14ac:dyDescent="0.2">
      <c r="A21" s="78" t="s">
        <v>110</v>
      </c>
      <c r="B21" s="94">
        <v>70790</v>
      </c>
      <c r="C21" s="94">
        <f t="shared" ref="C21:M21" si="3">B32</f>
        <v>141548</v>
      </c>
      <c r="D21" s="94">
        <f t="shared" si="3"/>
        <v>199828</v>
      </c>
      <c r="E21" s="94">
        <f t="shared" si="3"/>
        <v>449108</v>
      </c>
      <c r="F21" s="94">
        <f t="shared" si="3"/>
        <v>698388</v>
      </c>
      <c r="G21" s="94">
        <f t="shared" si="3"/>
        <v>947668</v>
      </c>
      <c r="H21" s="94">
        <f t="shared" si="3"/>
        <v>906948</v>
      </c>
      <c r="I21" s="94">
        <f t="shared" si="3"/>
        <v>1186228</v>
      </c>
      <c r="J21" s="94">
        <f t="shared" si="3"/>
        <v>1465508</v>
      </c>
      <c r="K21" s="94">
        <f t="shared" si="3"/>
        <v>1744788</v>
      </c>
      <c r="L21" s="94">
        <f t="shared" si="3"/>
        <v>2024068</v>
      </c>
      <c r="M21" s="94">
        <f t="shared" si="3"/>
        <v>1453348</v>
      </c>
    </row>
    <row r="22" spans="1:13" x14ac:dyDescent="0.2">
      <c r="A22" s="78" t="s">
        <v>2</v>
      </c>
      <c r="B22" s="94">
        <v>40758</v>
      </c>
      <c r="C22" s="94">
        <v>150000</v>
      </c>
      <c r="D22" s="94">
        <v>150000</v>
      </c>
      <c r="E22" s="94">
        <v>150000</v>
      </c>
      <c r="F22" s="94">
        <v>150000</v>
      </c>
      <c r="G22" s="94">
        <v>150000</v>
      </c>
      <c r="H22" s="94">
        <v>150000</v>
      </c>
      <c r="I22" s="94">
        <v>150000</v>
      </c>
      <c r="J22" s="94">
        <v>150000</v>
      </c>
      <c r="K22" s="94">
        <v>150000</v>
      </c>
      <c r="L22" s="94">
        <v>150000</v>
      </c>
      <c r="M22" s="94">
        <v>175460</v>
      </c>
    </row>
    <row r="23" spans="1:13" x14ac:dyDescent="0.2">
      <c r="A23" s="78" t="s">
        <v>3</v>
      </c>
      <c r="B23" s="94"/>
      <c r="C23" s="94">
        <v>64280</v>
      </c>
      <c r="D23" s="94">
        <v>64280</v>
      </c>
      <c r="E23" s="94">
        <v>64280</v>
      </c>
      <c r="F23" s="94">
        <v>64280</v>
      </c>
      <c r="G23" s="94">
        <v>64280</v>
      </c>
      <c r="H23" s="94">
        <v>64280</v>
      </c>
      <c r="I23" s="94">
        <v>64280</v>
      </c>
      <c r="J23" s="94">
        <v>64280</v>
      </c>
      <c r="K23" s="94">
        <v>64280</v>
      </c>
      <c r="L23" s="94">
        <v>64280</v>
      </c>
      <c r="M23" s="94">
        <v>64280</v>
      </c>
    </row>
    <row r="24" spans="1:13" x14ac:dyDescent="0.2">
      <c r="A24" s="78" t="s">
        <v>4</v>
      </c>
      <c r="B24" s="94"/>
      <c r="C24" s="94"/>
      <c r="D24" s="94"/>
      <c r="E24" s="94"/>
      <c r="F24" s="94"/>
      <c r="G24" s="94">
        <v>15000</v>
      </c>
      <c r="H24" s="94">
        <v>15000</v>
      </c>
      <c r="I24" s="94">
        <v>15000</v>
      </c>
      <c r="J24" s="94">
        <v>15000</v>
      </c>
      <c r="K24" s="94">
        <v>15000</v>
      </c>
      <c r="L24" s="94">
        <v>15000</v>
      </c>
      <c r="M24" s="94">
        <v>15000</v>
      </c>
    </row>
    <row r="25" spans="1:13" x14ac:dyDescent="0.2">
      <c r="A25" s="78" t="s">
        <v>9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1:13" x14ac:dyDescent="0.2">
      <c r="A26" s="78" t="s">
        <v>73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3" x14ac:dyDescent="0.2">
      <c r="A27" s="78" t="s">
        <v>74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</row>
    <row r="28" spans="1:13" x14ac:dyDescent="0.2">
      <c r="A28" s="78" t="s">
        <v>75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</row>
    <row r="29" spans="1:13" x14ac:dyDescent="0.2">
      <c r="A29" s="78" t="s">
        <v>5</v>
      </c>
      <c r="B29" s="94">
        <v>30000</v>
      </c>
      <c r="C29" s="94">
        <v>35000</v>
      </c>
      <c r="D29" s="94">
        <v>35000</v>
      </c>
      <c r="E29" s="94">
        <v>35000</v>
      </c>
      <c r="F29" s="94">
        <v>35000</v>
      </c>
      <c r="G29" s="94">
        <v>35000</v>
      </c>
      <c r="H29" s="94">
        <v>50000</v>
      </c>
      <c r="I29" s="94">
        <v>50000</v>
      </c>
      <c r="J29" s="94">
        <v>50000</v>
      </c>
      <c r="K29" s="94">
        <v>50000</v>
      </c>
      <c r="L29" s="94">
        <v>50000</v>
      </c>
      <c r="M29" s="94">
        <v>50000</v>
      </c>
    </row>
    <row r="30" spans="1:13" x14ac:dyDescent="0.2">
      <c r="A30" s="78" t="s">
        <v>6</v>
      </c>
      <c r="B30" s="209">
        <f>SUM(B21:B29)</f>
        <v>141548</v>
      </c>
      <c r="C30" s="95">
        <f t="shared" ref="C30:M30" si="4">SUM(C21:C29)</f>
        <v>390828</v>
      </c>
      <c r="D30" s="95">
        <f t="shared" si="4"/>
        <v>449108</v>
      </c>
      <c r="E30" s="95">
        <f t="shared" si="4"/>
        <v>698388</v>
      </c>
      <c r="F30" s="95">
        <f t="shared" si="4"/>
        <v>947668</v>
      </c>
      <c r="G30" s="95">
        <f t="shared" si="4"/>
        <v>1211948</v>
      </c>
      <c r="H30" s="95">
        <f t="shared" si="4"/>
        <v>1186228</v>
      </c>
      <c r="I30" s="95">
        <f t="shared" si="4"/>
        <v>1465508</v>
      </c>
      <c r="J30" s="95">
        <f t="shared" si="4"/>
        <v>1744788</v>
      </c>
      <c r="K30" s="95">
        <f t="shared" si="4"/>
        <v>2024068</v>
      </c>
      <c r="L30" s="95">
        <f t="shared" si="4"/>
        <v>2303348</v>
      </c>
      <c r="M30" s="116">
        <f t="shared" si="4"/>
        <v>1758088</v>
      </c>
    </row>
    <row r="31" spans="1:13" x14ac:dyDescent="0.2">
      <c r="A31" s="78" t="s">
        <v>7</v>
      </c>
      <c r="B31" s="210"/>
      <c r="C31" s="96">
        <f>186000+5000</f>
        <v>191000</v>
      </c>
      <c r="D31" s="96"/>
      <c r="E31" s="96"/>
      <c r="F31" s="96"/>
      <c r="G31" s="96">
        <v>305000</v>
      </c>
      <c r="H31" s="96"/>
      <c r="I31" s="96"/>
      <c r="J31" s="96"/>
      <c r="K31" s="96"/>
      <c r="L31" s="96">
        <v>850000</v>
      </c>
      <c r="M31" s="211"/>
    </row>
    <row r="32" spans="1:13" x14ac:dyDescent="0.2">
      <c r="A32" s="78" t="s">
        <v>111</v>
      </c>
      <c r="B32" s="209">
        <f>B30-B31</f>
        <v>141548</v>
      </c>
      <c r="C32" s="95">
        <f>C30-C31</f>
        <v>199828</v>
      </c>
      <c r="D32" s="95">
        <f t="shared" ref="D32:M32" si="5">D30-D31</f>
        <v>449108</v>
      </c>
      <c r="E32" s="95">
        <f t="shared" si="5"/>
        <v>698388</v>
      </c>
      <c r="F32" s="95">
        <f t="shared" si="5"/>
        <v>947668</v>
      </c>
      <c r="G32" s="95">
        <f t="shared" si="5"/>
        <v>906948</v>
      </c>
      <c r="H32" s="95">
        <f t="shared" si="5"/>
        <v>1186228</v>
      </c>
      <c r="I32" s="95">
        <f t="shared" si="5"/>
        <v>1465508</v>
      </c>
      <c r="J32" s="95">
        <f t="shared" si="5"/>
        <v>1744788</v>
      </c>
      <c r="K32" s="95">
        <f t="shared" si="5"/>
        <v>2024068</v>
      </c>
      <c r="L32" s="95">
        <f t="shared" si="5"/>
        <v>1453348</v>
      </c>
      <c r="M32" s="116">
        <f t="shared" si="5"/>
        <v>1758088</v>
      </c>
    </row>
    <row r="33" spans="1:13" x14ac:dyDescent="0.2">
      <c r="C33" s="128">
        <v>44265</v>
      </c>
    </row>
    <row r="35" spans="1:13" x14ac:dyDescent="0.2">
      <c r="A35" s="50" t="s">
        <v>0</v>
      </c>
      <c r="B35" s="50" t="s">
        <v>1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</row>
    <row r="36" spans="1:13" x14ac:dyDescent="0.2">
      <c r="A36" s="78"/>
      <c r="B36" s="93">
        <v>46023</v>
      </c>
      <c r="C36" s="93">
        <v>46054</v>
      </c>
      <c r="D36" s="93">
        <v>46082</v>
      </c>
      <c r="E36" s="93">
        <v>46113</v>
      </c>
      <c r="F36" s="93">
        <v>46143</v>
      </c>
      <c r="G36" s="93">
        <v>46174</v>
      </c>
      <c r="H36" s="93">
        <v>46204</v>
      </c>
      <c r="I36" s="93">
        <v>46235</v>
      </c>
      <c r="J36" s="93">
        <v>46266</v>
      </c>
      <c r="K36" s="93">
        <v>46296</v>
      </c>
      <c r="L36" s="93">
        <v>46327</v>
      </c>
      <c r="M36" s="93">
        <v>46357</v>
      </c>
    </row>
    <row r="37" spans="1:13" x14ac:dyDescent="0.2">
      <c r="A37" s="78" t="s">
        <v>110</v>
      </c>
      <c r="B37" s="94">
        <v>1758100</v>
      </c>
      <c r="C37" s="94">
        <f t="shared" ref="C37:M37" si="6">B48</f>
        <v>2089100</v>
      </c>
      <c r="D37" s="94">
        <f t="shared" si="6"/>
        <v>2420100</v>
      </c>
      <c r="E37" s="94">
        <f t="shared" si="6"/>
        <v>2751100</v>
      </c>
      <c r="F37" s="94">
        <f t="shared" si="6"/>
        <v>3082100</v>
      </c>
      <c r="G37" s="94">
        <f t="shared" si="6"/>
        <v>2843100</v>
      </c>
      <c r="H37" s="94">
        <f t="shared" si="6"/>
        <v>2843100</v>
      </c>
      <c r="I37" s="94">
        <f t="shared" si="6"/>
        <v>2843100</v>
      </c>
      <c r="J37" s="94">
        <f t="shared" si="6"/>
        <v>2843100</v>
      </c>
      <c r="K37" s="94">
        <f t="shared" si="6"/>
        <v>2843100</v>
      </c>
      <c r="L37" s="94">
        <f t="shared" si="6"/>
        <v>2843100</v>
      </c>
      <c r="M37" s="94">
        <f t="shared" si="6"/>
        <v>2843100</v>
      </c>
    </row>
    <row r="38" spans="1:13" x14ac:dyDescent="0.2">
      <c r="A38" s="78" t="s">
        <v>2</v>
      </c>
      <c r="B38" s="94">
        <v>281000</v>
      </c>
      <c r="C38" s="94">
        <v>281000</v>
      </c>
      <c r="D38" s="94">
        <v>281000</v>
      </c>
      <c r="E38" s="94">
        <v>281000</v>
      </c>
      <c r="F38" s="94">
        <v>281000</v>
      </c>
      <c r="G38" s="94"/>
      <c r="H38" s="94"/>
      <c r="I38" s="94"/>
      <c r="J38" s="94"/>
      <c r="K38" s="94"/>
      <c r="L38" s="94"/>
      <c r="M38" s="94"/>
    </row>
    <row r="39" spans="1:13" x14ac:dyDescent="0.2">
      <c r="A39" s="78" t="s">
        <v>3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</row>
    <row r="40" spans="1:13" x14ac:dyDescent="0.2">
      <c r="A40" s="78" t="s">
        <v>4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</row>
    <row r="41" spans="1:13" x14ac:dyDescent="0.2">
      <c r="A41" s="78" t="s">
        <v>9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</row>
    <row r="42" spans="1:13" x14ac:dyDescent="0.2">
      <c r="A42" s="78" t="s">
        <v>73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</row>
    <row r="43" spans="1:13" x14ac:dyDescent="0.2">
      <c r="A43" s="78" t="s">
        <v>74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</row>
    <row r="44" spans="1:13" x14ac:dyDescent="0.2">
      <c r="A44" s="78" t="s">
        <v>75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</row>
    <row r="45" spans="1:13" x14ac:dyDescent="0.2">
      <c r="A45" s="78" t="s">
        <v>5</v>
      </c>
      <c r="B45" s="94">
        <v>50000</v>
      </c>
      <c r="C45" s="94">
        <v>50000</v>
      </c>
      <c r="D45" s="94">
        <v>50000</v>
      </c>
      <c r="E45" s="94">
        <v>50000</v>
      </c>
      <c r="F45" s="94">
        <v>50000</v>
      </c>
      <c r="G45" s="94"/>
      <c r="H45" s="94"/>
      <c r="I45" s="94"/>
      <c r="J45" s="94"/>
      <c r="K45" s="94"/>
      <c r="L45" s="94"/>
      <c r="M45" s="94"/>
    </row>
    <row r="46" spans="1:13" x14ac:dyDescent="0.2">
      <c r="A46" s="78" t="s">
        <v>6</v>
      </c>
      <c r="B46" s="209">
        <f>SUM(B37:B45)</f>
        <v>2089100</v>
      </c>
      <c r="C46" s="95">
        <f t="shared" ref="C46:M46" si="7">SUM(C37:C45)</f>
        <v>2420100</v>
      </c>
      <c r="D46" s="95">
        <f t="shared" si="7"/>
        <v>2751100</v>
      </c>
      <c r="E46" s="95">
        <f t="shared" si="7"/>
        <v>3082100</v>
      </c>
      <c r="F46" s="95">
        <f t="shared" si="7"/>
        <v>3413100</v>
      </c>
      <c r="G46" s="95">
        <f t="shared" si="7"/>
        <v>2843100</v>
      </c>
      <c r="H46" s="95">
        <f t="shared" si="7"/>
        <v>2843100</v>
      </c>
      <c r="I46" s="95">
        <f t="shared" si="7"/>
        <v>2843100</v>
      </c>
      <c r="J46" s="95">
        <f t="shared" si="7"/>
        <v>2843100</v>
      </c>
      <c r="K46" s="95">
        <f t="shared" si="7"/>
        <v>2843100</v>
      </c>
      <c r="L46" s="95">
        <f t="shared" si="7"/>
        <v>2843100</v>
      </c>
      <c r="M46" s="116">
        <f t="shared" si="7"/>
        <v>2843100</v>
      </c>
    </row>
    <row r="47" spans="1:13" x14ac:dyDescent="0.2">
      <c r="A47" s="78" t="s">
        <v>7</v>
      </c>
      <c r="B47" s="210"/>
      <c r="C47" s="96"/>
      <c r="D47" s="96"/>
      <c r="E47" s="96"/>
      <c r="F47" s="96">
        <v>570000</v>
      </c>
      <c r="G47" s="96"/>
      <c r="H47" s="96"/>
      <c r="I47" s="96"/>
      <c r="J47" s="96"/>
      <c r="K47" s="96"/>
      <c r="L47" s="96"/>
      <c r="M47" s="211"/>
    </row>
    <row r="48" spans="1:13" x14ac:dyDescent="0.2">
      <c r="A48" s="78" t="s">
        <v>111</v>
      </c>
      <c r="B48" s="209">
        <f>B46-B47</f>
        <v>2089100</v>
      </c>
      <c r="C48" s="95">
        <f>C46-C47</f>
        <v>2420100</v>
      </c>
      <c r="D48" s="95">
        <f t="shared" ref="D48:M48" si="8">D46-D47</f>
        <v>2751100</v>
      </c>
      <c r="E48" s="95">
        <f t="shared" si="8"/>
        <v>3082100</v>
      </c>
      <c r="F48" s="95">
        <f t="shared" si="8"/>
        <v>2843100</v>
      </c>
      <c r="G48" s="95">
        <f t="shared" si="8"/>
        <v>2843100</v>
      </c>
      <c r="H48" s="95">
        <f t="shared" si="8"/>
        <v>2843100</v>
      </c>
      <c r="I48" s="95">
        <f t="shared" si="8"/>
        <v>2843100</v>
      </c>
      <c r="J48" s="95">
        <f t="shared" si="8"/>
        <v>2843100</v>
      </c>
      <c r="K48" s="95">
        <f t="shared" si="8"/>
        <v>2843100</v>
      </c>
      <c r="L48" s="95">
        <f t="shared" si="8"/>
        <v>2843100</v>
      </c>
      <c r="M48" s="116">
        <f t="shared" si="8"/>
        <v>2843100</v>
      </c>
    </row>
    <row r="49" spans="3:7" x14ac:dyDescent="0.2">
      <c r="C49" s="195"/>
      <c r="D49" s="195"/>
      <c r="E49" s="195"/>
      <c r="F49" s="195">
        <v>50000</v>
      </c>
      <c r="G49">
        <v>30000</v>
      </c>
    </row>
    <row r="50" spans="3:7" x14ac:dyDescent="0.2">
      <c r="F50" s="84" t="s">
        <v>622</v>
      </c>
      <c r="G50" s="128">
        <v>45106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/>
  <dimension ref="B2:N48"/>
  <sheetViews>
    <sheetView topLeftCell="A19" workbookViewId="0">
      <selection activeCell="G33" sqref="G33"/>
    </sheetView>
  </sheetViews>
  <sheetFormatPr baseColWidth="10" defaultRowHeight="12.75" x14ac:dyDescent="0.2"/>
  <cols>
    <col min="1" max="1" width="4.28515625" customWidth="1"/>
    <col min="2" max="2" width="25.28515625" customWidth="1"/>
    <col min="3" max="3" width="12.85546875" bestFit="1" customWidth="1"/>
    <col min="4" max="4" width="13.42578125" customWidth="1"/>
    <col min="5" max="5" width="13" customWidth="1"/>
    <col min="6" max="6" width="12.5703125" customWidth="1"/>
    <col min="7" max="7" width="13.42578125" customWidth="1"/>
    <col min="8" max="8" width="13.85546875" customWidth="1"/>
    <col min="9" max="9" width="13.28515625" customWidth="1"/>
    <col min="10" max="10" width="13" customWidth="1"/>
    <col min="11" max="11" width="14.5703125" customWidth="1"/>
    <col min="12" max="12" width="12.5703125" customWidth="1"/>
    <col min="13" max="13" width="13.42578125" customWidth="1"/>
    <col min="14" max="14" width="12.7109375" customWidth="1"/>
  </cols>
  <sheetData>
    <row r="2" spans="2:14" x14ac:dyDescent="0.2">
      <c r="C2" s="79">
        <v>45658</v>
      </c>
      <c r="D2" s="79">
        <v>45689</v>
      </c>
      <c r="E2" s="79">
        <v>45717</v>
      </c>
      <c r="F2" s="79">
        <v>45748</v>
      </c>
      <c r="G2" s="79">
        <v>45778</v>
      </c>
      <c r="H2" s="79">
        <v>45809</v>
      </c>
      <c r="I2" s="79">
        <v>45839</v>
      </c>
      <c r="J2" s="79">
        <v>45870</v>
      </c>
      <c r="K2" s="79">
        <v>45901</v>
      </c>
      <c r="L2" s="79">
        <v>45931</v>
      </c>
      <c r="M2" s="79">
        <v>45962</v>
      </c>
      <c r="N2" s="79">
        <v>45992</v>
      </c>
    </row>
    <row r="3" spans="2:14" x14ac:dyDescent="0.2">
      <c r="B3" s="78" t="s">
        <v>110</v>
      </c>
      <c r="C3" s="69">
        <v>800000</v>
      </c>
      <c r="D3" s="69">
        <f t="shared" ref="D3:N3" si="0">C14</f>
        <v>900000</v>
      </c>
      <c r="E3" s="69">
        <f t="shared" si="0"/>
        <v>1000000</v>
      </c>
      <c r="F3" s="69">
        <f t="shared" si="0"/>
        <v>1100000</v>
      </c>
      <c r="G3" s="69">
        <f t="shared" si="0"/>
        <v>1200000</v>
      </c>
      <c r="H3" s="69">
        <f t="shared" si="0"/>
        <v>700000</v>
      </c>
      <c r="I3" s="69">
        <f t="shared" si="0"/>
        <v>850000</v>
      </c>
      <c r="J3" s="69">
        <f t="shared" si="0"/>
        <v>1000000</v>
      </c>
      <c r="K3" s="69">
        <f t="shared" si="0"/>
        <v>1150000</v>
      </c>
      <c r="L3" s="69">
        <f t="shared" si="0"/>
        <v>1300000</v>
      </c>
      <c r="M3" s="69">
        <f t="shared" si="0"/>
        <v>1460000</v>
      </c>
      <c r="N3" s="69">
        <f t="shared" si="0"/>
        <v>1620000</v>
      </c>
    </row>
    <row r="4" spans="2:14" x14ac:dyDescent="0.2">
      <c r="B4" s="78" t="s">
        <v>76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5" spans="2:14" x14ac:dyDescent="0.2">
      <c r="B5" s="78" t="s">
        <v>3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2:14" x14ac:dyDescent="0.2">
      <c r="B6" s="78" t="s">
        <v>4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</row>
    <row r="7" spans="2:14" x14ac:dyDescent="0.2">
      <c r="B7" s="78" t="s">
        <v>9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2:14" x14ac:dyDescent="0.2">
      <c r="B8" s="78" t="s">
        <v>73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</row>
    <row r="9" spans="2:14" x14ac:dyDescent="0.2">
      <c r="B9" s="78" t="s">
        <v>74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</row>
    <row r="10" spans="2:14" x14ac:dyDescent="0.2">
      <c r="B10" s="78" t="s">
        <v>75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</row>
    <row r="11" spans="2:14" x14ac:dyDescent="0.2">
      <c r="B11" s="78" t="s">
        <v>5</v>
      </c>
      <c r="C11" s="69">
        <v>100000</v>
      </c>
      <c r="D11" s="69">
        <v>100000</v>
      </c>
      <c r="E11" s="69">
        <v>100000</v>
      </c>
      <c r="F11" s="69">
        <v>100000</v>
      </c>
      <c r="G11" s="69">
        <v>100000</v>
      </c>
      <c r="H11" s="69">
        <v>150000</v>
      </c>
      <c r="I11" s="69">
        <v>150000</v>
      </c>
      <c r="J11" s="69">
        <v>150000</v>
      </c>
      <c r="K11" s="69">
        <v>150000</v>
      </c>
      <c r="L11" s="69">
        <v>160000</v>
      </c>
      <c r="M11" s="69">
        <v>160000</v>
      </c>
      <c r="N11" s="69">
        <v>160000</v>
      </c>
    </row>
    <row r="12" spans="2:14" x14ac:dyDescent="0.2">
      <c r="B12" s="78" t="s">
        <v>6</v>
      </c>
      <c r="C12" s="70">
        <f>SUM(C3:C11)</f>
        <v>900000</v>
      </c>
      <c r="D12" s="70">
        <f t="shared" ref="D12:N12" si="1">SUM(D3:D11)</f>
        <v>1000000</v>
      </c>
      <c r="E12" s="70">
        <f t="shared" si="1"/>
        <v>1100000</v>
      </c>
      <c r="F12" s="70">
        <f t="shared" si="1"/>
        <v>1200000</v>
      </c>
      <c r="G12" s="70">
        <f t="shared" si="1"/>
        <v>1300000</v>
      </c>
      <c r="H12" s="70">
        <f t="shared" si="1"/>
        <v>850000</v>
      </c>
      <c r="I12" s="70">
        <f t="shared" si="1"/>
        <v>1000000</v>
      </c>
      <c r="J12" s="70">
        <f t="shared" si="1"/>
        <v>1150000</v>
      </c>
      <c r="K12" s="70">
        <f t="shared" si="1"/>
        <v>1300000</v>
      </c>
      <c r="L12" s="70">
        <f t="shared" si="1"/>
        <v>1460000</v>
      </c>
      <c r="M12" s="70">
        <f t="shared" si="1"/>
        <v>1620000</v>
      </c>
      <c r="N12" s="70">
        <f t="shared" si="1"/>
        <v>1780000</v>
      </c>
    </row>
    <row r="13" spans="2:14" x14ac:dyDescent="0.2">
      <c r="B13" s="78" t="s">
        <v>7</v>
      </c>
      <c r="C13" s="71"/>
      <c r="D13" s="71"/>
      <c r="E13" s="71"/>
      <c r="F13" s="71"/>
      <c r="G13" s="71">
        <v>600000</v>
      </c>
      <c r="H13" s="71"/>
      <c r="I13" s="71"/>
      <c r="J13" s="71"/>
      <c r="K13" s="71"/>
      <c r="L13" s="71"/>
      <c r="M13" s="71"/>
      <c r="N13" s="71"/>
    </row>
    <row r="14" spans="2:14" x14ac:dyDescent="0.2">
      <c r="B14" s="78" t="s">
        <v>111</v>
      </c>
      <c r="C14" s="70">
        <f>C12-C13</f>
        <v>900000</v>
      </c>
      <c r="D14" s="70">
        <f>D12-D13</f>
        <v>1000000</v>
      </c>
      <c r="E14" s="70">
        <f t="shared" ref="E14:N14" si="2">E12-E13</f>
        <v>1100000</v>
      </c>
      <c r="F14" s="70">
        <f t="shared" si="2"/>
        <v>1200000</v>
      </c>
      <c r="G14" s="70">
        <f t="shared" si="2"/>
        <v>700000</v>
      </c>
      <c r="H14" s="70">
        <f t="shared" si="2"/>
        <v>850000</v>
      </c>
      <c r="I14" s="70">
        <f t="shared" si="2"/>
        <v>1000000</v>
      </c>
      <c r="J14" s="70">
        <f t="shared" si="2"/>
        <v>1150000</v>
      </c>
      <c r="K14" s="70">
        <f t="shared" si="2"/>
        <v>1300000</v>
      </c>
      <c r="L14" s="70">
        <f t="shared" si="2"/>
        <v>1460000</v>
      </c>
      <c r="M14" s="70">
        <f t="shared" si="2"/>
        <v>1620000</v>
      </c>
      <c r="N14" s="70">
        <f t="shared" si="2"/>
        <v>1780000</v>
      </c>
    </row>
    <row r="20" spans="2:14" x14ac:dyDescent="0.2">
      <c r="C20" s="79">
        <v>46023</v>
      </c>
      <c r="D20" s="79">
        <v>46054</v>
      </c>
      <c r="E20" s="79">
        <v>46082</v>
      </c>
      <c r="F20" s="79">
        <v>46113</v>
      </c>
      <c r="G20" s="79">
        <v>46143</v>
      </c>
      <c r="H20" s="79">
        <v>46174</v>
      </c>
      <c r="I20" s="79">
        <v>46204</v>
      </c>
      <c r="J20" s="79">
        <v>46235</v>
      </c>
      <c r="K20" s="79">
        <v>46266</v>
      </c>
      <c r="L20" s="79">
        <v>46296</v>
      </c>
      <c r="M20" s="79">
        <v>46327</v>
      </c>
      <c r="N20" s="79">
        <v>46357</v>
      </c>
    </row>
    <row r="21" spans="2:14" x14ac:dyDescent="0.2">
      <c r="B21" s="78" t="s">
        <v>110</v>
      </c>
      <c r="C21" s="42">
        <v>1780000</v>
      </c>
      <c r="D21" s="42">
        <f>C32</f>
        <v>1960000</v>
      </c>
      <c r="E21" s="42">
        <f>D32</f>
        <v>2940000</v>
      </c>
      <c r="F21" s="42">
        <f t="shared" ref="F21:N21" si="3">E32</f>
        <v>3120000</v>
      </c>
      <c r="G21" s="42">
        <f t="shared" si="3"/>
        <v>3300000</v>
      </c>
      <c r="H21" s="42">
        <f t="shared" si="3"/>
        <v>3480000</v>
      </c>
      <c r="I21" s="42">
        <f t="shared" si="3"/>
        <v>3480000</v>
      </c>
      <c r="J21" s="42">
        <f t="shared" si="3"/>
        <v>3480000</v>
      </c>
      <c r="K21" s="42">
        <f t="shared" si="3"/>
        <v>3480000</v>
      </c>
      <c r="L21" s="42">
        <f t="shared" si="3"/>
        <v>3480000</v>
      </c>
      <c r="M21" s="42">
        <f t="shared" si="3"/>
        <v>3480000</v>
      </c>
      <c r="N21" s="42">
        <f t="shared" si="3"/>
        <v>3480000</v>
      </c>
    </row>
    <row r="22" spans="2:14" x14ac:dyDescent="0.2">
      <c r="B22" s="78" t="s">
        <v>76</v>
      </c>
      <c r="C22" s="42"/>
      <c r="D22" s="42">
        <v>800000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2:14" x14ac:dyDescent="0.2">
      <c r="B23" s="78" t="s">
        <v>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2:14" x14ac:dyDescent="0.2">
      <c r="B24" s="78" t="s">
        <v>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x14ac:dyDescent="0.2">
      <c r="B25" s="78" t="s">
        <v>9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74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451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5</v>
      </c>
      <c r="C29" s="42">
        <v>180000</v>
      </c>
      <c r="D29" s="42">
        <v>180000</v>
      </c>
      <c r="E29" s="42">
        <v>180000</v>
      </c>
      <c r="F29" s="42">
        <v>180000</v>
      </c>
      <c r="G29" s="42">
        <v>180000</v>
      </c>
      <c r="H29" s="42"/>
      <c r="I29" s="42"/>
      <c r="J29" s="42"/>
      <c r="K29" s="42"/>
      <c r="L29" s="42"/>
      <c r="M29" s="42"/>
      <c r="N29" s="42"/>
    </row>
    <row r="30" spans="2:14" x14ac:dyDescent="0.2">
      <c r="B30" s="78" t="s">
        <v>6</v>
      </c>
      <c r="C30" s="43">
        <f>SUM(C21:C29)</f>
        <v>1960000</v>
      </c>
      <c r="D30" s="43">
        <f t="shared" ref="D30:N30" si="4">SUM(D21:D29)</f>
        <v>2940000</v>
      </c>
      <c r="E30" s="43">
        <f t="shared" si="4"/>
        <v>3120000</v>
      </c>
      <c r="F30" s="43">
        <f t="shared" si="4"/>
        <v>3300000</v>
      </c>
      <c r="G30" s="43">
        <f t="shared" si="4"/>
        <v>3480000</v>
      </c>
      <c r="H30" s="43">
        <f t="shared" si="4"/>
        <v>3480000</v>
      </c>
      <c r="I30" s="43">
        <f t="shared" si="4"/>
        <v>3480000</v>
      </c>
      <c r="J30" s="43">
        <f t="shared" si="4"/>
        <v>3480000</v>
      </c>
      <c r="K30" s="43">
        <f t="shared" si="4"/>
        <v>3480000</v>
      </c>
      <c r="L30" s="43">
        <f t="shared" si="4"/>
        <v>3480000</v>
      </c>
      <c r="M30" s="43">
        <f t="shared" si="4"/>
        <v>3480000</v>
      </c>
      <c r="N30" s="43">
        <f t="shared" si="4"/>
        <v>3480000</v>
      </c>
    </row>
    <row r="31" spans="2:14" x14ac:dyDescent="0.2">
      <c r="B31" s="78" t="s">
        <v>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2:14" x14ac:dyDescent="0.2">
      <c r="B32" s="78" t="s">
        <v>111</v>
      </c>
      <c r="C32" s="43">
        <f>C30-C31</f>
        <v>1960000</v>
      </c>
      <c r="D32" s="43">
        <f>D30-D31</f>
        <v>2940000</v>
      </c>
      <c r="E32" s="43">
        <f t="shared" ref="E32:N32" si="5">E30-E31</f>
        <v>3120000</v>
      </c>
      <c r="F32" s="43">
        <f t="shared" si="5"/>
        <v>3300000</v>
      </c>
      <c r="G32" s="43">
        <f t="shared" si="5"/>
        <v>3480000</v>
      </c>
      <c r="H32" s="43">
        <f t="shared" si="5"/>
        <v>3480000</v>
      </c>
      <c r="I32" s="43">
        <f t="shared" si="5"/>
        <v>3480000</v>
      </c>
      <c r="J32" s="43">
        <f t="shared" si="5"/>
        <v>3480000</v>
      </c>
      <c r="K32" s="43">
        <f t="shared" si="5"/>
        <v>3480000</v>
      </c>
      <c r="L32" s="43">
        <f t="shared" si="5"/>
        <v>3480000</v>
      </c>
      <c r="M32" s="43">
        <f t="shared" si="5"/>
        <v>3480000</v>
      </c>
      <c r="N32" s="43">
        <f t="shared" si="5"/>
        <v>3480000</v>
      </c>
    </row>
    <row r="36" spans="2:14" x14ac:dyDescent="0.2">
      <c r="C36" s="79">
        <v>44197</v>
      </c>
      <c r="D36" s="79">
        <v>44228</v>
      </c>
      <c r="E36" s="79">
        <v>44256</v>
      </c>
      <c r="F36" s="79">
        <v>44287</v>
      </c>
      <c r="G36" s="79">
        <v>44317</v>
      </c>
      <c r="H36" s="79">
        <v>44348</v>
      </c>
      <c r="I36" s="79">
        <v>44378</v>
      </c>
      <c r="J36" s="79">
        <v>44409</v>
      </c>
      <c r="K36" s="79">
        <v>44440</v>
      </c>
      <c r="L36" s="79">
        <v>44470</v>
      </c>
      <c r="M36" s="79">
        <v>44501</v>
      </c>
      <c r="N36" s="79">
        <v>44531</v>
      </c>
    </row>
    <row r="37" spans="2:14" x14ac:dyDescent="0.2">
      <c r="B37" s="78" t="s">
        <v>110</v>
      </c>
      <c r="C37" s="42">
        <v>70000</v>
      </c>
      <c r="D37" s="42">
        <f t="shared" ref="D37:N37" si="6">C48</f>
        <v>76000</v>
      </c>
      <c r="E37" s="42">
        <f t="shared" si="6"/>
        <v>82000</v>
      </c>
      <c r="F37" s="42">
        <f t="shared" si="6"/>
        <v>88000</v>
      </c>
      <c r="G37" s="42">
        <f t="shared" si="6"/>
        <v>75000</v>
      </c>
      <c r="H37" s="42">
        <f t="shared" si="6"/>
        <v>85000</v>
      </c>
      <c r="I37" s="42">
        <f t="shared" si="6"/>
        <v>95000</v>
      </c>
      <c r="J37" s="42">
        <f t="shared" si="6"/>
        <v>105000</v>
      </c>
      <c r="K37" s="42">
        <f t="shared" si="6"/>
        <v>115000</v>
      </c>
      <c r="L37" s="42">
        <f t="shared" si="6"/>
        <v>125000</v>
      </c>
      <c r="M37" s="42">
        <f t="shared" si="6"/>
        <v>135000</v>
      </c>
      <c r="N37" s="42">
        <f t="shared" si="6"/>
        <v>145000</v>
      </c>
    </row>
    <row r="38" spans="2:14" x14ac:dyDescent="0.2">
      <c r="B38" s="78" t="s">
        <v>76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2:14" x14ac:dyDescent="0.2">
      <c r="B39" s="78" t="s">
        <v>3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spans="2:14" x14ac:dyDescent="0.2">
      <c r="B40" s="78" t="s">
        <v>4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2:14" x14ac:dyDescent="0.2">
      <c r="B41" s="78" t="s">
        <v>9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2:14" x14ac:dyDescent="0.2">
      <c r="B42" s="78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2:14" x14ac:dyDescent="0.2">
      <c r="B43" s="78" t="s">
        <v>74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2:14" x14ac:dyDescent="0.2">
      <c r="B44" s="78" t="s">
        <v>451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>
        <v>10000</v>
      </c>
    </row>
    <row r="45" spans="2:14" x14ac:dyDescent="0.2">
      <c r="B45" s="78" t="s">
        <v>5</v>
      </c>
      <c r="C45" s="42">
        <v>6000</v>
      </c>
      <c r="D45" s="42">
        <v>6000</v>
      </c>
      <c r="E45" s="42">
        <v>6000</v>
      </c>
      <c r="F45" s="42">
        <v>7000</v>
      </c>
      <c r="G45" s="42">
        <v>10000</v>
      </c>
      <c r="H45" s="42">
        <v>10000</v>
      </c>
      <c r="I45" s="42">
        <v>10000</v>
      </c>
      <c r="J45" s="42">
        <v>10000</v>
      </c>
      <c r="K45" s="42">
        <v>10000</v>
      </c>
      <c r="L45" s="42">
        <v>10000</v>
      </c>
      <c r="M45" s="42">
        <v>10000</v>
      </c>
      <c r="N45" s="42">
        <v>10000</v>
      </c>
    </row>
    <row r="46" spans="2:14" x14ac:dyDescent="0.2">
      <c r="B46" s="78" t="s">
        <v>6</v>
      </c>
      <c r="C46" s="43">
        <f>SUM(C37:C45)</f>
        <v>76000</v>
      </c>
      <c r="D46" s="43">
        <f t="shared" ref="D46:N46" si="7">SUM(D37:D45)</f>
        <v>82000</v>
      </c>
      <c r="E46" s="43">
        <f t="shared" si="7"/>
        <v>88000</v>
      </c>
      <c r="F46" s="43">
        <f t="shared" si="7"/>
        <v>95000</v>
      </c>
      <c r="G46" s="43">
        <f t="shared" si="7"/>
        <v>85000</v>
      </c>
      <c r="H46" s="43">
        <f t="shared" si="7"/>
        <v>95000</v>
      </c>
      <c r="I46" s="43">
        <f t="shared" si="7"/>
        <v>105000</v>
      </c>
      <c r="J46" s="43">
        <f t="shared" si="7"/>
        <v>115000</v>
      </c>
      <c r="K46" s="43">
        <f t="shared" si="7"/>
        <v>125000</v>
      </c>
      <c r="L46" s="43">
        <f t="shared" si="7"/>
        <v>135000</v>
      </c>
      <c r="M46" s="43">
        <f t="shared" si="7"/>
        <v>145000</v>
      </c>
      <c r="N46" s="43">
        <f t="shared" si="7"/>
        <v>165000</v>
      </c>
    </row>
    <row r="47" spans="2:14" x14ac:dyDescent="0.2">
      <c r="B47" s="78" t="s">
        <v>7</v>
      </c>
      <c r="C47" s="44"/>
      <c r="D47" s="44"/>
      <c r="E47" s="44"/>
      <c r="F47" s="44">
        <v>20000</v>
      </c>
      <c r="G47" s="44"/>
      <c r="H47" s="44"/>
      <c r="I47" s="44"/>
      <c r="J47" s="44"/>
      <c r="K47" s="44"/>
      <c r="L47" s="44"/>
      <c r="M47" s="44"/>
      <c r="N47" s="44">
        <v>70000</v>
      </c>
    </row>
    <row r="48" spans="2:14" x14ac:dyDescent="0.2">
      <c r="B48" s="78" t="s">
        <v>111</v>
      </c>
      <c r="C48" s="43">
        <f>C46-C47</f>
        <v>76000</v>
      </c>
      <c r="D48" s="43">
        <f>D46-D47</f>
        <v>82000</v>
      </c>
      <c r="E48" s="43">
        <f t="shared" ref="E48:N48" si="8">E46-E47</f>
        <v>88000</v>
      </c>
      <c r="F48" s="43">
        <f t="shared" si="8"/>
        <v>75000</v>
      </c>
      <c r="G48" s="43">
        <f t="shared" si="8"/>
        <v>85000</v>
      </c>
      <c r="H48" s="43">
        <f t="shared" si="8"/>
        <v>95000</v>
      </c>
      <c r="I48" s="43">
        <f t="shared" si="8"/>
        <v>105000</v>
      </c>
      <c r="J48" s="43">
        <f t="shared" si="8"/>
        <v>115000</v>
      </c>
      <c r="K48" s="43">
        <f t="shared" si="8"/>
        <v>125000</v>
      </c>
      <c r="L48" s="43">
        <f t="shared" si="8"/>
        <v>135000</v>
      </c>
      <c r="M48" s="43">
        <f t="shared" si="8"/>
        <v>145000</v>
      </c>
      <c r="N48" s="43">
        <f t="shared" si="8"/>
        <v>95000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/>
  <dimension ref="A5:M67"/>
  <sheetViews>
    <sheetView topLeftCell="A7" workbookViewId="0">
      <selection activeCell="B32" sqref="B32"/>
    </sheetView>
  </sheetViews>
  <sheetFormatPr baseColWidth="10" defaultRowHeight="12.75" x14ac:dyDescent="0.2"/>
  <cols>
    <col min="1" max="1" width="35" customWidth="1"/>
  </cols>
  <sheetData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A6" s="78"/>
      <c r="B6" s="79">
        <v>43831</v>
      </c>
      <c r="C6" s="79">
        <v>43862</v>
      </c>
      <c r="D6" s="79">
        <v>43891</v>
      </c>
      <c r="E6" s="79">
        <v>43922</v>
      </c>
      <c r="F6" s="79">
        <v>43952</v>
      </c>
      <c r="G6" s="79">
        <v>43983</v>
      </c>
      <c r="H6" s="79">
        <v>44013</v>
      </c>
      <c r="I6" s="79">
        <v>44044</v>
      </c>
      <c r="J6" s="79">
        <v>44075</v>
      </c>
      <c r="K6" s="79">
        <v>44105</v>
      </c>
      <c r="L6" s="79">
        <v>44136</v>
      </c>
      <c r="M6" s="79">
        <v>44166</v>
      </c>
    </row>
    <row r="7" spans="1:13" x14ac:dyDescent="0.2">
      <c r="A7" s="78" t="s">
        <v>110</v>
      </c>
      <c r="B7" s="42">
        <v>9700</v>
      </c>
      <c r="C7" s="42">
        <f>B18</f>
        <v>14950</v>
      </c>
      <c r="D7" s="42">
        <f t="shared" ref="D7:M7" si="0">C18</f>
        <v>23805</v>
      </c>
      <c r="E7" s="42">
        <f t="shared" si="0"/>
        <v>31960</v>
      </c>
      <c r="F7" s="42">
        <f t="shared" si="0"/>
        <v>40115</v>
      </c>
      <c r="G7" s="42">
        <f t="shared" si="0"/>
        <v>48270</v>
      </c>
      <c r="H7" s="42">
        <f t="shared" si="0"/>
        <v>56625</v>
      </c>
      <c r="I7" s="42">
        <f t="shared" si="0"/>
        <v>58975</v>
      </c>
      <c r="J7" s="42">
        <f t="shared" si="0"/>
        <v>61325</v>
      </c>
      <c r="K7" s="42">
        <f>J18</f>
        <v>64010</v>
      </c>
      <c r="L7" s="42">
        <f t="shared" si="0"/>
        <v>66360</v>
      </c>
      <c r="M7" s="42">
        <f t="shared" si="0"/>
        <v>68210</v>
      </c>
    </row>
    <row r="8" spans="1:13" x14ac:dyDescent="0.2">
      <c r="A8" s="78" t="s">
        <v>344</v>
      </c>
      <c r="B8" s="42">
        <v>2200</v>
      </c>
      <c r="C8" s="42">
        <v>3890</v>
      </c>
      <c r="D8" s="42">
        <v>3890</v>
      </c>
      <c r="E8" s="42">
        <v>3890</v>
      </c>
      <c r="F8" s="42">
        <v>3890</v>
      </c>
      <c r="G8" s="42">
        <v>3890</v>
      </c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>
        <v>700</v>
      </c>
      <c r="C9" s="42">
        <f>700+1915</f>
        <v>2615</v>
      </c>
      <c r="D9" s="42">
        <v>1915</v>
      </c>
      <c r="E9" s="42">
        <v>1915</v>
      </c>
      <c r="F9" s="42">
        <v>1915</v>
      </c>
      <c r="G9" s="42">
        <v>2115</v>
      </c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>
        <v>850</v>
      </c>
      <c r="C10" s="42">
        <v>850</v>
      </c>
      <c r="D10" s="42">
        <v>850</v>
      </c>
      <c r="E10" s="42">
        <v>850</v>
      </c>
      <c r="F10" s="42">
        <v>850</v>
      </c>
      <c r="G10" s="42">
        <v>850</v>
      </c>
      <c r="H10" s="42">
        <v>850</v>
      </c>
      <c r="I10" s="42">
        <v>850</v>
      </c>
      <c r="J10" s="42">
        <v>850</v>
      </c>
      <c r="K10" s="42">
        <v>850</v>
      </c>
      <c r="L10" s="42">
        <v>850</v>
      </c>
      <c r="M10" s="42">
        <v>850</v>
      </c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>
        <v>335</v>
      </c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1500</v>
      </c>
      <c r="C15" s="42">
        <v>1500</v>
      </c>
      <c r="D15" s="42">
        <v>1500</v>
      </c>
      <c r="E15" s="42">
        <v>1500</v>
      </c>
      <c r="F15" s="42">
        <v>1500</v>
      </c>
      <c r="G15" s="42">
        <v>1500</v>
      </c>
      <c r="H15" s="42">
        <v>1500</v>
      </c>
      <c r="I15" s="42">
        <v>1500</v>
      </c>
      <c r="J15" s="42">
        <v>1500</v>
      </c>
      <c r="K15" s="42">
        <v>1500</v>
      </c>
      <c r="L15" s="42">
        <v>1000</v>
      </c>
      <c r="M15" s="42">
        <v>1000</v>
      </c>
    </row>
    <row r="16" spans="1:13" x14ac:dyDescent="0.2">
      <c r="A16" s="78" t="s">
        <v>6</v>
      </c>
      <c r="B16" s="43">
        <f>SUM(B7:B15)</f>
        <v>14950</v>
      </c>
      <c r="C16" s="43">
        <f t="shared" ref="C16:M16" si="1">SUM(C7:C15)</f>
        <v>23805</v>
      </c>
      <c r="D16" s="43">
        <f t="shared" si="1"/>
        <v>31960</v>
      </c>
      <c r="E16" s="43">
        <f t="shared" si="1"/>
        <v>40115</v>
      </c>
      <c r="F16" s="43">
        <f>SUM(F7:F15)</f>
        <v>48270</v>
      </c>
      <c r="G16" s="43">
        <f t="shared" si="1"/>
        <v>56625</v>
      </c>
      <c r="H16" s="43">
        <f t="shared" si="1"/>
        <v>58975</v>
      </c>
      <c r="I16" s="43">
        <f t="shared" si="1"/>
        <v>61325</v>
      </c>
      <c r="J16" s="43">
        <f t="shared" si="1"/>
        <v>64010</v>
      </c>
      <c r="K16" s="43">
        <f t="shared" si="1"/>
        <v>66360</v>
      </c>
      <c r="L16" s="43">
        <f t="shared" si="1"/>
        <v>68210</v>
      </c>
      <c r="M16" s="43">
        <f t="shared" si="1"/>
        <v>70060</v>
      </c>
    </row>
    <row r="17" spans="1:13" x14ac:dyDescent="0.2">
      <c r="A17" s="78" t="s">
        <v>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>
        <v>70060</v>
      </c>
    </row>
    <row r="18" spans="1:13" x14ac:dyDescent="0.2">
      <c r="A18" s="78" t="s">
        <v>111</v>
      </c>
      <c r="B18" s="43">
        <f>B16-B17</f>
        <v>14950</v>
      </c>
      <c r="C18" s="43">
        <f>C16-C17</f>
        <v>23805</v>
      </c>
      <c r="D18" s="43">
        <f t="shared" ref="D18:M18" si="2">D16-D17</f>
        <v>31960</v>
      </c>
      <c r="E18" s="43">
        <f t="shared" si="2"/>
        <v>40115</v>
      </c>
      <c r="F18" s="43">
        <f t="shared" si="2"/>
        <v>48270</v>
      </c>
      <c r="G18" s="43">
        <f t="shared" si="2"/>
        <v>56625</v>
      </c>
      <c r="H18" s="43">
        <f t="shared" si="2"/>
        <v>58975</v>
      </c>
      <c r="I18" s="43">
        <f t="shared" si="2"/>
        <v>61325</v>
      </c>
      <c r="J18" s="43">
        <f t="shared" si="2"/>
        <v>64010</v>
      </c>
      <c r="K18" s="43">
        <f t="shared" si="2"/>
        <v>66360</v>
      </c>
      <c r="L18" s="43">
        <f t="shared" si="2"/>
        <v>68210</v>
      </c>
      <c r="M18" s="43">
        <f t="shared" si="2"/>
        <v>0</v>
      </c>
    </row>
    <row r="22" spans="1:13" x14ac:dyDescent="0.2">
      <c r="A22" s="78"/>
      <c r="B22" s="79">
        <v>44197</v>
      </c>
      <c r="C22" s="79">
        <v>44228</v>
      </c>
      <c r="D22" s="79">
        <v>44256</v>
      </c>
      <c r="E22" s="79">
        <v>44287</v>
      </c>
      <c r="F22" s="79">
        <v>44317</v>
      </c>
      <c r="G22" s="79">
        <v>44348</v>
      </c>
      <c r="H22" s="79">
        <v>44378</v>
      </c>
      <c r="I22" s="79">
        <v>44409</v>
      </c>
      <c r="J22" s="79">
        <v>44440</v>
      </c>
      <c r="K22" s="79">
        <v>44470</v>
      </c>
      <c r="L22" s="79">
        <v>44501</v>
      </c>
      <c r="M22" s="79">
        <v>44531</v>
      </c>
    </row>
    <row r="23" spans="1:13" x14ac:dyDescent="0.2">
      <c r="A23" s="78" t="s">
        <v>110</v>
      </c>
      <c r="B23" s="42"/>
      <c r="C23" s="42">
        <f t="shared" ref="C23:M23" si="3">B34</f>
        <v>1850</v>
      </c>
      <c r="D23" s="42">
        <f t="shared" si="3"/>
        <v>1850</v>
      </c>
      <c r="E23" s="42">
        <f t="shared" si="3"/>
        <v>1850</v>
      </c>
      <c r="F23" s="42">
        <f t="shared" si="3"/>
        <v>1850</v>
      </c>
      <c r="G23" s="42">
        <f t="shared" si="3"/>
        <v>1850</v>
      </c>
      <c r="H23" s="42">
        <f t="shared" si="3"/>
        <v>1850</v>
      </c>
      <c r="I23" s="42">
        <f t="shared" si="3"/>
        <v>1850</v>
      </c>
      <c r="J23" s="42">
        <f t="shared" si="3"/>
        <v>1850</v>
      </c>
      <c r="K23" s="42">
        <f t="shared" si="3"/>
        <v>1850</v>
      </c>
      <c r="L23" s="42">
        <f t="shared" si="3"/>
        <v>1850</v>
      </c>
      <c r="M23" s="42">
        <f t="shared" si="3"/>
        <v>1850</v>
      </c>
    </row>
    <row r="24" spans="1:13" x14ac:dyDescent="0.2">
      <c r="A24" s="7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>
        <v>850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1000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6</v>
      </c>
      <c r="B32" s="43">
        <f>SUM(B23:B31)</f>
        <v>1850</v>
      </c>
      <c r="C32" s="43">
        <f t="shared" ref="C32:M32" si="4">SUM(C23:C31)</f>
        <v>1850</v>
      </c>
      <c r="D32" s="43">
        <f t="shared" si="4"/>
        <v>1850</v>
      </c>
      <c r="E32" s="43">
        <f t="shared" si="4"/>
        <v>1850</v>
      </c>
      <c r="F32" s="43">
        <f t="shared" si="4"/>
        <v>1850</v>
      </c>
      <c r="G32" s="43">
        <f t="shared" si="4"/>
        <v>1850</v>
      </c>
      <c r="H32" s="43">
        <f t="shared" si="4"/>
        <v>1850</v>
      </c>
      <c r="I32" s="43">
        <f t="shared" si="4"/>
        <v>1850</v>
      </c>
      <c r="J32" s="43">
        <f t="shared" si="4"/>
        <v>1850</v>
      </c>
      <c r="K32" s="43">
        <f t="shared" si="4"/>
        <v>1850</v>
      </c>
      <c r="L32" s="43">
        <f t="shared" si="4"/>
        <v>1850</v>
      </c>
      <c r="M32" s="43">
        <f t="shared" si="4"/>
        <v>1850</v>
      </c>
    </row>
    <row r="33" spans="1:13" x14ac:dyDescent="0.2">
      <c r="A33" s="78" t="s">
        <v>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13" x14ac:dyDescent="0.2">
      <c r="A34" s="78" t="s">
        <v>111</v>
      </c>
      <c r="B34" s="43">
        <f>B32-B33</f>
        <v>1850</v>
      </c>
      <c r="C34" s="43">
        <f>C32-C33</f>
        <v>1850</v>
      </c>
      <c r="D34" s="43">
        <f t="shared" ref="D34:M34" si="5">D32-D33</f>
        <v>1850</v>
      </c>
      <c r="E34" s="43">
        <f t="shared" si="5"/>
        <v>1850</v>
      </c>
      <c r="F34" s="43">
        <f t="shared" si="5"/>
        <v>1850</v>
      </c>
      <c r="G34" s="43">
        <f t="shared" si="5"/>
        <v>1850</v>
      </c>
      <c r="H34" s="43">
        <f t="shared" si="5"/>
        <v>1850</v>
      </c>
      <c r="I34" s="43">
        <f t="shared" si="5"/>
        <v>1850</v>
      </c>
      <c r="J34" s="43">
        <f t="shared" si="5"/>
        <v>1850</v>
      </c>
      <c r="K34" s="43">
        <f t="shared" si="5"/>
        <v>1850</v>
      </c>
      <c r="L34" s="43">
        <f t="shared" si="5"/>
        <v>1850</v>
      </c>
      <c r="M34" s="43">
        <f t="shared" si="5"/>
        <v>1850</v>
      </c>
    </row>
    <row r="38" spans="1:13" x14ac:dyDescent="0.2">
      <c r="A38" s="78"/>
      <c r="B38" s="79">
        <v>42736</v>
      </c>
      <c r="C38" s="79">
        <v>42767</v>
      </c>
      <c r="D38" s="79">
        <v>42795</v>
      </c>
      <c r="E38" s="79">
        <v>42826</v>
      </c>
      <c r="F38" s="79">
        <v>42856</v>
      </c>
      <c r="G38" s="79">
        <v>42887</v>
      </c>
      <c r="H38" s="79">
        <v>42917</v>
      </c>
      <c r="I38" s="79">
        <v>42948</v>
      </c>
      <c r="J38" s="79">
        <v>42979</v>
      </c>
      <c r="K38" s="79">
        <v>43009</v>
      </c>
      <c r="L38" s="79">
        <v>43040</v>
      </c>
      <c r="M38" s="79">
        <v>43070</v>
      </c>
    </row>
    <row r="39" spans="1:13" x14ac:dyDescent="0.2">
      <c r="A39" s="78" t="s">
        <v>110</v>
      </c>
      <c r="B39" s="42">
        <v>6312</v>
      </c>
      <c r="C39" s="42">
        <f t="shared" ref="C39:M39" si="6">B50</f>
        <v>8182</v>
      </c>
      <c r="D39" s="42">
        <f t="shared" si="6"/>
        <v>10052</v>
      </c>
      <c r="E39" s="42">
        <f t="shared" si="6"/>
        <v>11922</v>
      </c>
      <c r="F39" s="42">
        <f t="shared" si="6"/>
        <v>13792</v>
      </c>
      <c r="G39" s="42">
        <f t="shared" si="6"/>
        <v>15962</v>
      </c>
      <c r="H39" s="42">
        <f t="shared" si="6"/>
        <v>8132</v>
      </c>
      <c r="I39" s="42">
        <f t="shared" si="6"/>
        <v>10602</v>
      </c>
      <c r="J39" s="42">
        <f t="shared" si="6"/>
        <v>13072</v>
      </c>
      <c r="K39" s="42">
        <f t="shared" si="6"/>
        <v>15542</v>
      </c>
      <c r="L39" s="42">
        <f t="shared" si="6"/>
        <v>18012</v>
      </c>
      <c r="M39" s="42">
        <f t="shared" si="6"/>
        <v>20482</v>
      </c>
    </row>
    <row r="40" spans="1:13" x14ac:dyDescent="0.2">
      <c r="A40" s="78" t="s">
        <v>76</v>
      </c>
      <c r="B40" s="42">
        <v>880</v>
      </c>
      <c r="C40" s="42">
        <v>880</v>
      </c>
      <c r="D40" s="42">
        <v>880</v>
      </c>
      <c r="E40" s="42">
        <v>880</v>
      </c>
      <c r="F40" s="42">
        <v>880</v>
      </c>
      <c r="G40" s="42">
        <v>880</v>
      </c>
      <c r="H40" s="42">
        <v>880</v>
      </c>
      <c r="I40" s="42">
        <v>880</v>
      </c>
      <c r="J40" s="42">
        <v>880</v>
      </c>
      <c r="K40" s="42">
        <v>880</v>
      </c>
      <c r="L40" s="42">
        <v>880</v>
      </c>
      <c r="M40" s="42">
        <v>880</v>
      </c>
    </row>
    <row r="41" spans="1:13" x14ac:dyDescent="0.2">
      <c r="A41" s="78" t="s">
        <v>3</v>
      </c>
      <c r="B41" s="42">
        <v>190</v>
      </c>
      <c r="C41" s="42">
        <v>190</v>
      </c>
      <c r="D41" s="42">
        <v>190</v>
      </c>
      <c r="E41" s="42">
        <v>190</v>
      </c>
      <c r="F41" s="42">
        <v>490</v>
      </c>
      <c r="G41" s="42">
        <v>490</v>
      </c>
      <c r="H41" s="42">
        <v>490</v>
      </c>
      <c r="I41" s="42">
        <v>490</v>
      </c>
      <c r="J41" s="42">
        <v>490</v>
      </c>
      <c r="K41" s="42">
        <v>490</v>
      </c>
      <c r="L41" s="42">
        <v>490</v>
      </c>
      <c r="M41" s="42">
        <v>490</v>
      </c>
    </row>
    <row r="42" spans="1:13" x14ac:dyDescent="0.2">
      <c r="A42" s="78" t="s">
        <v>4</v>
      </c>
      <c r="B42" s="42">
        <v>300</v>
      </c>
      <c r="C42" s="42">
        <v>300</v>
      </c>
      <c r="D42" s="42">
        <v>300</v>
      </c>
      <c r="E42" s="42">
        <v>300</v>
      </c>
      <c r="F42" s="42">
        <v>300</v>
      </c>
      <c r="G42" s="42">
        <v>300</v>
      </c>
      <c r="H42" s="42">
        <v>300</v>
      </c>
      <c r="I42" s="42">
        <v>300</v>
      </c>
      <c r="J42" s="42">
        <v>300</v>
      </c>
      <c r="K42" s="42">
        <v>300</v>
      </c>
      <c r="L42" s="42">
        <v>300</v>
      </c>
      <c r="M42" s="42">
        <v>300</v>
      </c>
    </row>
    <row r="43" spans="1:13" x14ac:dyDescent="0.2">
      <c r="A43" s="78" t="s">
        <v>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73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74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75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5</v>
      </c>
      <c r="B47" s="42">
        <v>500</v>
      </c>
      <c r="C47" s="42">
        <v>500</v>
      </c>
      <c r="D47" s="42">
        <v>500</v>
      </c>
      <c r="E47" s="42">
        <v>500</v>
      </c>
      <c r="F47" s="42">
        <v>500</v>
      </c>
      <c r="G47" s="42">
        <v>500</v>
      </c>
      <c r="H47" s="42">
        <v>800</v>
      </c>
      <c r="I47" s="42">
        <v>800</v>
      </c>
      <c r="J47" s="42">
        <v>800</v>
      </c>
      <c r="K47" s="42">
        <v>800</v>
      </c>
      <c r="L47" s="42">
        <v>800</v>
      </c>
      <c r="M47" s="42">
        <v>800</v>
      </c>
    </row>
    <row r="48" spans="1:13" x14ac:dyDescent="0.2">
      <c r="A48" s="78" t="s">
        <v>6</v>
      </c>
      <c r="B48" s="43">
        <f>SUM(B39:B47)</f>
        <v>8182</v>
      </c>
      <c r="C48" s="43">
        <f t="shared" ref="C48:M48" si="7">SUM(C39:C47)</f>
        <v>10052</v>
      </c>
      <c r="D48" s="43">
        <f t="shared" si="7"/>
        <v>11922</v>
      </c>
      <c r="E48" s="43">
        <f t="shared" si="7"/>
        <v>13792</v>
      </c>
      <c r="F48" s="43">
        <f t="shared" si="7"/>
        <v>15962</v>
      </c>
      <c r="G48" s="43">
        <f t="shared" si="7"/>
        <v>18132</v>
      </c>
      <c r="H48" s="43">
        <f t="shared" si="7"/>
        <v>10602</v>
      </c>
      <c r="I48" s="43">
        <f t="shared" si="7"/>
        <v>13072</v>
      </c>
      <c r="J48" s="43">
        <f t="shared" si="7"/>
        <v>15542</v>
      </c>
      <c r="K48" s="43">
        <f t="shared" si="7"/>
        <v>18012</v>
      </c>
      <c r="L48" s="43">
        <f t="shared" si="7"/>
        <v>20482</v>
      </c>
      <c r="M48" s="43">
        <f t="shared" si="7"/>
        <v>22952</v>
      </c>
    </row>
    <row r="49" spans="1:13" x14ac:dyDescent="0.2">
      <c r="A49" s="78" t="s">
        <v>7</v>
      </c>
      <c r="B49" s="44"/>
      <c r="C49" s="44"/>
      <c r="D49" s="44"/>
      <c r="E49" s="44"/>
      <c r="F49" s="44"/>
      <c r="G49" s="44">
        <v>10000</v>
      </c>
      <c r="H49" s="44"/>
      <c r="I49" s="44"/>
      <c r="J49" s="44"/>
      <c r="K49" s="44"/>
      <c r="L49" s="44"/>
      <c r="M49" s="44"/>
    </row>
    <row r="50" spans="1:13" x14ac:dyDescent="0.2">
      <c r="A50" s="78" t="s">
        <v>111</v>
      </c>
      <c r="B50" s="43">
        <f>B48-B49</f>
        <v>8182</v>
      </c>
      <c r="C50" s="43">
        <f>C48-C49</f>
        <v>10052</v>
      </c>
      <c r="D50" s="43">
        <f t="shared" ref="D50:M50" si="8">D48-D49</f>
        <v>11922</v>
      </c>
      <c r="E50" s="43">
        <f t="shared" si="8"/>
        <v>13792</v>
      </c>
      <c r="F50" s="43">
        <f t="shared" si="8"/>
        <v>15962</v>
      </c>
      <c r="G50" s="43">
        <f t="shared" si="8"/>
        <v>8132</v>
      </c>
      <c r="H50" s="43">
        <f t="shared" si="8"/>
        <v>10602</v>
      </c>
      <c r="I50" s="43">
        <f t="shared" si="8"/>
        <v>13072</v>
      </c>
      <c r="J50" s="43">
        <f t="shared" si="8"/>
        <v>15542</v>
      </c>
      <c r="K50" s="43">
        <f t="shared" si="8"/>
        <v>18012</v>
      </c>
      <c r="L50" s="43">
        <f t="shared" si="8"/>
        <v>20482</v>
      </c>
      <c r="M50" s="43">
        <f t="shared" si="8"/>
        <v>22952</v>
      </c>
    </row>
    <row r="55" spans="1:13" x14ac:dyDescent="0.2">
      <c r="A55" s="78"/>
      <c r="B55" s="79">
        <v>43466</v>
      </c>
      <c r="C55" s="79">
        <v>43497</v>
      </c>
      <c r="D55" s="79">
        <v>43525</v>
      </c>
      <c r="E55" s="79">
        <v>43556</v>
      </c>
      <c r="F55" s="79">
        <v>43586</v>
      </c>
      <c r="G55" s="79">
        <v>43617</v>
      </c>
      <c r="H55" s="79">
        <v>43647</v>
      </c>
      <c r="I55" s="79">
        <v>43678</v>
      </c>
      <c r="J55" s="79">
        <v>43709</v>
      </c>
      <c r="K55" s="79">
        <v>43739</v>
      </c>
      <c r="L55" s="79">
        <v>43770</v>
      </c>
      <c r="M55" s="79">
        <v>43800</v>
      </c>
    </row>
    <row r="56" spans="1:13" x14ac:dyDescent="0.2">
      <c r="A56" s="78" t="s">
        <v>110</v>
      </c>
      <c r="B56" s="42">
        <v>55956</v>
      </c>
      <c r="C56" s="42">
        <f t="shared" ref="C56:M56" si="9">B67</f>
        <v>59306</v>
      </c>
      <c r="D56" s="42">
        <f t="shared" si="9"/>
        <v>62821</v>
      </c>
      <c r="E56" s="42">
        <f t="shared" si="9"/>
        <v>66336</v>
      </c>
      <c r="F56" s="42">
        <f t="shared" si="9"/>
        <v>69851</v>
      </c>
      <c r="G56" s="42">
        <f t="shared" si="9"/>
        <v>73366</v>
      </c>
      <c r="H56" s="42">
        <f t="shared" si="9"/>
        <v>76881</v>
      </c>
      <c r="I56" s="42">
        <f t="shared" si="9"/>
        <v>81186</v>
      </c>
      <c r="J56" s="42">
        <f t="shared" si="9"/>
        <v>85491</v>
      </c>
      <c r="K56" s="42">
        <f t="shared" si="9"/>
        <v>89796</v>
      </c>
      <c r="L56" s="42">
        <f t="shared" si="9"/>
        <v>0</v>
      </c>
      <c r="M56" s="42">
        <f t="shared" si="9"/>
        <v>4350</v>
      </c>
    </row>
    <row r="57" spans="1:13" x14ac:dyDescent="0.2">
      <c r="A57" s="78" t="s">
        <v>76</v>
      </c>
      <c r="B57" s="42">
        <v>1300</v>
      </c>
      <c r="C57" s="42">
        <v>1300</v>
      </c>
      <c r="D57" s="42">
        <v>1300</v>
      </c>
      <c r="E57" s="42">
        <v>1300</v>
      </c>
      <c r="F57" s="42">
        <v>1300</v>
      </c>
      <c r="G57" s="42">
        <v>1300</v>
      </c>
      <c r="H57" s="42">
        <v>1300</v>
      </c>
      <c r="I57" s="42">
        <v>1300</v>
      </c>
      <c r="J57" s="42">
        <v>1300</v>
      </c>
      <c r="K57" s="42">
        <v>1300</v>
      </c>
      <c r="L57" s="42">
        <v>1300</v>
      </c>
      <c r="M57" s="42">
        <v>1300</v>
      </c>
    </row>
    <row r="58" spans="1:13" x14ac:dyDescent="0.2">
      <c r="A58" s="78" t="s">
        <v>3</v>
      </c>
      <c r="B58" s="42">
        <v>705</v>
      </c>
      <c r="C58" s="42">
        <v>705</v>
      </c>
      <c r="D58" s="42">
        <v>705</v>
      </c>
      <c r="E58" s="42">
        <v>705</v>
      </c>
      <c r="F58" s="42">
        <v>705</v>
      </c>
      <c r="G58" s="42">
        <v>705</v>
      </c>
      <c r="H58" s="42">
        <v>705</v>
      </c>
      <c r="I58" s="42">
        <v>705</v>
      </c>
      <c r="J58" s="42">
        <v>705</v>
      </c>
      <c r="K58" s="42">
        <v>750</v>
      </c>
      <c r="L58" s="42">
        <v>750</v>
      </c>
      <c r="M58" s="42">
        <v>1700</v>
      </c>
    </row>
    <row r="59" spans="1:13" x14ac:dyDescent="0.2">
      <c r="A59" s="78" t="s">
        <v>4</v>
      </c>
      <c r="B59" s="42">
        <v>505</v>
      </c>
      <c r="C59" s="42">
        <v>510</v>
      </c>
      <c r="D59" s="42">
        <v>510</v>
      </c>
      <c r="E59" s="42">
        <v>510</v>
      </c>
      <c r="F59" s="42">
        <v>510</v>
      </c>
      <c r="G59" s="42">
        <v>510</v>
      </c>
      <c r="H59" s="42">
        <v>800</v>
      </c>
      <c r="I59" s="42">
        <v>800</v>
      </c>
      <c r="J59" s="42">
        <v>800</v>
      </c>
      <c r="K59" s="42">
        <v>800</v>
      </c>
      <c r="L59" s="42">
        <v>800</v>
      </c>
      <c r="M59" s="42">
        <v>850</v>
      </c>
    </row>
    <row r="60" spans="1:13" x14ac:dyDescent="0.2">
      <c r="A60" s="78" t="s">
        <v>9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2">
      <c r="A61" s="78" t="s">
        <v>73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pans="1:13" x14ac:dyDescent="0.2">
      <c r="A62" s="78" t="s">
        <v>74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2">
      <c r="A63" s="78" t="s">
        <v>75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x14ac:dyDescent="0.2">
      <c r="A64" s="78" t="s">
        <v>5</v>
      </c>
      <c r="B64" s="42">
        <v>840</v>
      </c>
      <c r="C64" s="42">
        <v>1000</v>
      </c>
      <c r="D64" s="42">
        <v>1000</v>
      </c>
      <c r="E64" s="42">
        <v>1000</v>
      </c>
      <c r="F64" s="42">
        <v>1000</v>
      </c>
      <c r="G64" s="42">
        <v>1000</v>
      </c>
      <c r="H64" s="42">
        <v>1500</v>
      </c>
      <c r="I64" s="42">
        <v>1500</v>
      </c>
      <c r="J64" s="42">
        <v>1500</v>
      </c>
      <c r="K64" s="42">
        <v>1500</v>
      </c>
      <c r="L64" s="42">
        <v>1500</v>
      </c>
      <c r="M64" s="42">
        <v>1500</v>
      </c>
    </row>
    <row r="65" spans="1:13" x14ac:dyDescent="0.2">
      <c r="A65" s="78" t="s">
        <v>6</v>
      </c>
      <c r="B65" s="43">
        <f>SUM(B56:B64)</f>
        <v>59306</v>
      </c>
      <c r="C65" s="43">
        <f t="shared" ref="C65:M65" si="10">SUM(C56:C64)</f>
        <v>62821</v>
      </c>
      <c r="D65" s="43">
        <f t="shared" si="10"/>
        <v>66336</v>
      </c>
      <c r="E65" s="43">
        <f t="shared" si="10"/>
        <v>69851</v>
      </c>
      <c r="F65" s="43">
        <f t="shared" si="10"/>
        <v>73366</v>
      </c>
      <c r="G65" s="43">
        <f t="shared" si="10"/>
        <v>76881</v>
      </c>
      <c r="H65" s="43">
        <f t="shared" si="10"/>
        <v>81186</v>
      </c>
      <c r="I65" s="43">
        <f t="shared" si="10"/>
        <v>85491</v>
      </c>
      <c r="J65" s="43">
        <f t="shared" si="10"/>
        <v>89796</v>
      </c>
      <c r="K65" s="43">
        <f t="shared" si="10"/>
        <v>94146</v>
      </c>
      <c r="L65" s="43">
        <f t="shared" si="10"/>
        <v>4350</v>
      </c>
      <c r="M65" s="43">
        <f t="shared" si="10"/>
        <v>9700</v>
      </c>
    </row>
    <row r="66" spans="1:13" x14ac:dyDescent="0.2">
      <c r="A66" s="78" t="s">
        <v>7</v>
      </c>
      <c r="B66" s="44"/>
      <c r="C66" s="44"/>
      <c r="D66" s="44"/>
      <c r="E66" s="44"/>
      <c r="F66" s="44"/>
      <c r="G66" s="44"/>
      <c r="H66" s="44"/>
      <c r="I66" s="44"/>
      <c r="J66" s="44"/>
      <c r="K66" s="44">
        <v>94146</v>
      </c>
      <c r="L66" s="44"/>
      <c r="M66" s="44"/>
    </row>
    <row r="67" spans="1:13" x14ac:dyDescent="0.2">
      <c r="A67" s="78" t="s">
        <v>111</v>
      </c>
      <c r="B67" s="43">
        <f>B65-B66</f>
        <v>59306</v>
      </c>
      <c r="C67" s="43">
        <f>C65-C66</f>
        <v>62821</v>
      </c>
      <c r="D67" s="43">
        <f t="shared" ref="D67:M67" si="11">D65-D66</f>
        <v>66336</v>
      </c>
      <c r="E67" s="43">
        <f t="shared" si="11"/>
        <v>69851</v>
      </c>
      <c r="F67" s="43">
        <f t="shared" si="11"/>
        <v>73366</v>
      </c>
      <c r="G67" s="43">
        <f t="shared" si="11"/>
        <v>76881</v>
      </c>
      <c r="H67" s="43">
        <f t="shared" si="11"/>
        <v>81186</v>
      </c>
      <c r="I67" s="43">
        <f t="shared" si="11"/>
        <v>85491</v>
      </c>
      <c r="J67" s="43">
        <f t="shared" si="11"/>
        <v>89796</v>
      </c>
      <c r="K67" s="43">
        <f t="shared" si="11"/>
        <v>0</v>
      </c>
      <c r="L67" s="43">
        <f t="shared" si="11"/>
        <v>4350</v>
      </c>
      <c r="M67" s="43">
        <f t="shared" si="11"/>
        <v>9700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/>
  <dimension ref="A4:M17"/>
  <sheetViews>
    <sheetView workbookViewId="0">
      <selection activeCell="K9" sqref="K9"/>
    </sheetView>
  </sheetViews>
  <sheetFormatPr baseColWidth="10" defaultRowHeight="12.75" x14ac:dyDescent="0.2"/>
  <cols>
    <col min="1" max="1" width="31.85546875" customWidth="1"/>
    <col min="7" max="7" width="12.5703125" bestFit="1" customWidth="1"/>
  </cols>
  <sheetData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2">
      <c r="A5" s="81"/>
      <c r="B5" s="82">
        <v>44562</v>
      </c>
      <c r="C5" s="82">
        <v>44593</v>
      </c>
      <c r="D5" s="82">
        <v>44621</v>
      </c>
      <c r="E5" s="82">
        <v>44652</v>
      </c>
      <c r="F5" s="82">
        <v>44682</v>
      </c>
      <c r="G5" s="82">
        <v>44713</v>
      </c>
      <c r="H5" s="82">
        <v>44743</v>
      </c>
      <c r="I5" s="82">
        <v>44774</v>
      </c>
      <c r="J5" s="82">
        <v>44805</v>
      </c>
      <c r="K5" s="82">
        <v>44835</v>
      </c>
      <c r="L5" s="82">
        <v>44866</v>
      </c>
      <c r="M5" s="82">
        <v>44896</v>
      </c>
    </row>
    <row r="6" spans="1:13" x14ac:dyDescent="0.2">
      <c r="A6" s="78" t="s">
        <v>110</v>
      </c>
      <c r="B6" s="42"/>
      <c r="C6" s="42">
        <f t="shared" ref="C6:M6" si="0">B17</f>
        <v>0</v>
      </c>
      <c r="D6" s="42">
        <f t="shared" si="0"/>
        <v>0</v>
      </c>
      <c r="E6" s="42">
        <f t="shared" si="0"/>
        <v>0</v>
      </c>
      <c r="F6" s="42">
        <f t="shared" si="0"/>
        <v>0</v>
      </c>
      <c r="G6" s="42">
        <f t="shared" si="0"/>
        <v>3051</v>
      </c>
      <c r="H6" s="42">
        <f t="shared" si="0"/>
        <v>20</v>
      </c>
      <c r="I6" s="42">
        <f t="shared" si="0"/>
        <v>5920</v>
      </c>
      <c r="J6" s="42">
        <f t="shared" si="0"/>
        <v>21820</v>
      </c>
      <c r="K6" s="42">
        <f t="shared" si="0"/>
        <v>24720</v>
      </c>
      <c r="L6" s="42">
        <f t="shared" si="0"/>
        <v>24720</v>
      </c>
      <c r="M6" s="42">
        <f t="shared" si="0"/>
        <v>24720</v>
      </c>
    </row>
    <row r="7" spans="1:13" x14ac:dyDescent="0.2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>
        <v>236</v>
      </c>
      <c r="G8" s="42">
        <v>11500</v>
      </c>
      <c r="H8" s="42">
        <v>3400</v>
      </c>
      <c r="I8" s="42">
        <v>13100</v>
      </c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>
        <v>2815</v>
      </c>
      <c r="G9" s="42">
        <v>4250</v>
      </c>
      <c r="H9" s="42">
        <v>2500</v>
      </c>
      <c r="I9" s="42">
        <v>2800</v>
      </c>
      <c r="J9" s="42">
        <v>2900</v>
      </c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>
        <v>-781</v>
      </c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3">
        <f t="shared" ref="B15:M15" si="1">SUM(B6:B14)</f>
        <v>0</v>
      </c>
      <c r="C15" s="43">
        <f t="shared" si="1"/>
        <v>0</v>
      </c>
      <c r="D15" s="43">
        <f t="shared" si="1"/>
        <v>0</v>
      </c>
      <c r="E15" s="43">
        <f t="shared" si="1"/>
        <v>0</v>
      </c>
      <c r="F15" s="43">
        <f t="shared" si="1"/>
        <v>3051</v>
      </c>
      <c r="G15" s="43">
        <f t="shared" si="1"/>
        <v>18020</v>
      </c>
      <c r="H15" s="43">
        <f t="shared" si="1"/>
        <v>5920</v>
      </c>
      <c r="I15" s="43">
        <f t="shared" si="1"/>
        <v>21820</v>
      </c>
      <c r="J15" s="43">
        <f t="shared" si="1"/>
        <v>24720</v>
      </c>
      <c r="K15" s="43">
        <f t="shared" si="1"/>
        <v>24720</v>
      </c>
      <c r="L15" s="43">
        <f t="shared" si="1"/>
        <v>24720</v>
      </c>
      <c r="M15" s="43">
        <f t="shared" si="1"/>
        <v>24720</v>
      </c>
    </row>
    <row r="16" spans="1:13" ht="13.5" thickBot="1" x14ac:dyDescent="0.25">
      <c r="A16" s="78" t="s">
        <v>7</v>
      </c>
      <c r="B16" s="44"/>
      <c r="C16" s="44"/>
      <c r="D16" s="44"/>
      <c r="E16" s="44"/>
      <c r="F16" s="44"/>
      <c r="G16" s="44">
        <v>18000</v>
      </c>
      <c r="H16" s="44"/>
      <c r="I16" s="44"/>
      <c r="J16" s="44"/>
      <c r="K16" s="44"/>
      <c r="L16" s="44"/>
      <c r="M16" s="44"/>
    </row>
    <row r="17" spans="1:13" ht="13.5" thickBot="1" x14ac:dyDescent="0.25">
      <c r="A17" s="78" t="s">
        <v>111</v>
      </c>
      <c r="B17" s="45">
        <f t="shared" ref="B17:M17" si="2">B15-B16</f>
        <v>0</v>
      </c>
      <c r="C17" s="46">
        <f t="shared" si="2"/>
        <v>0</v>
      </c>
      <c r="D17" s="46">
        <f t="shared" si="2"/>
        <v>0</v>
      </c>
      <c r="E17" s="46">
        <f t="shared" si="2"/>
        <v>0</v>
      </c>
      <c r="F17" s="46">
        <f t="shared" si="2"/>
        <v>3051</v>
      </c>
      <c r="G17" s="46">
        <f t="shared" si="2"/>
        <v>20</v>
      </c>
      <c r="H17" s="46">
        <f t="shared" si="2"/>
        <v>5920</v>
      </c>
      <c r="I17" s="46">
        <f t="shared" si="2"/>
        <v>21820</v>
      </c>
      <c r="J17" s="46">
        <f t="shared" si="2"/>
        <v>24720</v>
      </c>
      <c r="K17" s="46">
        <f t="shared" si="2"/>
        <v>24720</v>
      </c>
      <c r="L17" s="46">
        <f t="shared" si="2"/>
        <v>24720</v>
      </c>
      <c r="M17" s="47">
        <f t="shared" si="2"/>
        <v>24720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/>
  <dimension ref="A2:M50"/>
  <sheetViews>
    <sheetView workbookViewId="0">
      <selection activeCell="G17" sqref="G17"/>
    </sheetView>
  </sheetViews>
  <sheetFormatPr baseColWidth="10" defaultRowHeight="12.75" x14ac:dyDescent="0.2"/>
  <cols>
    <col min="1" max="1" width="32.7109375" customWidth="1"/>
  </cols>
  <sheetData>
    <row r="2" spans="1:13" ht="20.25" x14ac:dyDescent="0.3">
      <c r="A2" s="11" t="s">
        <v>11</v>
      </c>
      <c r="B2" s="216" t="s">
        <v>758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3" x14ac:dyDescent="0.2">
      <c r="A6" s="7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0</v>
      </c>
      <c r="G6" s="42">
        <f t="shared" si="0"/>
        <v>16000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>J17</f>
        <v>0</v>
      </c>
      <c r="L6" s="42">
        <f t="shared" si="0"/>
        <v>0</v>
      </c>
      <c r="M6" s="42">
        <f t="shared" si="0"/>
        <v>0</v>
      </c>
    </row>
    <row r="7" spans="1:13" x14ac:dyDescent="0.2">
      <c r="A7" s="78" t="s">
        <v>76</v>
      </c>
      <c r="B7" s="42"/>
      <c r="C7" s="42"/>
      <c r="D7" s="42"/>
      <c r="E7" s="42">
        <v>16000</v>
      </c>
      <c r="F7" s="42">
        <v>16000</v>
      </c>
      <c r="G7" s="42">
        <v>16000</v>
      </c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3">
        <f>SUM(B6:B14)</f>
        <v>0</v>
      </c>
      <c r="C15" s="43">
        <f t="shared" ref="C15:M15" si="1">SUM(C6:C14)</f>
        <v>0</v>
      </c>
      <c r="D15" s="43">
        <f t="shared" si="1"/>
        <v>0</v>
      </c>
      <c r="E15" s="43">
        <f t="shared" si="1"/>
        <v>16000</v>
      </c>
      <c r="F15" s="43">
        <f t="shared" si="1"/>
        <v>16000</v>
      </c>
      <c r="G15" s="43">
        <f t="shared" si="1"/>
        <v>32000</v>
      </c>
      <c r="H15" s="43">
        <f t="shared" si="1"/>
        <v>0</v>
      </c>
      <c r="I15" s="43">
        <f t="shared" si="1"/>
        <v>0</v>
      </c>
      <c r="J15" s="43"/>
      <c r="K15" s="43"/>
      <c r="L15" s="43"/>
      <c r="M15" s="43">
        <f t="shared" si="1"/>
        <v>0</v>
      </c>
    </row>
    <row r="16" spans="1:13" x14ac:dyDescent="0.2">
      <c r="A16" s="78" t="s">
        <v>7</v>
      </c>
      <c r="B16" s="44"/>
      <c r="C16" s="44"/>
      <c r="D16" s="44"/>
      <c r="E16" s="44">
        <v>16000</v>
      </c>
      <c r="F16" s="44"/>
      <c r="G16" s="44">
        <v>32000</v>
      </c>
      <c r="H16" s="44"/>
      <c r="I16" s="44"/>
      <c r="J16" s="44"/>
      <c r="K16" s="44"/>
      <c r="L16" s="44"/>
      <c r="M16" s="44"/>
    </row>
    <row r="17" spans="1:13" x14ac:dyDescent="0.2">
      <c r="A17" s="7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0</v>
      </c>
      <c r="F17" s="43">
        <f t="shared" si="2"/>
        <v>16000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0</v>
      </c>
      <c r="L17" s="43">
        <f t="shared" si="2"/>
        <v>0</v>
      </c>
      <c r="M17" s="43">
        <f t="shared" si="2"/>
        <v>0</v>
      </c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78"/>
      <c r="B22" s="79">
        <v>44197</v>
      </c>
      <c r="C22" s="79">
        <v>44228</v>
      </c>
      <c r="D22" s="79">
        <v>44256</v>
      </c>
      <c r="E22" s="79">
        <v>44287</v>
      </c>
      <c r="F22" s="79">
        <v>44317</v>
      </c>
      <c r="G22" s="79">
        <v>44348</v>
      </c>
      <c r="H22" s="79">
        <v>44378</v>
      </c>
      <c r="I22" s="79">
        <v>44409</v>
      </c>
      <c r="J22" s="79">
        <v>44440</v>
      </c>
      <c r="K22" s="79">
        <v>44470</v>
      </c>
      <c r="L22" s="79">
        <v>44501</v>
      </c>
      <c r="M22" s="79">
        <v>44531</v>
      </c>
    </row>
    <row r="23" spans="1:13" x14ac:dyDescent="0.2">
      <c r="A23" s="78" t="s">
        <v>110</v>
      </c>
      <c r="B23" s="42">
        <v>500</v>
      </c>
      <c r="C23" s="42">
        <f t="shared" ref="C23:M23" si="3">B34</f>
        <v>0</v>
      </c>
      <c r="D23" s="42">
        <f t="shared" si="3"/>
        <v>0</v>
      </c>
      <c r="E23" s="42">
        <f t="shared" si="3"/>
        <v>0</v>
      </c>
      <c r="F23" s="42">
        <f t="shared" si="3"/>
        <v>2</v>
      </c>
      <c r="G23" s="42">
        <f t="shared" si="3"/>
        <v>13302</v>
      </c>
      <c r="H23" s="42">
        <f t="shared" si="3"/>
        <v>0</v>
      </c>
      <c r="I23" s="42">
        <f t="shared" si="3"/>
        <v>8000</v>
      </c>
      <c r="J23" s="42">
        <f t="shared" si="3"/>
        <v>16000</v>
      </c>
      <c r="K23" s="42">
        <f t="shared" si="3"/>
        <v>24000</v>
      </c>
      <c r="L23" s="42">
        <f t="shared" si="3"/>
        <v>0</v>
      </c>
      <c r="M23" s="42">
        <f t="shared" si="3"/>
        <v>10000</v>
      </c>
    </row>
    <row r="24" spans="1:13" x14ac:dyDescent="0.2">
      <c r="A24" s="7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>
        <v>3132</v>
      </c>
      <c r="C25" s="42">
        <v>750</v>
      </c>
      <c r="D25" s="42">
        <v>750</v>
      </c>
      <c r="E25" s="42">
        <v>4452</v>
      </c>
      <c r="F25" s="42">
        <v>7300</v>
      </c>
      <c r="G25" s="42">
        <v>2078</v>
      </c>
      <c r="H25" s="42"/>
      <c r="I25" s="42"/>
      <c r="J25" s="42"/>
      <c r="K25" s="42">
        <v>1550</v>
      </c>
      <c r="L25" s="42"/>
      <c r="M25" s="42">
        <v>7710</v>
      </c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6000</v>
      </c>
      <c r="C31" s="42">
        <v>6000</v>
      </c>
      <c r="D31" s="42">
        <v>6000</v>
      </c>
      <c r="E31" s="42">
        <v>6000</v>
      </c>
      <c r="F31" s="42">
        <v>6000</v>
      </c>
      <c r="G31" s="42">
        <v>8000</v>
      </c>
      <c r="H31" s="42">
        <v>8000</v>
      </c>
      <c r="I31" s="42">
        <v>8000</v>
      </c>
      <c r="J31" s="42">
        <v>8000</v>
      </c>
      <c r="K31" s="42">
        <v>8000</v>
      </c>
      <c r="L31" s="42">
        <v>10000</v>
      </c>
      <c r="M31" s="42">
        <v>10000</v>
      </c>
    </row>
    <row r="32" spans="1:13" x14ac:dyDescent="0.2">
      <c r="A32" s="78" t="s">
        <v>6</v>
      </c>
      <c r="B32" s="43">
        <f>SUM(B23:B31)</f>
        <v>9632</v>
      </c>
      <c r="C32" s="43">
        <f t="shared" ref="C32:M32" si="4">SUM(C23:C31)</f>
        <v>6750</v>
      </c>
      <c r="D32" s="43">
        <f t="shared" si="4"/>
        <v>6750</v>
      </c>
      <c r="E32" s="43">
        <f t="shared" si="4"/>
        <v>10452</v>
      </c>
      <c r="F32" s="43">
        <f t="shared" si="4"/>
        <v>13302</v>
      </c>
      <c r="G32" s="43">
        <f t="shared" si="4"/>
        <v>23380</v>
      </c>
      <c r="H32" s="43">
        <f t="shared" si="4"/>
        <v>8000</v>
      </c>
      <c r="I32" s="43">
        <f t="shared" si="4"/>
        <v>16000</v>
      </c>
      <c r="J32" s="43">
        <f t="shared" si="4"/>
        <v>24000</v>
      </c>
      <c r="K32" s="43">
        <f t="shared" si="4"/>
        <v>33550</v>
      </c>
      <c r="L32" s="43">
        <f t="shared" si="4"/>
        <v>10000</v>
      </c>
      <c r="M32" s="43">
        <f t="shared" si="4"/>
        <v>27710</v>
      </c>
    </row>
    <row r="33" spans="1:13" x14ac:dyDescent="0.2">
      <c r="A33" s="78" t="s">
        <v>7</v>
      </c>
      <c r="B33" s="44">
        <v>9632</v>
      </c>
      <c r="C33" s="44">
        <v>6750</v>
      </c>
      <c r="D33" s="44">
        <v>6750</v>
      </c>
      <c r="E33" s="44">
        <v>10450</v>
      </c>
      <c r="F33" s="44"/>
      <c r="G33" s="44">
        <v>23380</v>
      </c>
      <c r="H33" s="44"/>
      <c r="I33" s="44"/>
      <c r="J33" s="44"/>
      <c r="K33" s="44">
        <v>33550</v>
      </c>
      <c r="L33" s="44"/>
      <c r="M33" s="44">
        <v>27710</v>
      </c>
    </row>
    <row r="34" spans="1:13" x14ac:dyDescent="0.2">
      <c r="A34" s="78" t="s">
        <v>111</v>
      </c>
      <c r="B34" s="43">
        <f>B32-B33</f>
        <v>0</v>
      </c>
      <c r="C34" s="43">
        <f>C32-C33</f>
        <v>0</v>
      </c>
      <c r="D34" s="43">
        <f t="shared" ref="D34:M34" si="5">D32-D33</f>
        <v>0</v>
      </c>
      <c r="E34" s="43">
        <f t="shared" si="5"/>
        <v>2</v>
      </c>
      <c r="F34" s="43">
        <f t="shared" si="5"/>
        <v>13302</v>
      </c>
      <c r="G34" s="43">
        <f t="shared" si="5"/>
        <v>0</v>
      </c>
      <c r="H34" s="43">
        <f t="shared" si="5"/>
        <v>8000</v>
      </c>
      <c r="I34" s="43">
        <f t="shared" si="5"/>
        <v>16000</v>
      </c>
      <c r="J34" s="43">
        <f t="shared" si="5"/>
        <v>24000</v>
      </c>
      <c r="K34" s="43">
        <f t="shared" si="5"/>
        <v>0</v>
      </c>
      <c r="L34" s="43">
        <f t="shared" si="5"/>
        <v>10000</v>
      </c>
      <c r="M34" s="43">
        <f t="shared" si="5"/>
        <v>0</v>
      </c>
    </row>
    <row r="37" spans="1:13" ht="15.75" x14ac:dyDescent="0.25">
      <c r="A37" s="31" t="s">
        <v>0</v>
      </c>
      <c r="B37" s="31" t="s">
        <v>1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2">
      <c r="A38" s="78"/>
      <c r="B38" s="79">
        <v>44562</v>
      </c>
      <c r="C38" s="79">
        <v>44593</v>
      </c>
      <c r="D38" s="79">
        <v>44621</v>
      </c>
      <c r="E38" s="79">
        <v>44652</v>
      </c>
      <c r="F38" s="79">
        <v>44682</v>
      </c>
      <c r="G38" s="79">
        <v>44713</v>
      </c>
      <c r="H38" s="79">
        <v>44743</v>
      </c>
      <c r="I38" s="79">
        <v>44774</v>
      </c>
      <c r="J38" s="79">
        <v>44805</v>
      </c>
      <c r="K38" s="79">
        <v>44835</v>
      </c>
      <c r="L38" s="79">
        <v>44866</v>
      </c>
      <c r="M38" s="79">
        <v>44896</v>
      </c>
    </row>
    <row r="39" spans="1:13" x14ac:dyDescent="0.2">
      <c r="A39" s="78" t="s">
        <v>110</v>
      </c>
      <c r="B39" s="42"/>
      <c r="C39" s="42">
        <f t="shared" ref="C39:M39" si="6">B50</f>
        <v>0</v>
      </c>
      <c r="D39" s="42">
        <f t="shared" si="6"/>
        <v>0</v>
      </c>
      <c r="E39" s="42">
        <f t="shared" si="6"/>
        <v>14000</v>
      </c>
      <c r="F39" s="42">
        <f t="shared" si="6"/>
        <v>0</v>
      </c>
      <c r="G39" s="42">
        <f t="shared" si="6"/>
        <v>15000</v>
      </c>
      <c r="H39" s="42">
        <f t="shared" si="6"/>
        <v>0</v>
      </c>
      <c r="I39" s="42">
        <f t="shared" si="6"/>
        <v>16000</v>
      </c>
      <c r="J39" s="42">
        <f t="shared" si="6"/>
        <v>0</v>
      </c>
      <c r="K39" s="42">
        <f t="shared" si="6"/>
        <v>26340</v>
      </c>
      <c r="L39" s="42">
        <f t="shared" si="6"/>
        <v>0</v>
      </c>
      <c r="M39" s="42">
        <f t="shared" si="6"/>
        <v>20000</v>
      </c>
    </row>
    <row r="40" spans="1:13" x14ac:dyDescent="0.2">
      <c r="A40" s="78" t="s">
        <v>76</v>
      </c>
      <c r="B40" s="42">
        <v>1800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3</v>
      </c>
      <c r="B41" s="42">
        <v>3455</v>
      </c>
      <c r="C41" s="42">
        <v>230</v>
      </c>
      <c r="D41" s="42"/>
      <c r="E41" s="42">
        <v>2650</v>
      </c>
      <c r="F41" s="42"/>
      <c r="G41" s="42">
        <v>6100</v>
      </c>
      <c r="H41" s="42">
        <v>0</v>
      </c>
      <c r="I41" s="42">
        <v>0</v>
      </c>
      <c r="J41" s="42">
        <v>5840</v>
      </c>
      <c r="K41" s="42">
        <v>5000</v>
      </c>
      <c r="L41" s="42"/>
      <c r="M41" s="42">
        <v>12230</v>
      </c>
    </row>
    <row r="42" spans="1:13" x14ac:dyDescent="0.2">
      <c r="A42" s="78" t="s">
        <v>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73</v>
      </c>
      <c r="B44" s="42"/>
      <c r="C44" s="42"/>
      <c r="D44" s="42"/>
      <c r="E44" s="42"/>
      <c r="F44" s="42"/>
      <c r="G44" s="42"/>
      <c r="H44" s="42"/>
      <c r="I44" s="42"/>
      <c r="J44" s="42">
        <v>2500</v>
      </c>
      <c r="K44" s="42"/>
      <c r="L44" s="42"/>
      <c r="M44" s="42"/>
    </row>
    <row r="45" spans="1:13" x14ac:dyDescent="0.2">
      <c r="A45" s="78" t="s">
        <v>74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75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5</v>
      </c>
      <c r="B47" s="42">
        <v>12000</v>
      </c>
      <c r="C47" s="42">
        <v>14000</v>
      </c>
      <c r="D47" s="42">
        <v>14000</v>
      </c>
      <c r="E47" s="42">
        <v>15000</v>
      </c>
      <c r="F47" s="42">
        <v>15000</v>
      </c>
      <c r="G47" s="42">
        <v>16000</v>
      </c>
      <c r="H47" s="42">
        <v>16000</v>
      </c>
      <c r="I47" s="42">
        <v>16000</v>
      </c>
      <c r="J47" s="42">
        <v>18000</v>
      </c>
      <c r="K47" s="42">
        <v>18000</v>
      </c>
      <c r="L47" s="42">
        <v>20000</v>
      </c>
      <c r="M47" s="42">
        <v>20000</v>
      </c>
    </row>
    <row r="48" spans="1:13" x14ac:dyDescent="0.2">
      <c r="A48" s="78" t="s">
        <v>6</v>
      </c>
      <c r="B48" s="43">
        <f>SUM(B39:B47)</f>
        <v>17255</v>
      </c>
      <c r="C48" s="43">
        <f t="shared" ref="C48:M48" si="7">SUM(C39:C47)</f>
        <v>14230</v>
      </c>
      <c r="D48" s="43">
        <f t="shared" si="7"/>
        <v>14000</v>
      </c>
      <c r="E48" s="43">
        <f t="shared" si="7"/>
        <v>31650</v>
      </c>
      <c r="F48" s="43">
        <f t="shared" si="7"/>
        <v>15000</v>
      </c>
      <c r="G48" s="43">
        <f t="shared" si="7"/>
        <v>37100</v>
      </c>
      <c r="H48" s="43">
        <f t="shared" si="7"/>
        <v>16000</v>
      </c>
      <c r="I48" s="43">
        <f t="shared" si="7"/>
        <v>32000</v>
      </c>
      <c r="J48" s="43">
        <f t="shared" si="7"/>
        <v>26340</v>
      </c>
      <c r="K48" s="43">
        <f t="shared" si="7"/>
        <v>49340</v>
      </c>
      <c r="L48" s="43">
        <f t="shared" si="7"/>
        <v>20000</v>
      </c>
      <c r="M48" s="43">
        <f t="shared" si="7"/>
        <v>52230</v>
      </c>
    </row>
    <row r="49" spans="1:13" x14ac:dyDescent="0.2">
      <c r="A49" s="78" t="s">
        <v>7</v>
      </c>
      <c r="B49" s="44">
        <v>17255</v>
      </c>
      <c r="C49" s="44">
        <v>14230</v>
      </c>
      <c r="D49" s="44"/>
      <c r="E49" s="44">
        <v>31650</v>
      </c>
      <c r="F49" s="44"/>
      <c r="G49" s="44">
        <v>37100</v>
      </c>
      <c r="H49" s="44"/>
      <c r="I49" s="44">
        <v>32000</v>
      </c>
      <c r="J49" s="44"/>
      <c r="K49" s="44">
        <v>49340</v>
      </c>
      <c r="L49" s="44"/>
      <c r="M49" s="44"/>
    </row>
    <row r="50" spans="1:13" x14ac:dyDescent="0.2">
      <c r="A50" s="78" t="s">
        <v>111</v>
      </c>
      <c r="B50" s="43">
        <f>B48-B49</f>
        <v>0</v>
      </c>
      <c r="C50" s="43">
        <f>C48-C49</f>
        <v>0</v>
      </c>
      <c r="D50" s="43">
        <f t="shared" ref="D50:M50" si="8">D48-D49</f>
        <v>14000</v>
      </c>
      <c r="E50" s="43">
        <f t="shared" si="8"/>
        <v>0</v>
      </c>
      <c r="F50" s="43">
        <f t="shared" si="8"/>
        <v>15000</v>
      </c>
      <c r="G50" s="43">
        <f t="shared" si="8"/>
        <v>0</v>
      </c>
      <c r="H50" s="43">
        <f t="shared" si="8"/>
        <v>16000</v>
      </c>
      <c r="I50" s="43">
        <f t="shared" si="8"/>
        <v>0</v>
      </c>
      <c r="J50" s="43">
        <f t="shared" si="8"/>
        <v>26340</v>
      </c>
      <c r="K50" s="43">
        <f t="shared" si="8"/>
        <v>0</v>
      </c>
      <c r="L50" s="43">
        <f t="shared" si="8"/>
        <v>20000</v>
      </c>
      <c r="M50" s="43">
        <f t="shared" si="8"/>
        <v>52230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/>
  <dimension ref="A4:M37"/>
  <sheetViews>
    <sheetView topLeftCell="A16" workbookViewId="0">
      <selection activeCell="F35" sqref="F35"/>
    </sheetView>
  </sheetViews>
  <sheetFormatPr baseColWidth="10" defaultRowHeight="12.75" x14ac:dyDescent="0.2"/>
  <cols>
    <col min="1" max="1" width="28.28515625" customWidth="1"/>
    <col min="6" max="6" width="12.140625" bestFit="1" customWidth="1"/>
    <col min="10" max="11" width="12.140625" bestFit="1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65"/>
      <c r="B5" s="68">
        <v>45658</v>
      </c>
      <c r="C5" s="68">
        <v>45689</v>
      </c>
      <c r="D5" s="68">
        <v>45717</v>
      </c>
      <c r="E5" s="68">
        <v>45748</v>
      </c>
      <c r="F5" s="68">
        <v>45778</v>
      </c>
      <c r="G5" s="68">
        <v>45809</v>
      </c>
      <c r="H5" s="68">
        <v>45839</v>
      </c>
      <c r="I5" s="68">
        <v>45870</v>
      </c>
      <c r="J5" s="68">
        <v>45901</v>
      </c>
      <c r="K5" s="68">
        <v>45931</v>
      </c>
      <c r="L5" s="68">
        <v>45962</v>
      </c>
      <c r="M5" s="68">
        <v>45992</v>
      </c>
    </row>
    <row r="6" spans="1:13" x14ac:dyDescent="0.2">
      <c r="A6" s="65" t="s">
        <v>110</v>
      </c>
      <c r="B6" s="69"/>
      <c r="C6" s="69">
        <f>B17</f>
        <v>-100</v>
      </c>
      <c r="D6" s="69">
        <f>C17</f>
        <v>0</v>
      </c>
      <c r="E6" s="69">
        <f>D17</f>
        <v>0</v>
      </c>
      <c r="F6" s="69">
        <f>E17</f>
        <v>0</v>
      </c>
      <c r="G6" s="69">
        <f t="shared" ref="G6:M6" si="0">F17</f>
        <v>0</v>
      </c>
      <c r="H6" s="69">
        <f t="shared" si="0"/>
        <v>0</v>
      </c>
      <c r="I6" s="69">
        <f t="shared" si="0"/>
        <v>0</v>
      </c>
      <c r="J6" s="69">
        <f t="shared" si="0"/>
        <v>0</v>
      </c>
      <c r="K6" s="69">
        <f t="shared" si="0"/>
        <v>0</v>
      </c>
      <c r="L6" s="69">
        <f t="shared" si="0"/>
        <v>0</v>
      </c>
      <c r="M6" s="69">
        <f t="shared" si="0"/>
        <v>0</v>
      </c>
    </row>
    <row r="7" spans="1:13" x14ac:dyDescent="0.2">
      <c r="A7" s="65" t="s">
        <v>76</v>
      </c>
      <c r="B7" s="69"/>
      <c r="C7" s="69">
        <v>278000</v>
      </c>
      <c r="D7" s="69"/>
      <c r="E7" s="69">
        <v>280000</v>
      </c>
      <c r="F7" s="69">
        <v>200000</v>
      </c>
      <c r="G7" s="69">
        <v>210000</v>
      </c>
      <c r="H7" s="69">
        <v>130000</v>
      </c>
      <c r="I7" s="69">
        <v>240000</v>
      </c>
      <c r="J7" s="69">
        <v>240000</v>
      </c>
      <c r="K7" s="69">
        <v>84000</v>
      </c>
      <c r="L7" s="69">
        <v>84000</v>
      </c>
      <c r="M7" s="69"/>
    </row>
    <row r="8" spans="1:13" x14ac:dyDescent="0.2">
      <c r="A8" s="65" t="s">
        <v>3</v>
      </c>
      <c r="B8" s="69">
        <v>84100</v>
      </c>
      <c r="C8" s="69">
        <v>50000</v>
      </c>
      <c r="D8" s="69">
        <v>45800</v>
      </c>
      <c r="E8" s="69">
        <v>113720</v>
      </c>
      <c r="F8" s="69">
        <v>56200</v>
      </c>
      <c r="G8" s="69">
        <v>125000</v>
      </c>
      <c r="H8" s="69">
        <v>65380</v>
      </c>
      <c r="I8" s="69">
        <v>47000</v>
      </c>
      <c r="J8" s="69">
        <v>63300</v>
      </c>
      <c r="K8" s="69">
        <v>45000</v>
      </c>
      <c r="L8" s="69">
        <v>45000</v>
      </c>
      <c r="M8" s="69">
        <v>42000</v>
      </c>
    </row>
    <row r="9" spans="1:13" x14ac:dyDescent="0.2">
      <c r="A9" s="65" t="s">
        <v>4</v>
      </c>
      <c r="B9" s="69">
        <v>22800</v>
      </c>
      <c r="C9" s="69">
        <v>14520</v>
      </c>
      <c r="D9" s="69">
        <v>24000</v>
      </c>
      <c r="E9" s="69">
        <v>14400</v>
      </c>
      <c r="F9" s="69">
        <v>14500</v>
      </c>
      <c r="G9" s="69">
        <v>5200</v>
      </c>
      <c r="H9" s="69">
        <v>33000</v>
      </c>
      <c r="I9" s="69">
        <v>15000</v>
      </c>
      <c r="J9" s="69">
        <v>16800</v>
      </c>
      <c r="K9" s="69">
        <v>19502</v>
      </c>
      <c r="L9" s="69">
        <v>15860</v>
      </c>
      <c r="M9" s="69">
        <v>42000</v>
      </c>
    </row>
    <row r="10" spans="1:13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75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>
        <v>100000</v>
      </c>
      <c r="C14" s="69">
        <v>100000</v>
      </c>
      <c r="D14" s="69">
        <v>110000</v>
      </c>
      <c r="E14" s="69">
        <v>120000</v>
      </c>
      <c r="F14" s="69">
        <v>120000</v>
      </c>
      <c r="G14" s="69">
        <v>120000</v>
      </c>
      <c r="H14" s="69">
        <v>150000</v>
      </c>
      <c r="I14" s="69">
        <v>150000</v>
      </c>
      <c r="J14" s="69">
        <v>150000</v>
      </c>
      <c r="K14" s="69">
        <v>150000</v>
      </c>
      <c r="L14" s="69">
        <v>180000</v>
      </c>
      <c r="M14" s="69">
        <v>180000</v>
      </c>
    </row>
    <row r="15" spans="1:13" x14ac:dyDescent="0.2">
      <c r="A15" s="65" t="s">
        <v>6</v>
      </c>
      <c r="B15" s="70">
        <f>SUM(B6:B14)</f>
        <v>206900</v>
      </c>
      <c r="C15" s="70">
        <f t="shared" ref="C15:M15" si="1">SUM(C6:C14)</f>
        <v>442420</v>
      </c>
      <c r="D15" s="70">
        <f t="shared" si="1"/>
        <v>179800</v>
      </c>
      <c r="E15" s="70">
        <f t="shared" si="1"/>
        <v>528120</v>
      </c>
      <c r="F15" s="70">
        <f t="shared" si="1"/>
        <v>390700</v>
      </c>
      <c r="G15" s="70">
        <f t="shared" si="1"/>
        <v>460200</v>
      </c>
      <c r="H15" s="70">
        <f t="shared" si="1"/>
        <v>378380</v>
      </c>
      <c r="I15" s="70">
        <f t="shared" si="1"/>
        <v>452000</v>
      </c>
      <c r="J15" s="70">
        <f t="shared" si="1"/>
        <v>470100</v>
      </c>
      <c r="K15" s="70">
        <f t="shared" si="1"/>
        <v>298502</v>
      </c>
      <c r="L15" s="70">
        <f t="shared" si="1"/>
        <v>324860</v>
      </c>
      <c r="M15" s="70">
        <f t="shared" si="1"/>
        <v>264000</v>
      </c>
    </row>
    <row r="16" spans="1:13" x14ac:dyDescent="0.2">
      <c r="A16" s="65" t="s">
        <v>7</v>
      </c>
      <c r="B16" s="71">
        <v>207000</v>
      </c>
      <c r="C16" s="71">
        <v>442420</v>
      </c>
      <c r="D16" s="71">
        <v>179800</v>
      </c>
      <c r="E16" s="71">
        <v>528120</v>
      </c>
      <c r="F16" s="71">
        <v>390700</v>
      </c>
      <c r="G16" s="71">
        <v>460200</v>
      </c>
      <c r="H16" s="71">
        <v>378380</v>
      </c>
      <c r="I16" s="71">
        <v>452000</v>
      </c>
      <c r="J16" s="71">
        <v>470100</v>
      </c>
      <c r="K16" s="71">
        <v>298502</v>
      </c>
      <c r="L16" s="71">
        <v>324860</v>
      </c>
      <c r="M16" s="71">
        <v>264000</v>
      </c>
    </row>
    <row r="17" spans="1:13" x14ac:dyDescent="0.2">
      <c r="A17" s="65" t="s">
        <v>111</v>
      </c>
      <c r="B17" s="70">
        <f>B15-B16</f>
        <v>-100</v>
      </c>
      <c r="C17" s="70">
        <f>C15-C16</f>
        <v>0</v>
      </c>
      <c r="D17" s="70">
        <f t="shared" ref="D17:M17" si="2">D15-D16</f>
        <v>0</v>
      </c>
      <c r="E17" s="70">
        <f t="shared" si="2"/>
        <v>0</v>
      </c>
      <c r="F17" s="70">
        <f t="shared" si="2"/>
        <v>0</v>
      </c>
      <c r="G17" s="70">
        <f t="shared" si="2"/>
        <v>0</v>
      </c>
      <c r="H17" s="70">
        <f t="shared" si="2"/>
        <v>0</v>
      </c>
      <c r="I17" s="70">
        <f t="shared" si="2"/>
        <v>0</v>
      </c>
      <c r="J17" s="70">
        <f t="shared" si="2"/>
        <v>0</v>
      </c>
      <c r="K17" s="70">
        <f t="shared" si="2"/>
        <v>0</v>
      </c>
      <c r="L17" s="70">
        <f t="shared" si="2"/>
        <v>0</v>
      </c>
      <c r="M17" s="70">
        <f t="shared" si="2"/>
        <v>0</v>
      </c>
    </row>
    <row r="23" spans="1:13" ht="15.75" x14ac:dyDescent="0.25">
      <c r="A23" s="31" t="s">
        <v>0</v>
      </c>
      <c r="B23" s="31" t="s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">
      <c r="A24" s="65"/>
      <c r="B24" s="68">
        <v>46023</v>
      </c>
      <c r="C24" s="68">
        <v>46054</v>
      </c>
      <c r="D24" s="68">
        <v>46082</v>
      </c>
      <c r="E24" s="68">
        <v>46113</v>
      </c>
      <c r="F24" s="68">
        <v>46143</v>
      </c>
      <c r="G24" s="68">
        <v>46174</v>
      </c>
      <c r="H24" s="68">
        <v>46204</v>
      </c>
      <c r="I24" s="68">
        <v>46235</v>
      </c>
      <c r="J24" s="68">
        <v>46266</v>
      </c>
      <c r="K24" s="68">
        <v>46296</v>
      </c>
      <c r="L24" s="68">
        <v>46327</v>
      </c>
      <c r="M24" s="68">
        <v>46357</v>
      </c>
    </row>
    <row r="25" spans="1:13" x14ac:dyDescent="0.2">
      <c r="A25" s="65" t="s">
        <v>110</v>
      </c>
      <c r="B25" s="69"/>
      <c r="C25" s="69">
        <f t="shared" ref="C25:M25" si="3">B36</f>
        <v>0</v>
      </c>
      <c r="D25" s="69">
        <f t="shared" si="3"/>
        <v>0</v>
      </c>
      <c r="E25" s="69">
        <f t="shared" si="3"/>
        <v>-500</v>
      </c>
      <c r="F25" s="69">
        <f t="shared" si="3"/>
        <v>0</v>
      </c>
      <c r="G25" s="69">
        <f t="shared" si="3"/>
        <v>404000</v>
      </c>
      <c r="H25" s="69">
        <f t="shared" si="3"/>
        <v>404000</v>
      </c>
      <c r="I25" s="69">
        <f t="shared" si="3"/>
        <v>404000</v>
      </c>
      <c r="J25" s="69">
        <f t="shared" si="3"/>
        <v>404000</v>
      </c>
      <c r="K25" s="69">
        <f t="shared" si="3"/>
        <v>404000</v>
      </c>
      <c r="L25" s="69">
        <f t="shared" si="3"/>
        <v>404000</v>
      </c>
      <c r="M25" s="69">
        <f t="shared" si="3"/>
        <v>404000</v>
      </c>
    </row>
    <row r="26" spans="1:13" x14ac:dyDescent="0.2">
      <c r="A26" s="65" t="s">
        <v>76</v>
      </c>
      <c r="B26" s="69">
        <v>170000</v>
      </c>
      <c r="C26" s="69">
        <v>160000</v>
      </c>
      <c r="D26" s="69">
        <v>125000</v>
      </c>
      <c r="E26" s="69"/>
      <c r="F26" s="69">
        <v>160000</v>
      </c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3</v>
      </c>
      <c r="B27" s="69">
        <v>80900</v>
      </c>
      <c r="C27" s="69">
        <v>74000</v>
      </c>
      <c r="D27" s="69">
        <v>103000</v>
      </c>
      <c r="E27" s="69">
        <v>57100</v>
      </c>
      <c r="F27" s="69">
        <v>20000</v>
      </c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4</v>
      </c>
      <c r="B28" s="69">
        <v>19800</v>
      </c>
      <c r="C28" s="69">
        <v>30000</v>
      </c>
      <c r="D28" s="69">
        <v>21500</v>
      </c>
      <c r="E28" s="69">
        <v>16500</v>
      </c>
      <c r="F28" s="69">
        <v>24000</v>
      </c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9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73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74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x14ac:dyDescent="0.2">
      <c r="A32" s="65" t="s">
        <v>75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1:13" x14ac:dyDescent="0.2">
      <c r="A33" s="65" t="s">
        <v>5</v>
      </c>
      <c r="B33" s="69">
        <v>180000</v>
      </c>
      <c r="C33" s="69">
        <v>200000</v>
      </c>
      <c r="D33" s="69">
        <v>200000</v>
      </c>
      <c r="E33" s="69">
        <v>200000</v>
      </c>
      <c r="F33" s="69">
        <v>200000</v>
      </c>
      <c r="G33" s="69"/>
      <c r="H33" s="69"/>
      <c r="I33" s="69"/>
      <c r="J33" s="69"/>
      <c r="K33" s="69"/>
      <c r="L33" s="69"/>
      <c r="M33" s="69"/>
    </row>
    <row r="34" spans="1:13" x14ac:dyDescent="0.2">
      <c r="A34" s="65" t="s">
        <v>6</v>
      </c>
      <c r="B34" s="70">
        <f>SUM(B25:B33)</f>
        <v>450700</v>
      </c>
      <c r="C34" s="70">
        <f t="shared" ref="C34:M34" si="4">SUM(C25:C33)</f>
        <v>464000</v>
      </c>
      <c r="D34" s="70">
        <f t="shared" si="4"/>
        <v>449500</v>
      </c>
      <c r="E34" s="70">
        <f t="shared" si="4"/>
        <v>273100</v>
      </c>
      <c r="F34" s="70">
        <f t="shared" si="4"/>
        <v>404000</v>
      </c>
      <c r="G34" s="70">
        <f t="shared" si="4"/>
        <v>404000</v>
      </c>
      <c r="H34" s="70">
        <f t="shared" si="4"/>
        <v>404000</v>
      </c>
      <c r="I34" s="70">
        <f t="shared" si="4"/>
        <v>404000</v>
      </c>
      <c r="J34" s="70">
        <f t="shared" si="4"/>
        <v>404000</v>
      </c>
      <c r="K34" s="70">
        <f t="shared" si="4"/>
        <v>404000</v>
      </c>
      <c r="L34" s="70">
        <f t="shared" si="4"/>
        <v>404000</v>
      </c>
      <c r="M34" s="70">
        <f t="shared" si="4"/>
        <v>404000</v>
      </c>
    </row>
    <row r="35" spans="1:13" x14ac:dyDescent="0.2">
      <c r="A35" s="65" t="s">
        <v>7</v>
      </c>
      <c r="B35" s="71">
        <v>450700</v>
      </c>
      <c r="C35" s="71">
        <v>464000</v>
      </c>
      <c r="D35" s="71">
        <v>450000</v>
      </c>
      <c r="E35" s="71">
        <v>273100</v>
      </c>
      <c r="F35" s="71"/>
      <c r="G35" s="71"/>
      <c r="H35" s="71"/>
      <c r="I35" s="71"/>
      <c r="J35" s="71"/>
      <c r="K35" s="71"/>
      <c r="L35" s="71"/>
      <c r="M35" s="71"/>
    </row>
    <row r="36" spans="1:13" x14ac:dyDescent="0.2">
      <c r="A36" s="65" t="s">
        <v>111</v>
      </c>
      <c r="B36" s="70">
        <f>B34-B35</f>
        <v>0</v>
      </c>
      <c r="C36" s="70">
        <f>C34-C35</f>
        <v>0</v>
      </c>
      <c r="D36" s="70">
        <f t="shared" ref="D36:M36" si="5">D34-D35</f>
        <v>-500</v>
      </c>
      <c r="E36" s="70">
        <f t="shared" si="5"/>
        <v>0</v>
      </c>
      <c r="F36" s="70">
        <f t="shared" si="5"/>
        <v>404000</v>
      </c>
      <c r="G36" s="70">
        <f t="shared" si="5"/>
        <v>404000</v>
      </c>
      <c r="H36" s="70">
        <f t="shared" si="5"/>
        <v>404000</v>
      </c>
      <c r="I36" s="70">
        <f t="shared" si="5"/>
        <v>404000</v>
      </c>
      <c r="J36" s="70">
        <f t="shared" si="5"/>
        <v>404000</v>
      </c>
      <c r="K36" s="70">
        <f t="shared" si="5"/>
        <v>404000</v>
      </c>
      <c r="L36" s="70">
        <f t="shared" si="5"/>
        <v>404000</v>
      </c>
      <c r="M36" s="70">
        <f t="shared" si="5"/>
        <v>404000</v>
      </c>
    </row>
    <row r="37" spans="1:13" x14ac:dyDescent="0.2">
      <c r="E37" t="s">
        <v>457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/>
  <dimension ref="A3:M16"/>
  <sheetViews>
    <sheetView workbookViewId="0">
      <selection activeCell="F14" sqref="F14"/>
    </sheetView>
  </sheetViews>
  <sheetFormatPr baseColWidth="10" defaultRowHeight="12.75" x14ac:dyDescent="0.2"/>
  <cols>
    <col min="1" max="1" width="35.14062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65"/>
      <c r="B4" s="68">
        <v>46023</v>
      </c>
      <c r="C4" s="68">
        <v>46054</v>
      </c>
      <c r="D4" s="68">
        <v>46082</v>
      </c>
      <c r="E4" s="68">
        <v>46113</v>
      </c>
      <c r="F4" s="68">
        <v>46143</v>
      </c>
      <c r="G4" s="68">
        <v>46174</v>
      </c>
      <c r="H4" s="68">
        <v>46204</v>
      </c>
      <c r="I4" s="68">
        <v>46235</v>
      </c>
      <c r="J4" s="68">
        <v>46266</v>
      </c>
      <c r="K4" s="68">
        <v>46296</v>
      </c>
      <c r="L4" s="68">
        <v>46327</v>
      </c>
      <c r="M4" s="68">
        <v>46357</v>
      </c>
    </row>
    <row r="5" spans="1:13" x14ac:dyDescent="0.2">
      <c r="A5" s="65" t="s">
        <v>110</v>
      </c>
      <c r="B5" s="69"/>
      <c r="C5" s="69">
        <f>B16</f>
        <v>0</v>
      </c>
      <c r="D5" s="69">
        <f>C16</f>
        <v>40000</v>
      </c>
      <c r="E5" s="69">
        <f>D16</f>
        <v>0</v>
      </c>
      <c r="F5" s="69">
        <f>E16</f>
        <v>50000</v>
      </c>
      <c r="G5" s="69">
        <f t="shared" ref="G5:M5" si="0">F16</f>
        <v>100000</v>
      </c>
      <c r="H5" s="69">
        <f t="shared" si="0"/>
        <v>100000</v>
      </c>
      <c r="I5" s="69">
        <f t="shared" si="0"/>
        <v>100000</v>
      </c>
      <c r="J5" s="69">
        <f t="shared" si="0"/>
        <v>100000</v>
      </c>
      <c r="K5" s="69">
        <f t="shared" si="0"/>
        <v>100000</v>
      </c>
      <c r="L5" s="69">
        <f t="shared" si="0"/>
        <v>100000</v>
      </c>
      <c r="M5" s="69">
        <f t="shared" si="0"/>
        <v>100000</v>
      </c>
    </row>
    <row r="6" spans="1:13" x14ac:dyDescent="0.2">
      <c r="A6" s="65" t="s">
        <v>76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567</v>
      </c>
      <c r="B12" s="69"/>
      <c r="C12" s="69">
        <v>40000</v>
      </c>
      <c r="D12" s="69">
        <v>40000</v>
      </c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/>
      <c r="C13" s="69"/>
      <c r="D13" s="69"/>
      <c r="E13" s="69">
        <v>50000</v>
      </c>
      <c r="F13" s="69">
        <v>50000</v>
      </c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6</v>
      </c>
      <c r="B14" s="70">
        <f>SUM(B5:B13)</f>
        <v>0</v>
      </c>
      <c r="C14" s="70">
        <f t="shared" ref="C14:M14" si="1">SUM(C5:C13)</f>
        <v>40000</v>
      </c>
      <c r="D14" s="70">
        <f t="shared" si="1"/>
        <v>80000</v>
      </c>
      <c r="E14" s="70">
        <f t="shared" si="1"/>
        <v>50000</v>
      </c>
      <c r="F14" s="70">
        <f t="shared" si="1"/>
        <v>100000</v>
      </c>
      <c r="G14" s="70">
        <f t="shared" si="1"/>
        <v>100000</v>
      </c>
      <c r="H14" s="70">
        <f t="shared" si="1"/>
        <v>100000</v>
      </c>
      <c r="I14" s="70">
        <f t="shared" si="1"/>
        <v>100000</v>
      </c>
      <c r="J14" s="70">
        <f t="shared" si="1"/>
        <v>100000</v>
      </c>
      <c r="K14" s="70">
        <f t="shared" si="1"/>
        <v>100000</v>
      </c>
      <c r="L14" s="70">
        <f t="shared" si="1"/>
        <v>100000</v>
      </c>
      <c r="M14" s="70">
        <f t="shared" si="1"/>
        <v>100000</v>
      </c>
    </row>
    <row r="15" spans="1:13" x14ac:dyDescent="0.2">
      <c r="A15" s="65" t="s">
        <v>7</v>
      </c>
      <c r="B15" s="71"/>
      <c r="C15" s="71"/>
      <c r="D15" s="71">
        <v>80000</v>
      </c>
      <c r="E15" s="71"/>
      <c r="F15" s="71"/>
      <c r="G15" s="71"/>
      <c r="H15" s="71"/>
      <c r="I15" s="71"/>
      <c r="J15" s="71"/>
      <c r="K15" s="71"/>
      <c r="L15" s="71"/>
      <c r="M15" s="71"/>
    </row>
    <row r="16" spans="1:13" x14ac:dyDescent="0.2">
      <c r="A16" s="65" t="s">
        <v>111</v>
      </c>
      <c r="B16" s="70">
        <f>B14-B15</f>
        <v>0</v>
      </c>
      <c r="C16" s="70">
        <f>C14-C15</f>
        <v>40000</v>
      </c>
      <c r="D16" s="70">
        <f t="shared" ref="D16:M16" si="2">D14-D15</f>
        <v>0</v>
      </c>
      <c r="E16" s="70">
        <f t="shared" si="2"/>
        <v>50000</v>
      </c>
      <c r="F16" s="70">
        <f t="shared" si="2"/>
        <v>100000</v>
      </c>
      <c r="G16" s="70">
        <f t="shared" si="2"/>
        <v>100000</v>
      </c>
      <c r="H16" s="70">
        <f t="shared" si="2"/>
        <v>100000</v>
      </c>
      <c r="I16" s="70">
        <f t="shared" si="2"/>
        <v>100000</v>
      </c>
      <c r="J16" s="70">
        <f t="shared" si="2"/>
        <v>100000</v>
      </c>
      <c r="K16" s="70">
        <f t="shared" si="2"/>
        <v>100000</v>
      </c>
      <c r="L16" s="70">
        <f t="shared" si="2"/>
        <v>100000</v>
      </c>
      <c r="M16" s="70">
        <f t="shared" si="2"/>
        <v>100000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/>
  <dimension ref="A1:O70"/>
  <sheetViews>
    <sheetView workbookViewId="0">
      <selection activeCell="C16" sqref="C16"/>
    </sheetView>
  </sheetViews>
  <sheetFormatPr baseColWidth="10" defaultRowHeight="12.75" x14ac:dyDescent="0.2"/>
  <cols>
    <col min="1" max="1" width="33.42578125" customWidth="1"/>
    <col min="5" max="5" width="12" bestFit="1" customWidth="1"/>
  </cols>
  <sheetData>
    <row r="1" spans="1:13" ht="20.25" x14ac:dyDescent="0.3">
      <c r="A1" s="11" t="s">
        <v>11</v>
      </c>
      <c r="B1" s="216" t="s">
        <v>118</v>
      </c>
      <c r="C1" s="216"/>
      <c r="D1" s="216"/>
      <c r="E1" s="216"/>
      <c r="F1" s="216"/>
      <c r="G1" s="216"/>
      <c r="H1" s="2"/>
      <c r="I1" s="2"/>
      <c r="J1" s="2"/>
      <c r="K1" s="2"/>
      <c r="L1" s="2"/>
      <c r="M1" s="2"/>
    </row>
    <row r="2" spans="1:13" ht="20.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65"/>
      <c r="B4" s="68">
        <v>46023</v>
      </c>
      <c r="C4" s="68">
        <v>46054</v>
      </c>
      <c r="D4" s="68">
        <v>46082</v>
      </c>
      <c r="E4" s="68">
        <v>46113</v>
      </c>
      <c r="F4" s="68">
        <v>46143</v>
      </c>
      <c r="G4" s="68">
        <v>46174</v>
      </c>
      <c r="H4" s="68">
        <v>46204</v>
      </c>
      <c r="I4" s="68">
        <v>46235</v>
      </c>
      <c r="J4" s="68">
        <v>46266</v>
      </c>
      <c r="K4" s="68">
        <v>46296</v>
      </c>
      <c r="L4" s="68">
        <v>46327</v>
      </c>
      <c r="M4" s="68">
        <v>46357</v>
      </c>
    </row>
    <row r="5" spans="1:13" x14ac:dyDescent="0.2">
      <c r="A5" s="65" t="s">
        <v>110</v>
      </c>
      <c r="B5" s="69"/>
      <c r="C5" s="69">
        <f>B16</f>
        <v>0</v>
      </c>
      <c r="D5" s="69">
        <f>C16</f>
        <v>0</v>
      </c>
      <c r="E5" s="69">
        <f>D16</f>
        <v>0</v>
      </c>
      <c r="F5" s="69">
        <f>E16</f>
        <v>0</v>
      </c>
      <c r="G5" s="69">
        <f t="shared" ref="G5:M5" si="0">F16</f>
        <v>0</v>
      </c>
      <c r="H5" s="69">
        <f t="shared" si="0"/>
        <v>0</v>
      </c>
      <c r="I5" s="69">
        <f t="shared" si="0"/>
        <v>0</v>
      </c>
      <c r="J5" s="69">
        <f t="shared" si="0"/>
        <v>0</v>
      </c>
      <c r="K5" s="69">
        <f t="shared" si="0"/>
        <v>0</v>
      </c>
      <c r="L5" s="69">
        <f t="shared" si="0"/>
        <v>0</v>
      </c>
      <c r="M5" s="69">
        <f t="shared" si="0"/>
        <v>0</v>
      </c>
    </row>
    <row r="6" spans="1:13" x14ac:dyDescent="0.2">
      <c r="A6" s="65" t="s">
        <v>76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/>
      <c r="C7" s="69">
        <v>7980</v>
      </c>
      <c r="D7" s="69">
        <v>14100</v>
      </c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4</v>
      </c>
      <c r="B8" s="69">
        <v>3548</v>
      </c>
      <c r="C8" s="69">
        <v>4356</v>
      </c>
      <c r="D8" s="69">
        <v>5678</v>
      </c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489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480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>
        <v>60000</v>
      </c>
      <c r="C13" s="69">
        <v>60000</v>
      </c>
      <c r="D13" s="69">
        <v>60000</v>
      </c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6</v>
      </c>
      <c r="B14" s="70">
        <f>SUM(B5:B13)</f>
        <v>63548</v>
      </c>
      <c r="C14" s="70">
        <f t="shared" ref="C14:M14" si="1">SUM(C5:C13)</f>
        <v>72336</v>
      </c>
      <c r="D14" s="70">
        <f t="shared" si="1"/>
        <v>79778</v>
      </c>
      <c r="E14" s="70">
        <f t="shared" si="1"/>
        <v>0</v>
      </c>
      <c r="F14" s="70">
        <f t="shared" si="1"/>
        <v>0</v>
      </c>
      <c r="G14" s="70">
        <f t="shared" si="1"/>
        <v>0</v>
      </c>
      <c r="H14" s="70">
        <f t="shared" si="1"/>
        <v>0</v>
      </c>
      <c r="I14" s="70">
        <f t="shared" si="1"/>
        <v>0</v>
      </c>
      <c r="J14" s="70">
        <f t="shared" si="1"/>
        <v>0</v>
      </c>
      <c r="K14" s="70">
        <f t="shared" si="1"/>
        <v>0</v>
      </c>
      <c r="L14" s="70">
        <f t="shared" si="1"/>
        <v>0</v>
      </c>
      <c r="M14" s="70">
        <f t="shared" si="1"/>
        <v>0</v>
      </c>
    </row>
    <row r="15" spans="1:13" x14ac:dyDescent="0.2">
      <c r="A15" s="65" t="s">
        <v>7</v>
      </c>
      <c r="B15" s="71">
        <v>63548</v>
      </c>
      <c r="C15" s="71">
        <v>72336</v>
      </c>
      <c r="D15" s="71">
        <v>79778</v>
      </c>
      <c r="E15" s="71"/>
      <c r="F15" s="71"/>
      <c r="G15" s="71"/>
      <c r="H15" s="71"/>
      <c r="I15" s="71"/>
      <c r="J15" s="71"/>
      <c r="K15" s="71"/>
      <c r="L15" s="71"/>
      <c r="M15" s="71"/>
    </row>
    <row r="16" spans="1:13" x14ac:dyDescent="0.2">
      <c r="A16" s="65" t="s">
        <v>111</v>
      </c>
      <c r="B16" s="70">
        <f>B14-B15</f>
        <v>0</v>
      </c>
      <c r="C16" s="70">
        <f>C14-C15</f>
        <v>0</v>
      </c>
      <c r="D16" s="70">
        <f t="shared" ref="D16:M16" si="2">D14-D15</f>
        <v>0</v>
      </c>
      <c r="E16" s="70">
        <f t="shared" si="2"/>
        <v>0</v>
      </c>
      <c r="F16" s="70">
        <f t="shared" si="2"/>
        <v>0</v>
      </c>
      <c r="G16" s="70">
        <f t="shared" si="2"/>
        <v>0</v>
      </c>
      <c r="H16" s="70">
        <f t="shared" si="2"/>
        <v>0</v>
      </c>
      <c r="I16" s="70">
        <f t="shared" si="2"/>
        <v>0</v>
      </c>
      <c r="J16" s="70">
        <f t="shared" si="2"/>
        <v>0</v>
      </c>
      <c r="K16" s="70">
        <f t="shared" si="2"/>
        <v>0</v>
      </c>
      <c r="L16" s="70">
        <f t="shared" si="2"/>
        <v>0</v>
      </c>
      <c r="M16" s="70">
        <f t="shared" si="2"/>
        <v>0</v>
      </c>
    </row>
    <row r="20" spans="1:15" ht="18" x14ac:dyDescent="0.25">
      <c r="C20" s="49"/>
    </row>
    <row r="22" spans="1:15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5" x14ac:dyDescent="0.2">
      <c r="A23" s="81"/>
      <c r="B23" s="82">
        <v>44927</v>
      </c>
      <c r="C23" s="82">
        <v>44958</v>
      </c>
      <c r="D23" s="82">
        <v>44986</v>
      </c>
      <c r="E23" s="82">
        <v>45017</v>
      </c>
      <c r="F23" s="82">
        <v>45047</v>
      </c>
      <c r="G23" s="82">
        <v>45078</v>
      </c>
      <c r="H23" s="82">
        <v>45108</v>
      </c>
      <c r="I23" s="82">
        <v>45139</v>
      </c>
      <c r="J23" s="82">
        <v>45170</v>
      </c>
      <c r="K23" s="82">
        <v>45200</v>
      </c>
      <c r="L23" s="82">
        <v>45231</v>
      </c>
      <c r="M23" s="82">
        <v>45261</v>
      </c>
    </row>
    <row r="24" spans="1:15" ht="15" x14ac:dyDescent="0.2">
      <c r="A24" s="78" t="s">
        <v>110</v>
      </c>
      <c r="B24" s="42">
        <v>43405</v>
      </c>
      <c r="C24" s="42">
        <f>B35</f>
        <v>72205</v>
      </c>
      <c r="D24" s="42">
        <f t="shared" ref="D24:M24" si="3">C35</f>
        <v>97205</v>
      </c>
      <c r="E24" s="42">
        <f t="shared" si="3"/>
        <v>123025</v>
      </c>
      <c r="F24" s="42">
        <f t="shared" si="3"/>
        <v>151625</v>
      </c>
      <c r="G24" s="42">
        <f t="shared" si="3"/>
        <v>180225</v>
      </c>
      <c r="H24" s="42">
        <f t="shared" si="3"/>
        <v>208825</v>
      </c>
      <c r="I24" s="42">
        <f t="shared" si="3"/>
        <v>237425</v>
      </c>
      <c r="J24" s="42">
        <f t="shared" si="3"/>
        <v>266025</v>
      </c>
      <c r="K24" s="42">
        <f t="shared" si="3"/>
        <v>254625</v>
      </c>
      <c r="L24" s="42">
        <f t="shared" si="3"/>
        <v>254625</v>
      </c>
      <c r="M24" s="42">
        <f t="shared" si="3"/>
        <v>254625</v>
      </c>
      <c r="O24" s="56"/>
    </row>
    <row r="25" spans="1:15" x14ac:dyDescent="0.2">
      <c r="A25" s="78" t="s">
        <v>76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5" x14ac:dyDescent="0.2">
      <c r="A26" s="78" t="s">
        <v>3</v>
      </c>
      <c r="B26" s="42">
        <v>6000</v>
      </c>
      <c r="C26" s="42">
        <v>2200</v>
      </c>
      <c r="D26" s="42">
        <v>2020</v>
      </c>
      <c r="E26" s="42">
        <v>3000</v>
      </c>
      <c r="F26" s="42">
        <v>3000</v>
      </c>
      <c r="G26" s="42">
        <v>3000</v>
      </c>
      <c r="H26" s="42">
        <v>3000</v>
      </c>
      <c r="I26" s="42">
        <v>3000</v>
      </c>
      <c r="J26" s="42">
        <v>3000</v>
      </c>
      <c r="K26" s="42"/>
      <c r="L26" s="42"/>
      <c r="M26" s="42"/>
    </row>
    <row r="27" spans="1:15" x14ac:dyDescent="0.2">
      <c r="A27" s="78" t="s">
        <v>4</v>
      </c>
      <c r="B27" s="42">
        <v>2800</v>
      </c>
      <c r="C27" s="42">
        <v>2800</v>
      </c>
      <c r="D27" s="42">
        <v>1000</v>
      </c>
      <c r="E27" s="42">
        <v>2800</v>
      </c>
      <c r="F27" s="42">
        <v>2800</v>
      </c>
      <c r="G27" s="42">
        <v>2800</v>
      </c>
      <c r="H27" s="42">
        <v>2800</v>
      </c>
      <c r="I27" s="42">
        <v>2800</v>
      </c>
      <c r="J27" s="42">
        <v>2800</v>
      </c>
      <c r="K27" s="42"/>
      <c r="L27" s="42"/>
      <c r="M27" s="42"/>
    </row>
    <row r="28" spans="1:15" x14ac:dyDescent="0.2">
      <c r="A28" s="78" t="s">
        <v>9</v>
      </c>
      <c r="B28" s="42"/>
      <c r="C28" s="42"/>
      <c r="D28" s="42">
        <v>2800</v>
      </c>
      <c r="E28" s="42">
        <v>2800</v>
      </c>
      <c r="F28" s="42">
        <v>2800</v>
      </c>
      <c r="G28" s="42">
        <v>2800</v>
      </c>
      <c r="H28" s="42">
        <v>2800</v>
      </c>
      <c r="I28" s="42">
        <v>2800</v>
      </c>
      <c r="J28" s="42">
        <v>2800</v>
      </c>
      <c r="K28" s="42"/>
      <c r="L28" s="42"/>
      <c r="M28" s="42"/>
    </row>
    <row r="29" spans="1:15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5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5" x14ac:dyDescent="0.2">
      <c r="A31" s="78" t="s">
        <v>546</v>
      </c>
      <c r="B31" s="42"/>
      <c r="C31" s="42"/>
      <c r="D31" s="42"/>
      <c r="E31" s="42"/>
      <c r="F31" s="42"/>
      <c r="G31" s="42"/>
      <c r="H31" s="42"/>
      <c r="I31" s="42"/>
      <c r="J31" s="42">
        <v>60000</v>
      </c>
      <c r="K31" s="42"/>
      <c r="L31" s="42"/>
      <c r="M31" s="42"/>
    </row>
    <row r="32" spans="1:15" x14ac:dyDescent="0.2">
      <c r="A32" s="78" t="s">
        <v>5</v>
      </c>
      <c r="B32" s="42">
        <v>20000</v>
      </c>
      <c r="C32" s="42">
        <v>20000</v>
      </c>
      <c r="D32" s="42">
        <v>20000</v>
      </c>
      <c r="E32" s="42">
        <v>20000</v>
      </c>
      <c r="F32" s="42">
        <v>20000</v>
      </c>
      <c r="G32" s="42">
        <v>20000</v>
      </c>
      <c r="H32" s="42">
        <v>20000</v>
      </c>
      <c r="I32" s="42">
        <v>20000</v>
      </c>
      <c r="J32" s="42">
        <v>20000</v>
      </c>
      <c r="K32" s="42"/>
      <c r="L32" s="42"/>
      <c r="M32" s="42"/>
    </row>
    <row r="33" spans="1:13" x14ac:dyDescent="0.2">
      <c r="A33" s="78" t="s">
        <v>6</v>
      </c>
      <c r="B33" s="43">
        <f t="shared" ref="B33:M33" si="4">SUM(B24:B32)</f>
        <v>72205</v>
      </c>
      <c r="C33" s="43">
        <f t="shared" si="4"/>
        <v>97205</v>
      </c>
      <c r="D33" s="43">
        <f t="shared" si="4"/>
        <v>123025</v>
      </c>
      <c r="E33" s="43">
        <f t="shared" si="4"/>
        <v>151625</v>
      </c>
      <c r="F33" s="43">
        <f t="shared" si="4"/>
        <v>180225</v>
      </c>
      <c r="G33" s="43">
        <f t="shared" si="4"/>
        <v>208825</v>
      </c>
      <c r="H33" s="43">
        <f t="shared" si="4"/>
        <v>237425</v>
      </c>
      <c r="I33" s="43">
        <f t="shared" si="4"/>
        <v>266025</v>
      </c>
      <c r="J33" s="43">
        <f t="shared" si="4"/>
        <v>354625</v>
      </c>
      <c r="K33" s="43">
        <f t="shared" si="4"/>
        <v>254625</v>
      </c>
      <c r="L33" s="43">
        <f t="shared" si="4"/>
        <v>254625</v>
      </c>
      <c r="M33" s="43">
        <f t="shared" si="4"/>
        <v>254625</v>
      </c>
    </row>
    <row r="34" spans="1:13" ht="13.5" thickBot="1" x14ac:dyDescent="0.25">
      <c r="A34" s="78" t="s">
        <v>7</v>
      </c>
      <c r="B34" s="44"/>
      <c r="C34" s="44"/>
      <c r="D34" s="44"/>
      <c r="E34" s="44"/>
      <c r="F34" s="44"/>
      <c r="G34" s="44"/>
      <c r="H34" s="44"/>
      <c r="I34" s="44"/>
      <c r="J34" s="44">
        <v>100000</v>
      </c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72205</v>
      </c>
      <c r="C35" s="46">
        <f t="shared" si="5"/>
        <v>97205</v>
      </c>
      <c r="D35" s="46">
        <f t="shared" si="5"/>
        <v>123025</v>
      </c>
      <c r="E35" s="46">
        <f t="shared" si="5"/>
        <v>151625</v>
      </c>
      <c r="F35" s="46">
        <f t="shared" si="5"/>
        <v>180225</v>
      </c>
      <c r="G35" s="46">
        <f t="shared" si="5"/>
        <v>208825</v>
      </c>
      <c r="H35" s="46">
        <f t="shared" si="5"/>
        <v>237425</v>
      </c>
      <c r="I35" s="46">
        <f t="shared" si="5"/>
        <v>266025</v>
      </c>
      <c r="J35" s="46">
        <f t="shared" si="5"/>
        <v>254625</v>
      </c>
      <c r="K35" s="46">
        <f t="shared" si="5"/>
        <v>254625</v>
      </c>
      <c r="L35" s="46">
        <f t="shared" si="5"/>
        <v>254625</v>
      </c>
      <c r="M35" s="47">
        <f t="shared" si="5"/>
        <v>254625</v>
      </c>
    </row>
    <row r="36" spans="1:13" x14ac:dyDescent="0.2">
      <c r="J36" t="s">
        <v>699</v>
      </c>
    </row>
    <row r="38" spans="1:13" ht="15.75" x14ac:dyDescent="0.25">
      <c r="A38" s="31" t="s">
        <v>0</v>
      </c>
      <c r="B38" s="31" t="s">
        <v>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">
      <c r="A39" s="65"/>
      <c r="B39" s="68">
        <v>44562</v>
      </c>
      <c r="C39" s="68">
        <v>44593</v>
      </c>
      <c r="D39" s="68">
        <v>44621</v>
      </c>
      <c r="E39" s="68">
        <v>44652</v>
      </c>
      <c r="F39" s="68">
        <v>44682</v>
      </c>
      <c r="G39" s="68">
        <v>44713</v>
      </c>
      <c r="H39" s="68">
        <v>44743</v>
      </c>
      <c r="I39" s="68">
        <v>44774</v>
      </c>
      <c r="J39" s="68">
        <v>44805</v>
      </c>
      <c r="K39" s="68">
        <v>44835</v>
      </c>
      <c r="L39" s="68">
        <v>44866</v>
      </c>
      <c r="M39" s="68">
        <v>44896</v>
      </c>
    </row>
    <row r="40" spans="1:13" x14ac:dyDescent="0.2">
      <c r="A40" s="65" t="s">
        <v>110</v>
      </c>
      <c r="B40" s="69">
        <v>7600</v>
      </c>
      <c r="C40" s="69">
        <f t="shared" ref="C40:M40" si="6">B51</f>
        <v>17265</v>
      </c>
      <c r="D40" s="69">
        <f t="shared" si="6"/>
        <v>34465</v>
      </c>
      <c r="E40" s="69">
        <f t="shared" si="6"/>
        <v>31065</v>
      </c>
      <c r="F40" s="69">
        <f t="shared" si="6"/>
        <v>30665</v>
      </c>
      <c r="G40" s="69">
        <f t="shared" si="6"/>
        <v>38535</v>
      </c>
      <c r="H40" s="69">
        <f t="shared" si="6"/>
        <v>45135</v>
      </c>
      <c r="I40" s="69">
        <f t="shared" si="6"/>
        <v>13335</v>
      </c>
      <c r="J40" s="69">
        <f t="shared" si="6"/>
        <v>25235</v>
      </c>
      <c r="K40" s="69">
        <f t="shared" si="6"/>
        <v>22450</v>
      </c>
      <c r="L40" s="69">
        <f t="shared" si="6"/>
        <v>9950</v>
      </c>
      <c r="M40" s="69">
        <f t="shared" si="6"/>
        <v>29150</v>
      </c>
    </row>
    <row r="41" spans="1:13" x14ac:dyDescent="0.2">
      <c r="A41" s="65" t="s">
        <v>76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3" x14ac:dyDescent="0.2">
      <c r="A42" s="65" t="s">
        <v>3</v>
      </c>
      <c r="B42" s="69">
        <v>6450</v>
      </c>
      <c r="C42" s="69">
        <v>3600</v>
      </c>
      <c r="D42" s="69">
        <v>1000</v>
      </c>
      <c r="E42" s="69">
        <v>3000</v>
      </c>
      <c r="F42" s="69">
        <v>1270</v>
      </c>
      <c r="G42" s="69"/>
      <c r="H42" s="69">
        <v>1600</v>
      </c>
      <c r="I42" s="69">
        <v>5100</v>
      </c>
      <c r="J42" s="69">
        <v>1200</v>
      </c>
      <c r="K42" s="69">
        <v>1500</v>
      </c>
      <c r="L42" s="69">
        <v>6000</v>
      </c>
      <c r="M42" s="69">
        <v>1055</v>
      </c>
    </row>
    <row r="43" spans="1:13" x14ac:dyDescent="0.2">
      <c r="A43" s="65" t="s">
        <v>4</v>
      </c>
      <c r="B43" s="69">
        <v>1800</v>
      </c>
      <c r="C43" s="69">
        <v>800</v>
      </c>
      <c r="D43" s="69">
        <v>1600</v>
      </c>
      <c r="E43" s="69">
        <v>1600</v>
      </c>
      <c r="F43" s="69">
        <v>1600</v>
      </c>
      <c r="G43" s="69">
        <v>1600</v>
      </c>
      <c r="H43" s="69">
        <v>1600</v>
      </c>
      <c r="I43" s="69">
        <v>1800</v>
      </c>
      <c r="J43" s="69">
        <v>1000</v>
      </c>
      <c r="K43" s="69">
        <v>1000</v>
      </c>
      <c r="L43" s="69">
        <v>1600</v>
      </c>
      <c r="M43" s="69">
        <v>1600</v>
      </c>
    </row>
    <row r="44" spans="1:13" x14ac:dyDescent="0.2">
      <c r="A44" s="65" t="s">
        <v>9</v>
      </c>
      <c r="B44" s="69"/>
      <c r="C44" s="69"/>
      <c r="D44" s="69"/>
      <c r="E44" s="69"/>
      <c r="F44" s="69"/>
      <c r="G44" s="69"/>
      <c r="H44" s="69"/>
      <c r="I44" s="69"/>
      <c r="J44" s="69">
        <v>15</v>
      </c>
      <c r="K44" s="69"/>
      <c r="L44" s="69"/>
      <c r="M44" s="69"/>
    </row>
    <row r="45" spans="1:13" x14ac:dyDescent="0.2">
      <c r="A45" s="65" t="s">
        <v>571</v>
      </c>
      <c r="B45" s="69">
        <v>3100</v>
      </c>
      <c r="C45" s="69">
        <v>8800</v>
      </c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spans="1:13" x14ac:dyDescent="0.2">
      <c r="A46" s="65" t="s">
        <v>563</v>
      </c>
      <c r="B46" s="69">
        <v>12000</v>
      </c>
      <c r="C46" s="69"/>
      <c r="D46" s="69"/>
      <c r="E46" s="69"/>
      <c r="F46" s="69"/>
      <c r="G46" s="69"/>
      <c r="H46" s="69"/>
      <c r="I46" s="69"/>
      <c r="J46" s="69"/>
      <c r="K46" s="69"/>
      <c r="L46" s="69">
        <v>1600</v>
      </c>
      <c r="M46" s="69">
        <v>1600</v>
      </c>
    </row>
    <row r="47" spans="1:13" x14ac:dyDescent="0.2">
      <c r="A47" s="65" t="s">
        <v>75</v>
      </c>
      <c r="B47" s="69">
        <v>2315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3" x14ac:dyDescent="0.2">
      <c r="A48" s="65" t="s">
        <v>5</v>
      </c>
      <c r="B48" s="69">
        <v>4000</v>
      </c>
      <c r="C48" s="69">
        <v>4000</v>
      </c>
      <c r="D48" s="69">
        <v>4000</v>
      </c>
      <c r="E48" s="69">
        <v>5000</v>
      </c>
      <c r="F48" s="69">
        <v>5000</v>
      </c>
      <c r="G48" s="69">
        <v>5000</v>
      </c>
      <c r="H48" s="69">
        <v>5000</v>
      </c>
      <c r="I48" s="69">
        <v>5000</v>
      </c>
      <c r="J48" s="69">
        <v>5000</v>
      </c>
      <c r="K48" s="69">
        <v>5000</v>
      </c>
      <c r="L48" s="69">
        <v>10000</v>
      </c>
      <c r="M48" s="69">
        <v>10000</v>
      </c>
    </row>
    <row r="49" spans="1:13" x14ac:dyDescent="0.2">
      <c r="A49" s="65" t="s">
        <v>6</v>
      </c>
      <c r="B49" s="70">
        <f>SUM(B40:B48)</f>
        <v>37265</v>
      </c>
      <c r="C49" s="70">
        <f t="shared" ref="C49:M49" si="7">SUM(C40:C48)</f>
        <v>34465</v>
      </c>
      <c r="D49" s="70">
        <f t="shared" si="7"/>
        <v>41065</v>
      </c>
      <c r="E49" s="70">
        <f t="shared" si="7"/>
        <v>40665</v>
      </c>
      <c r="F49" s="70">
        <f t="shared" si="7"/>
        <v>38535</v>
      </c>
      <c r="G49" s="70">
        <f t="shared" si="7"/>
        <v>45135</v>
      </c>
      <c r="H49" s="70">
        <f t="shared" si="7"/>
        <v>53335</v>
      </c>
      <c r="I49" s="70">
        <f t="shared" si="7"/>
        <v>25235</v>
      </c>
      <c r="J49" s="70">
        <f t="shared" si="7"/>
        <v>32450</v>
      </c>
      <c r="K49" s="70">
        <f t="shared" si="7"/>
        <v>29950</v>
      </c>
      <c r="L49" s="70">
        <f t="shared" si="7"/>
        <v>29150</v>
      </c>
      <c r="M49" s="70">
        <f t="shared" si="7"/>
        <v>43405</v>
      </c>
    </row>
    <row r="50" spans="1:13" x14ac:dyDescent="0.2">
      <c r="A50" s="65" t="s">
        <v>7</v>
      </c>
      <c r="B50" s="71">
        <v>20000</v>
      </c>
      <c r="C50" s="71"/>
      <c r="D50" s="71">
        <v>10000</v>
      </c>
      <c r="E50" s="71">
        <v>10000</v>
      </c>
      <c r="F50" s="71"/>
      <c r="G50" s="71"/>
      <c r="H50" s="71">
        <v>40000</v>
      </c>
      <c r="I50" s="71"/>
      <c r="J50" s="71">
        <v>10000</v>
      </c>
      <c r="K50" s="71">
        <v>20000</v>
      </c>
      <c r="L50" s="71"/>
      <c r="M50" s="71"/>
    </row>
    <row r="51" spans="1:13" x14ac:dyDescent="0.2">
      <c r="A51" s="65" t="s">
        <v>111</v>
      </c>
      <c r="B51" s="70">
        <f>B49-B50</f>
        <v>17265</v>
      </c>
      <c r="C51" s="70">
        <f>C49-C50</f>
        <v>34465</v>
      </c>
      <c r="D51" s="70">
        <f t="shared" ref="D51:M51" si="8">D49-D50</f>
        <v>31065</v>
      </c>
      <c r="E51" s="70">
        <f t="shared" si="8"/>
        <v>30665</v>
      </c>
      <c r="F51" s="70">
        <f t="shared" si="8"/>
        <v>38535</v>
      </c>
      <c r="G51" s="70">
        <f t="shared" si="8"/>
        <v>45135</v>
      </c>
      <c r="H51" s="70">
        <f t="shared" si="8"/>
        <v>13335</v>
      </c>
      <c r="I51" s="70">
        <f t="shared" si="8"/>
        <v>25235</v>
      </c>
      <c r="J51" s="70">
        <f t="shared" si="8"/>
        <v>22450</v>
      </c>
      <c r="K51" s="70">
        <f t="shared" si="8"/>
        <v>9950</v>
      </c>
      <c r="L51" s="70">
        <f t="shared" si="8"/>
        <v>29150</v>
      </c>
      <c r="M51" s="70">
        <f t="shared" si="8"/>
        <v>43405</v>
      </c>
    </row>
    <row r="53" spans="1:13" x14ac:dyDescent="0.2">
      <c r="A53" t="s">
        <v>250</v>
      </c>
    </row>
    <row r="59" spans="1:13" x14ac:dyDescent="0.2">
      <c r="B59">
        <v>2100</v>
      </c>
      <c r="C59" t="s">
        <v>311</v>
      </c>
      <c r="E59" t="s">
        <v>313</v>
      </c>
    </row>
    <row r="60" spans="1:13" x14ac:dyDescent="0.2">
      <c r="B60">
        <f>B58-B59</f>
        <v>-2100</v>
      </c>
      <c r="C60" t="s">
        <v>312</v>
      </c>
    </row>
    <row r="62" spans="1:13" x14ac:dyDescent="0.2">
      <c r="A62" t="s">
        <v>515</v>
      </c>
      <c r="B62">
        <v>18620</v>
      </c>
      <c r="D62" t="s">
        <v>527</v>
      </c>
      <c r="E62">
        <v>2505</v>
      </c>
    </row>
    <row r="63" spans="1:13" x14ac:dyDescent="0.2">
      <c r="A63" t="s">
        <v>521</v>
      </c>
      <c r="B63">
        <v>4622</v>
      </c>
      <c r="D63" t="s">
        <v>522</v>
      </c>
    </row>
    <row r="64" spans="1:13" x14ac:dyDescent="0.2">
      <c r="B64">
        <f>SUM(B62:B63)</f>
        <v>23242</v>
      </c>
      <c r="D64" t="s">
        <v>528</v>
      </c>
      <c r="E64">
        <v>4000</v>
      </c>
    </row>
    <row r="65" spans="1:5" x14ac:dyDescent="0.2">
      <c r="A65" s="78" t="s">
        <v>519</v>
      </c>
      <c r="B65">
        <v>20000</v>
      </c>
      <c r="E65">
        <f>+E62+E63-E64</f>
        <v>-1495</v>
      </c>
    </row>
    <row r="66" spans="1:5" x14ac:dyDescent="0.2">
      <c r="A66" s="78" t="s">
        <v>312</v>
      </c>
      <c r="B66">
        <f>B64-B65</f>
        <v>3242</v>
      </c>
    </row>
    <row r="67" spans="1:5" x14ac:dyDescent="0.2">
      <c r="A67" s="78" t="s">
        <v>334</v>
      </c>
      <c r="B67">
        <v>3000</v>
      </c>
    </row>
    <row r="68" spans="1:5" x14ac:dyDescent="0.2">
      <c r="A68" s="78" t="s">
        <v>8</v>
      </c>
      <c r="B68">
        <f>B66-B67</f>
        <v>242</v>
      </c>
    </row>
    <row r="69" spans="1:5" x14ac:dyDescent="0.2">
      <c r="A69" s="78" t="s">
        <v>522</v>
      </c>
      <c r="B69">
        <v>690</v>
      </c>
    </row>
    <row r="70" spans="1:5" x14ac:dyDescent="0.2">
      <c r="A70" s="78" t="s">
        <v>523</v>
      </c>
      <c r="B70">
        <f>B68+B69</f>
        <v>932</v>
      </c>
    </row>
  </sheetData>
  <mergeCells count="1">
    <mergeCell ref="B1:G1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/>
  <dimension ref="A3:M33"/>
  <sheetViews>
    <sheetView topLeftCell="A4" workbookViewId="0">
      <selection activeCell="F14" sqref="F14"/>
    </sheetView>
  </sheetViews>
  <sheetFormatPr baseColWidth="10" defaultRowHeight="12.75" x14ac:dyDescent="0.2"/>
  <cols>
    <col min="1" max="1" width="32.28515625" customWidth="1"/>
    <col min="5" max="5" width="12.5703125" bestFit="1" customWidth="1"/>
    <col min="9" max="9" width="12.5703125" bestFit="1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>
        <v>40300</v>
      </c>
      <c r="C5" s="42">
        <f t="shared" ref="C5:M5" si="0">B16</f>
        <v>0</v>
      </c>
      <c r="D5" s="42">
        <f t="shared" si="0"/>
        <v>50000</v>
      </c>
      <c r="E5" s="42">
        <f t="shared" si="0"/>
        <v>100000</v>
      </c>
      <c r="F5" s="42">
        <f t="shared" si="0"/>
        <v>0</v>
      </c>
      <c r="G5" s="42">
        <f t="shared" si="0"/>
        <v>50000</v>
      </c>
      <c r="H5" s="42">
        <f t="shared" si="0"/>
        <v>50000</v>
      </c>
      <c r="I5" s="42">
        <f t="shared" si="0"/>
        <v>50000</v>
      </c>
      <c r="J5" s="42">
        <f t="shared" si="0"/>
        <v>50000</v>
      </c>
      <c r="K5" s="42">
        <f t="shared" si="0"/>
        <v>50000</v>
      </c>
      <c r="L5" s="42">
        <f t="shared" si="0"/>
        <v>50000</v>
      </c>
      <c r="M5" s="42">
        <f t="shared" si="0"/>
        <v>50000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27900</v>
      </c>
      <c r="C8" s="42">
        <v>30000</v>
      </c>
      <c r="D8" s="42">
        <v>30000</v>
      </c>
      <c r="E8" s="42">
        <v>30000</v>
      </c>
      <c r="F8" s="42">
        <v>30000</v>
      </c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15000</v>
      </c>
      <c r="C13" s="42">
        <v>20000</v>
      </c>
      <c r="D13" s="42">
        <v>20000</v>
      </c>
      <c r="E13" s="42">
        <v>20000</v>
      </c>
      <c r="F13" s="42">
        <v>20000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83200</v>
      </c>
      <c r="C14" s="43">
        <f t="shared" si="1"/>
        <v>50000</v>
      </c>
      <c r="D14" s="43">
        <f t="shared" si="1"/>
        <v>100000</v>
      </c>
      <c r="E14" s="43">
        <f t="shared" si="1"/>
        <v>150000</v>
      </c>
      <c r="F14" s="43">
        <f t="shared" si="1"/>
        <v>50000</v>
      </c>
      <c r="G14" s="43">
        <f t="shared" si="1"/>
        <v>50000</v>
      </c>
      <c r="H14" s="43">
        <f t="shared" si="1"/>
        <v>50000</v>
      </c>
      <c r="I14" s="43">
        <f t="shared" si="1"/>
        <v>50000</v>
      </c>
      <c r="J14" s="43">
        <f t="shared" si="1"/>
        <v>50000</v>
      </c>
      <c r="K14" s="43">
        <f t="shared" si="1"/>
        <v>50000</v>
      </c>
      <c r="L14" s="43">
        <f t="shared" si="1"/>
        <v>50000</v>
      </c>
      <c r="M14" s="43">
        <f t="shared" si="1"/>
        <v>50000</v>
      </c>
    </row>
    <row r="15" spans="1:13" ht="13.5" thickBot="1" x14ac:dyDescent="0.25">
      <c r="A15" s="78" t="s">
        <v>7</v>
      </c>
      <c r="B15" s="44">
        <v>83200</v>
      </c>
      <c r="C15" s="44"/>
      <c r="D15" s="44"/>
      <c r="E15" s="44">
        <v>150000</v>
      </c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50000</v>
      </c>
      <c r="D16" s="46">
        <f t="shared" si="2"/>
        <v>100000</v>
      </c>
      <c r="E16" s="46">
        <f t="shared" si="2"/>
        <v>0</v>
      </c>
      <c r="F16" s="46">
        <f t="shared" si="2"/>
        <v>50000</v>
      </c>
      <c r="G16" s="46">
        <f t="shared" si="2"/>
        <v>50000</v>
      </c>
      <c r="H16" s="46">
        <f t="shared" si="2"/>
        <v>50000</v>
      </c>
      <c r="I16" s="46">
        <f t="shared" si="2"/>
        <v>50000</v>
      </c>
      <c r="J16" s="46">
        <f t="shared" si="2"/>
        <v>50000</v>
      </c>
      <c r="K16" s="46">
        <f t="shared" si="2"/>
        <v>50000</v>
      </c>
      <c r="L16" s="46">
        <f t="shared" si="2"/>
        <v>50000</v>
      </c>
      <c r="M16" s="47">
        <f t="shared" si="2"/>
        <v>50000</v>
      </c>
    </row>
    <row r="17" spans="1:13" x14ac:dyDescent="0.2">
      <c r="K17" s="128">
        <v>44874</v>
      </c>
    </row>
    <row r="20" spans="1:13" ht="15.75" x14ac:dyDescent="0.25">
      <c r="A20" s="33"/>
      <c r="B20" s="34">
        <v>45658</v>
      </c>
      <c r="C20" s="34">
        <v>45689</v>
      </c>
      <c r="D20" s="34">
        <v>45717</v>
      </c>
      <c r="E20" s="34">
        <v>45748</v>
      </c>
      <c r="F20" s="34">
        <v>45778</v>
      </c>
      <c r="G20" s="34">
        <v>45809</v>
      </c>
      <c r="H20" s="34">
        <v>45839</v>
      </c>
      <c r="I20" s="34">
        <v>45870</v>
      </c>
      <c r="J20" s="34">
        <v>45901</v>
      </c>
      <c r="K20" s="34">
        <v>45931</v>
      </c>
      <c r="L20" s="34">
        <v>45962</v>
      </c>
      <c r="M20" s="34">
        <v>45992</v>
      </c>
    </row>
    <row r="21" spans="1:13" ht="15" x14ac:dyDescent="0.2">
      <c r="A21" s="8" t="s">
        <v>110</v>
      </c>
      <c r="B21" s="42"/>
      <c r="C21" s="42">
        <f>B32</f>
        <v>0</v>
      </c>
      <c r="D21" s="42">
        <f t="shared" ref="D21:M21" si="3">C32</f>
        <v>0</v>
      </c>
      <c r="E21" s="42">
        <f t="shared" si="3"/>
        <v>37300</v>
      </c>
      <c r="F21" s="42">
        <f t="shared" si="3"/>
        <v>0</v>
      </c>
      <c r="G21" s="42">
        <f t="shared" si="3"/>
        <v>37300</v>
      </c>
      <c r="H21" s="42">
        <f t="shared" si="3"/>
        <v>74600</v>
      </c>
      <c r="I21" s="42">
        <f t="shared" si="3"/>
        <v>0</v>
      </c>
      <c r="J21" s="42">
        <f t="shared" si="3"/>
        <v>300</v>
      </c>
      <c r="K21" s="42">
        <f t="shared" si="3"/>
        <v>2600</v>
      </c>
      <c r="L21" s="42">
        <f t="shared" si="3"/>
        <v>42900</v>
      </c>
      <c r="M21" s="42">
        <f t="shared" si="3"/>
        <v>0</v>
      </c>
    </row>
    <row r="22" spans="1:13" ht="15" x14ac:dyDescent="0.2">
      <c r="A22" s="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ht="15" x14ac:dyDescent="0.2">
      <c r="A23" s="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4</v>
      </c>
      <c r="B24" s="42">
        <v>22300</v>
      </c>
      <c r="C24" s="42">
        <v>22300</v>
      </c>
      <c r="D24" s="42">
        <v>22300</v>
      </c>
      <c r="E24" s="42">
        <v>22300</v>
      </c>
      <c r="F24" s="42">
        <v>22300</v>
      </c>
      <c r="G24" s="42">
        <v>22300</v>
      </c>
      <c r="H24" s="42">
        <v>25300</v>
      </c>
      <c r="I24" s="42">
        <v>25300</v>
      </c>
      <c r="J24" s="42">
        <v>25300</v>
      </c>
      <c r="K24" s="42">
        <v>25300</v>
      </c>
      <c r="L24" s="42">
        <v>25300</v>
      </c>
      <c r="M24" s="42">
        <v>25300</v>
      </c>
    </row>
    <row r="25" spans="1:13" ht="15" x14ac:dyDescent="0.2">
      <c r="A25" s="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5</v>
      </c>
      <c r="B29" s="42">
        <v>15000</v>
      </c>
      <c r="C29" s="42">
        <v>15000</v>
      </c>
      <c r="D29" s="42">
        <v>15000</v>
      </c>
      <c r="E29" s="42">
        <v>15000</v>
      </c>
      <c r="F29" s="42">
        <v>15000</v>
      </c>
      <c r="G29" s="42">
        <v>15000</v>
      </c>
      <c r="H29" s="42">
        <v>15000</v>
      </c>
      <c r="I29" s="42">
        <v>15000</v>
      </c>
      <c r="J29" s="42">
        <v>15000</v>
      </c>
      <c r="K29" s="42">
        <v>15000</v>
      </c>
      <c r="L29" s="42">
        <v>15000</v>
      </c>
      <c r="M29" s="42">
        <v>15000</v>
      </c>
    </row>
    <row r="30" spans="1:13" ht="15" x14ac:dyDescent="0.2">
      <c r="A30" s="8" t="s">
        <v>6</v>
      </c>
      <c r="B30" s="43">
        <f t="shared" ref="B30:M30" si="4">SUM(B21:B29)</f>
        <v>37300</v>
      </c>
      <c r="C30" s="43">
        <f t="shared" si="4"/>
        <v>37300</v>
      </c>
      <c r="D30" s="43">
        <f t="shared" si="4"/>
        <v>37300</v>
      </c>
      <c r="E30" s="43">
        <f t="shared" si="4"/>
        <v>74600</v>
      </c>
      <c r="F30" s="43">
        <f t="shared" si="4"/>
        <v>37300</v>
      </c>
      <c r="G30" s="43">
        <f t="shared" si="4"/>
        <v>74600</v>
      </c>
      <c r="H30" s="43">
        <f t="shared" si="4"/>
        <v>114900</v>
      </c>
      <c r="I30" s="43">
        <f t="shared" si="4"/>
        <v>40300</v>
      </c>
      <c r="J30" s="43">
        <f t="shared" si="4"/>
        <v>40600</v>
      </c>
      <c r="K30" s="43">
        <f t="shared" si="4"/>
        <v>42900</v>
      </c>
      <c r="L30" s="43">
        <f t="shared" si="4"/>
        <v>83200</v>
      </c>
      <c r="M30" s="43">
        <f t="shared" si="4"/>
        <v>40300</v>
      </c>
    </row>
    <row r="31" spans="1:13" ht="15.75" thickBot="1" x14ac:dyDescent="0.25">
      <c r="A31" s="8" t="s">
        <v>7</v>
      </c>
      <c r="B31" s="44">
        <v>37300</v>
      </c>
      <c r="C31" s="44">
        <v>37300</v>
      </c>
      <c r="D31" s="44"/>
      <c r="E31" s="44">
        <v>74600</v>
      </c>
      <c r="F31" s="44"/>
      <c r="G31" s="44"/>
      <c r="H31" s="44">
        <v>114900</v>
      </c>
      <c r="I31" s="44">
        <v>40000</v>
      </c>
      <c r="J31" s="44">
        <v>38000</v>
      </c>
      <c r="K31" s="44"/>
      <c r="L31" s="44">
        <v>83200</v>
      </c>
      <c r="M31" s="44">
        <v>40300</v>
      </c>
    </row>
    <row r="32" spans="1:13" ht="15.75" thickBot="1" x14ac:dyDescent="0.25">
      <c r="A32" s="8" t="s">
        <v>111</v>
      </c>
      <c r="B32" s="45">
        <f t="shared" ref="B32:M32" si="5">B30-B31</f>
        <v>0</v>
      </c>
      <c r="C32" s="46">
        <f t="shared" si="5"/>
        <v>0</v>
      </c>
      <c r="D32" s="46">
        <f t="shared" si="5"/>
        <v>37300</v>
      </c>
      <c r="E32" s="46">
        <f t="shared" si="5"/>
        <v>0</v>
      </c>
      <c r="F32" s="46">
        <f t="shared" si="5"/>
        <v>37300</v>
      </c>
      <c r="G32" s="46">
        <f t="shared" si="5"/>
        <v>74600</v>
      </c>
      <c r="H32" s="46">
        <f t="shared" si="5"/>
        <v>0</v>
      </c>
      <c r="I32" s="46">
        <f t="shared" si="5"/>
        <v>300</v>
      </c>
      <c r="J32" s="46">
        <f t="shared" si="5"/>
        <v>2600</v>
      </c>
      <c r="K32" s="46">
        <f t="shared" si="5"/>
        <v>42900</v>
      </c>
      <c r="L32" s="46">
        <f t="shared" si="5"/>
        <v>0</v>
      </c>
      <c r="M32" s="47">
        <f t="shared" si="5"/>
        <v>0</v>
      </c>
    </row>
    <row r="33" spans="2:5" x14ac:dyDescent="0.2">
      <c r="B33" s="128">
        <v>43497</v>
      </c>
      <c r="E33" s="128">
        <v>43599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/>
  <dimension ref="A3:M33"/>
  <sheetViews>
    <sheetView topLeftCell="A4" workbookViewId="0">
      <selection activeCell="E13" sqref="E13:J13"/>
    </sheetView>
  </sheetViews>
  <sheetFormatPr baseColWidth="10" defaultRowHeight="12.75" x14ac:dyDescent="0.2"/>
  <cols>
    <col min="1" max="1" width="30.5703125" customWidth="1"/>
    <col min="10" max="11" width="12.85546875" customWidth="1"/>
    <col min="12" max="12" width="12.5703125" customWidth="1"/>
    <col min="13" max="13" width="14.285156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>
        <v>500000</v>
      </c>
      <c r="C5" s="42">
        <f t="shared" ref="C5:M5" si="0">B16</f>
        <v>590000</v>
      </c>
      <c r="D5" s="42">
        <f t="shared" si="0"/>
        <v>80000</v>
      </c>
      <c r="E5" s="42">
        <f t="shared" si="0"/>
        <v>163750</v>
      </c>
      <c r="F5" s="42">
        <f t="shared" si="0"/>
        <v>313750</v>
      </c>
      <c r="G5" s="42">
        <f t="shared" si="0"/>
        <v>463750</v>
      </c>
      <c r="H5" s="42">
        <f t="shared" si="0"/>
        <v>613750</v>
      </c>
      <c r="I5" s="42">
        <f t="shared" si="0"/>
        <v>763750</v>
      </c>
      <c r="J5" s="42">
        <f t="shared" si="0"/>
        <v>913750</v>
      </c>
      <c r="K5" s="42">
        <f t="shared" si="0"/>
        <v>1063750</v>
      </c>
      <c r="L5" s="42">
        <f t="shared" si="0"/>
        <v>1063750</v>
      </c>
      <c r="M5" s="42">
        <f t="shared" si="0"/>
        <v>1063750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534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90000</v>
      </c>
      <c r="C13" s="42">
        <v>90000</v>
      </c>
      <c r="D13" s="42">
        <v>100000</v>
      </c>
      <c r="E13" s="42">
        <v>150000</v>
      </c>
      <c r="F13" s="42">
        <v>150000</v>
      </c>
      <c r="G13" s="42">
        <v>150000</v>
      </c>
      <c r="H13" s="42">
        <v>150000</v>
      </c>
      <c r="I13" s="42">
        <v>150000</v>
      </c>
      <c r="J13" s="42">
        <v>150000</v>
      </c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590000</v>
      </c>
      <c r="C14" s="43">
        <f t="shared" si="1"/>
        <v>680000</v>
      </c>
      <c r="D14" s="43">
        <f t="shared" si="1"/>
        <v>180000</v>
      </c>
      <c r="E14" s="43">
        <f t="shared" si="1"/>
        <v>313750</v>
      </c>
      <c r="F14" s="43">
        <f t="shared" si="1"/>
        <v>463750</v>
      </c>
      <c r="G14" s="43">
        <f t="shared" si="1"/>
        <v>613750</v>
      </c>
      <c r="H14" s="43">
        <f t="shared" si="1"/>
        <v>763750</v>
      </c>
      <c r="I14" s="43">
        <f t="shared" si="1"/>
        <v>913750</v>
      </c>
      <c r="J14" s="43">
        <f t="shared" si="1"/>
        <v>1063750</v>
      </c>
      <c r="K14" s="43">
        <f t="shared" si="1"/>
        <v>1063750</v>
      </c>
      <c r="L14" s="43">
        <f t="shared" si="1"/>
        <v>1063750</v>
      </c>
      <c r="M14" s="43">
        <f t="shared" si="1"/>
        <v>1063750</v>
      </c>
    </row>
    <row r="15" spans="1:13" ht="13.5" thickBot="1" x14ac:dyDescent="0.25">
      <c r="A15" s="78" t="s">
        <v>7</v>
      </c>
      <c r="B15" s="44"/>
      <c r="C15" s="44">
        <v>600000</v>
      </c>
      <c r="D15" s="44">
        <v>16250</v>
      </c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590000</v>
      </c>
      <c r="C16" s="46">
        <f t="shared" si="2"/>
        <v>80000</v>
      </c>
      <c r="D16" s="46">
        <f t="shared" si="2"/>
        <v>163750</v>
      </c>
      <c r="E16" s="46">
        <f t="shared" si="2"/>
        <v>313750</v>
      </c>
      <c r="F16" s="46">
        <f t="shared" si="2"/>
        <v>463750</v>
      </c>
      <c r="G16" s="46">
        <f t="shared" si="2"/>
        <v>613750</v>
      </c>
      <c r="H16" s="46">
        <f t="shared" si="2"/>
        <v>763750</v>
      </c>
      <c r="I16" s="46">
        <f t="shared" si="2"/>
        <v>913750</v>
      </c>
      <c r="J16" s="46">
        <f t="shared" si="2"/>
        <v>1063750</v>
      </c>
      <c r="K16" s="46">
        <f t="shared" si="2"/>
        <v>1063750</v>
      </c>
      <c r="L16" s="46">
        <f t="shared" si="2"/>
        <v>1063750</v>
      </c>
      <c r="M16" s="47">
        <f t="shared" si="2"/>
        <v>1063750</v>
      </c>
    </row>
    <row r="18" spans="1:13" ht="15.75" x14ac:dyDescent="0.25">
      <c r="A18" s="32" t="s">
        <v>0</v>
      </c>
      <c r="B18" s="32" t="s">
        <v>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x14ac:dyDescent="0.2">
      <c r="A19" s="81"/>
      <c r="B19" s="82">
        <v>45292</v>
      </c>
      <c r="C19" s="82">
        <v>45323</v>
      </c>
      <c r="D19" s="82">
        <v>45352</v>
      </c>
      <c r="E19" s="82">
        <v>45383</v>
      </c>
      <c r="F19" s="82">
        <v>45413</v>
      </c>
      <c r="G19" s="82">
        <v>45444</v>
      </c>
      <c r="H19" s="82">
        <v>45474</v>
      </c>
      <c r="I19" s="82">
        <v>45505</v>
      </c>
      <c r="J19" s="82">
        <v>45536</v>
      </c>
      <c r="K19" s="82">
        <v>45566</v>
      </c>
      <c r="L19" s="82">
        <v>45597</v>
      </c>
      <c r="M19" s="82">
        <v>45627</v>
      </c>
    </row>
    <row r="20" spans="1:13" x14ac:dyDescent="0.2">
      <c r="A20" s="78" t="s">
        <v>110</v>
      </c>
      <c r="B20" s="42">
        <v>360000</v>
      </c>
      <c r="C20" s="42">
        <f t="shared" ref="C20:M20" si="3">B31</f>
        <v>400000</v>
      </c>
      <c r="D20" s="42">
        <f t="shared" si="3"/>
        <v>440000</v>
      </c>
      <c r="E20" s="42">
        <f t="shared" si="3"/>
        <v>480000</v>
      </c>
      <c r="F20" s="42">
        <f t="shared" si="3"/>
        <v>470000</v>
      </c>
      <c r="G20" s="42">
        <f t="shared" si="3"/>
        <v>0</v>
      </c>
      <c r="H20" s="42">
        <f t="shared" si="3"/>
        <v>60000</v>
      </c>
      <c r="I20" s="42">
        <f t="shared" si="3"/>
        <v>120000</v>
      </c>
      <c r="J20" s="42">
        <f t="shared" si="3"/>
        <v>180000</v>
      </c>
      <c r="K20" s="42">
        <f t="shared" si="3"/>
        <v>260000</v>
      </c>
      <c r="L20" s="42">
        <f t="shared" si="3"/>
        <v>340000</v>
      </c>
      <c r="M20" s="42">
        <f t="shared" si="3"/>
        <v>420000</v>
      </c>
    </row>
    <row r="21" spans="1:13" x14ac:dyDescent="0.2">
      <c r="A21" s="78" t="s">
        <v>76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534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/>
      <c r="D27" s="42"/>
      <c r="E27" s="42">
        <v>-20000</v>
      </c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40000</v>
      </c>
      <c r="C28" s="42">
        <v>40000</v>
      </c>
      <c r="D28" s="42">
        <v>40000</v>
      </c>
      <c r="E28" s="42">
        <v>40000</v>
      </c>
      <c r="F28" s="42">
        <v>30000</v>
      </c>
      <c r="G28" s="42">
        <v>60000</v>
      </c>
      <c r="H28" s="42">
        <v>60000</v>
      </c>
      <c r="I28" s="42">
        <v>60000</v>
      </c>
      <c r="J28" s="42">
        <v>80000</v>
      </c>
      <c r="K28" s="42">
        <v>80000</v>
      </c>
      <c r="L28" s="42">
        <v>80000</v>
      </c>
      <c r="M28" s="42">
        <v>80000</v>
      </c>
    </row>
    <row r="29" spans="1:13" x14ac:dyDescent="0.2">
      <c r="A29" s="78" t="s">
        <v>6</v>
      </c>
      <c r="B29" s="43">
        <f t="shared" ref="B29:M29" si="4">SUM(B20:B28)</f>
        <v>400000</v>
      </c>
      <c r="C29" s="43">
        <f t="shared" si="4"/>
        <v>440000</v>
      </c>
      <c r="D29" s="43">
        <f t="shared" si="4"/>
        <v>480000</v>
      </c>
      <c r="E29" s="43">
        <f t="shared" si="4"/>
        <v>500000</v>
      </c>
      <c r="F29" s="43">
        <f t="shared" si="4"/>
        <v>500000</v>
      </c>
      <c r="G29" s="43">
        <f t="shared" si="4"/>
        <v>60000</v>
      </c>
      <c r="H29" s="43">
        <f t="shared" si="4"/>
        <v>120000</v>
      </c>
      <c r="I29" s="43">
        <f t="shared" si="4"/>
        <v>180000</v>
      </c>
      <c r="J29" s="43">
        <f t="shared" si="4"/>
        <v>260000</v>
      </c>
      <c r="K29" s="43">
        <f t="shared" si="4"/>
        <v>340000</v>
      </c>
      <c r="L29" s="43">
        <f t="shared" si="4"/>
        <v>420000</v>
      </c>
      <c r="M29" s="43">
        <f t="shared" si="4"/>
        <v>500000</v>
      </c>
    </row>
    <row r="30" spans="1:13" ht="13.5" thickBot="1" x14ac:dyDescent="0.25">
      <c r="A30" s="78" t="s">
        <v>7</v>
      </c>
      <c r="B30" s="44"/>
      <c r="C30" s="44"/>
      <c r="D30" s="44"/>
      <c r="E30" s="44">
        <v>30000</v>
      </c>
      <c r="F30" s="44">
        <v>500000</v>
      </c>
      <c r="G30" s="44"/>
      <c r="H30" s="44"/>
      <c r="I30" s="44"/>
      <c r="J30" s="44"/>
      <c r="K30" s="44"/>
      <c r="L30" s="44"/>
      <c r="M30" s="44"/>
    </row>
    <row r="31" spans="1:13" ht="13.5" thickBot="1" x14ac:dyDescent="0.25">
      <c r="A31" s="78" t="s">
        <v>111</v>
      </c>
      <c r="B31" s="45">
        <f t="shared" ref="B31:M31" si="5">B29-B30</f>
        <v>400000</v>
      </c>
      <c r="C31" s="46">
        <f t="shared" si="5"/>
        <v>440000</v>
      </c>
      <c r="D31" s="46">
        <f t="shared" si="5"/>
        <v>480000</v>
      </c>
      <c r="E31" s="46">
        <f t="shared" si="5"/>
        <v>470000</v>
      </c>
      <c r="F31" s="46">
        <f t="shared" si="5"/>
        <v>0</v>
      </c>
      <c r="G31" s="46">
        <f t="shared" si="5"/>
        <v>60000</v>
      </c>
      <c r="H31" s="46">
        <f t="shared" si="5"/>
        <v>120000</v>
      </c>
      <c r="I31" s="46">
        <f t="shared" si="5"/>
        <v>180000</v>
      </c>
      <c r="J31" s="46">
        <f t="shared" si="5"/>
        <v>260000</v>
      </c>
      <c r="K31" s="46">
        <f t="shared" si="5"/>
        <v>340000</v>
      </c>
      <c r="L31" s="46">
        <f t="shared" si="5"/>
        <v>420000</v>
      </c>
      <c r="M31" s="47">
        <f t="shared" si="5"/>
        <v>500000</v>
      </c>
    </row>
    <row r="32" spans="1:13" x14ac:dyDescent="0.2">
      <c r="F32" t="s">
        <v>690</v>
      </c>
    </row>
    <row r="33" spans="6:6" x14ac:dyDescent="0.2">
      <c r="F33" t="s">
        <v>691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/>
  <dimension ref="A1:M56"/>
  <sheetViews>
    <sheetView topLeftCell="A40" workbookViewId="0">
      <selection activeCell="E50" sqref="E50:F50"/>
    </sheetView>
  </sheetViews>
  <sheetFormatPr baseColWidth="10" defaultRowHeight="12.75" x14ac:dyDescent="0.2"/>
  <cols>
    <col min="1" max="1" width="32.140625" customWidth="1"/>
    <col min="4" max="4" width="12.42578125" customWidth="1"/>
    <col min="5" max="5" width="11.7109375" customWidth="1"/>
    <col min="6" max="6" width="12.140625" customWidth="1"/>
    <col min="7" max="7" width="12.42578125" customWidth="1"/>
    <col min="8" max="8" width="12.7109375" customWidth="1"/>
    <col min="9" max="9" width="12.28515625" customWidth="1"/>
    <col min="10" max="10" width="14.140625" bestFit="1" customWidth="1"/>
    <col min="11" max="12" width="14.7109375" customWidth="1"/>
    <col min="13" max="13" width="15.28515625" customWidth="1"/>
  </cols>
  <sheetData>
    <row r="1" spans="1:13" ht="27" x14ac:dyDescent="0.35">
      <c r="A1" s="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0.25" x14ac:dyDescent="0.3">
      <c r="A3" s="11" t="s">
        <v>11</v>
      </c>
      <c r="B3" s="216" t="s">
        <v>544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x14ac:dyDescent="0.25">
      <c r="A6" s="8"/>
      <c r="B6" s="15">
        <v>39083</v>
      </c>
      <c r="C6" s="15">
        <v>39114</v>
      </c>
      <c r="D6" s="15">
        <v>39142</v>
      </c>
      <c r="E6" s="15">
        <v>39173</v>
      </c>
      <c r="F6" s="15">
        <v>39203</v>
      </c>
      <c r="G6" s="15">
        <v>39234</v>
      </c>
      <c r="H6" s="15">
        <v>39264</v>
      </c>
      <c r="I6" s="15">
        <v>39295</v>
      </c>
      <c r="J6" s="15">
        <v>39326</v>
      </c>
      <c r="K6" s="15">
        <v>39356</v>
      </c>
      <c r="L6" s="15">
        <v>39387</v>
      </c>
      <c r="M6" s="15">
        <v>39417</v>
      </c>
    </row>
    <row r="7" spans="1:13" ht="15" x14ac:dyDescent="0.2">
      <c r="A7" s="8" t="s">
        <v>110</v>
      </c>
      <c r="B7" s="22"/>
      <c r="C7" s="22">
        <f>B18</f>
        <v>0</v>
      </c>
      <c r="D7" s="22">
        <f t="shared" ref="D7:M7" si="0">C18</f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22">
        <f t="shared" si="0"/>
        <v>0</v>
      </c>
      <c r="J7" s="22">
        <f t="shared" si="0"/>
        <v>0</v>
      </c>
      <c r="K7" s="22">
        <f>J18</f>
        <v>0</v>
      </c>
      <c r="L7" s="22">
        <f t="shared" si="0"/>
        <v>0</v>
      </c>
      <c r="M7" s="22">
        <f t="shared" si="0"/>
        <v>0</v>
      </c>
    </row>
    <row r="8" spans="1:13" ht="15" x14ac:dyDescent="0.2">
      <c r="A8" s="8" t="s">
        <v>76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ht="15" x14ac:dyDescent="0.2">
      <c r="A9" s="8" t="s">
        <v>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15" x14ac:dyDescent="0.2">
      <c r="A10" s="8" t="s">
        <v>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15" x14ac:dyDescent="0.2">
      <c r="A11" s="8" t="s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73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74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75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" x14ac:dyDescent="0.2">
      <c r="A15" s="8" t="s">
        <v>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15" x14ac:dyDescent="0.2">
      <c r="A16" s="8" t="s">
        <v>6</v>
      </c>
      <c r="B16" s="16">
        <f>SUM(B7:B15)</f>
        <v>0</v>
      </c>
      <c r="C16" s="16">
        <f t="shared" ref="C16:M16" si="1">SUM(C7:C15)</f>
        <v>0</v>
      </c>
      <c r="D16" s="16">
        <f t="shared" si="1"/>
        <v>0</v>
      </c>
      <c r="E16" s="16">
        <f t="shared" si="1"/>
        <v>0</v>
      </c>
      <c r="F16" s="16">
        <f t="shared" si="1"/>
        <v>0</v>
      </c>
      <c r="G16" s="16">
        <f t="shared" si="1"/>
        <v>0</v>
      </c>
      <c r="H16" s="16">
        <f t="shared" si="1"/>
        <v>0</v>
      </c>
      <c r="I16" s="16">
        <f t="shared" si="1"/>
        <v>0</v>
      </c>
      <c r="J16" s="16">
        <f t="shared" si="1"/>
        <v>0</v>
      </c>
      <c r="K16" s="16">
        <f t="shared" si="1"/>
        <v>0</v>
      </c>
      <c r="L16" s="16">
        <f t="shared" si="1"/>
        <v>0</v>
      </c>
      <c r="M16" s="16">
        <f t="shared" si="1"/>
        <v>0</v>
      </c>
    </row>
    <row r="17" spans="1:13" ht="15" x14ac:dyDescent="0.2">
      <c r="A17" s="8" t="s">
        <v>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5" x14ac:dyDescent="0.2">
      <c r="A18" s="8" t="s">
        <v>111</v>
      </c>
      <c r="B18" s="16">
        <f>B16-B17</f>
        <v>0</v>
      </c>
      <c r="C18" s="16">
        <f>C16-C17</f>
        <v>0</v>
      </c>
      <c r="D18" s="16">
        <f t="shared" ref="D18:M18" si="2">D16-D17</f>
        <v>0</v>
      </c>
      <c r="E18" s="16">
        <f t="shared" si="2"/>
        <v>0</v>
      </c>
      <c r="F18" s="16">
        <f t="shared" si="2"/>
        <v>0</v>
      </c>
      <c r="G18" s="16">
        <f t="shared" si="2"/>
        <v>0</v>
      </c>
      <c r="H18" s="16">
        <f t="shared" si="2"/>
        <v>0</v>
      </c>
      <c r="I18" s="16">
        <f t="shared" si="2"/>
        <v>0</v>
      </c>
      <c r="J18" s="16">
        <f t="shared" si="2"/>
        <v>0</v>
      </c>
      <c r="K18" s="16">
        <f t="shared" si="2"/>
        <v>0</v>
      </c>
      <c r="L18" s="16">
        <f t="shared" si="2"/>
        <v>0</v>
      </c>
      <c r="M18" s="16">
        <f t="shared" si="2"/>
        <v>0</v>
      </c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81"/>
      <c r="B24" s="82">
        <v>45658</v>
      </c>
      <c r="C24" s="82">
        <v>45689</v>
      </c>
      <c r="D24" s="82">
        <v>45717</v>
      </c>
      <c r="E24" s="82">
        <v>45748</v>
      </c>
      <c r="F24" s="82">
        <v>45778</v>
      </c>
      <c r="G24" s="82">
        <v>45809</v>
      </c>
      <c r="H24" s="82">
        <v>45839</v>
      </c>
      <c r="I24" s="82">
        <v>45870</v>
      </c>
      <c r="J24" s="82">
        <v>45901</v>
      </c>
      <c r="K24" s="82">
        <v>45931</v>
      </c>
      <c r="L24" s="82">
        <v>45962</v>
      </c>
      <c r="M24" s="82">
        <v>45992</v>
      </c>
    </row>
    <row r="25" spans="1:13" x14ac:dyDescent="0.2">
      <c r="A25" s="78" t="s">
        <v>110</v>
      </c>
      <c r="B25" s="42"/>
      <c r="C25" s="42">
        <f t="shared" ref="C25:M25" si="3">B36</f>
        <v>34000</v>
      </c>
      <c r="D25" s="42">
        <f t="shared" si="3"/>
        <v>58000</v>
      </c>
      <c r="E25" s="42">
        <f t="shared" si="3"/>
        <v>82000</v>
      </c>
      <c r="F25" s="42">
        <f t="shared" si="3"/>
        <v>106000</v>
      </c>
      <c r="G25" s="42">
        <f t="shared" si="3"/>
        <v>130000</v>
      </c>
      <c r="H25" s="42">
        <f t="shared" si="3"/>
        <v>154000</v>
      </c>
      <c r="I25" s="42">
        <f t="shared" si="3"/>
        <v>0</v>
      </c>
      <c r="J25" s="42">
        <f t="shared" si="3"/>
        <v>73000</v>
      </c>
      <c r="K25" s="42">
        <f t="shared" si="3"/>
        <v>146000</v>
      </c>
      <c r="L25" s="42">
        <f t="shared" si="3"/>
        <v>219000</v>
      </c>
      <c r="M25" s="42">
        <f t="shared" si="3"/>
        <v>292000</v>
      </c>
    </row>
    <row r="26" spans="1:13" x14ac:dyDescent="0.2">
      <c r="A26" s="78" t="s">
        <v>76</v>
      </c>
      <c r="B26" s="42">
        <v>4000</v>
      </c>
      <c r="C26" s="42">
        <v>4000</v>
      </c>
      <c r="D26" s="42">
        <v>4000</v>
      </c>
      <c r="E26" s="42">
        <v>4000</v>
      </c>
      <c r="F26" s="42">
        <v>4000</v>
      </c>
      <c r="G26" s="42">
        <v>4000</v>
      </c>
      <c r="H26" s="42">
        <v>4000</v>
      </c>
      <c r="I26" s="42">
        <v>43000</v>
      </c>
      <c r="J26" s="42">
        <v>43000</v>
      </c>
      <c r="K26" s="42">
        <v>43000</v>
      </c>
      <c r="L26" s="42">
        <v>43000</v>
      </c>
      <c r="M26" s="42">
        <v>43000</v>
      </c>
    </row>
    <row r="27" spans="1:13" x14ac:dyDescent="0.2">
      <c r="A27" s="7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534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5</v>
      </c>
      <c r="B33" s="42">
        <v>30000</v>
      </c>
      <c r="C33" s="42">
        <v>20000</v>
      </c>
      <c r="D33" s="42">
        <v>20000</v>
      </c>
      <c r="E33" s="42">
        <v>20000</v>
      </c>
      <c r="F33" s="42">
        <v>20000</v>
      </c>
      <c r="G33" s="42">
        <v>20000</v>
      </c>
      <c r="H33" s="42">
        <v>25000</v>
      </c>
      <c r="I33" s="42">
        <v>30000</v>
      </c>
      <c r="J33" s="42">
        <v>30000</v>
      </c>
      <c r="K33" s="42">
        <v>30000</v>
      </c>
      <c r="L33" s="42">
        <v>30000</v>
      </c>
      <c r="M33" s="42">
        <v>30000</v>
      </c>
    </row>
    <row r="34" spans="1:13" x14ac:dyDescent="0.2">
      <c r="A34" s="78" t="s">
        <v>6</v>
      </c>
      <c r="B34" s="43">
        <f t="shared" ref="B34:M34" si="4">SUM(B25:B33)</f>
        <v>34000</v>
      </c>
      <c r="C34" s="43">
        <f t="shared" si="4"/>
        <v>58000</v>
      </c>
      <c r="D34" s="43">
        <f t="shared" si="4"/>
        <v>82000</v>
      </c>
      <c r="E34" s="43">
        <f t="shared" si="4"/>
        <v>106000</v>
      </c>
      <c r="F34" s="43">
        <f t="shared" si="4"/>
        <v>130000</v>
      </c>
      <c r="G34" s="43">
        <f t="shared" si="4"/>
        <v>154000</v>
      </c>
      <c r="H34" s="43">
        <f t="shared" si="4"/>
        <v>183000</v>
      </c>
      <c r="I34" s="43">
        <f t="shared" si="4"/>
        <v>73000</v>
      </c>
      <c r="J34" s="43">
        <f t="shared" si="4"/>
        <v>146000</v>
      </c>
      <c r="K34" s="43">
        <f t="shared" si="4"/>
        <v>219000</v>
      </c>
      <c r="L34" s="43">
        <f t="shared" si="4"/>
        <v>292000</v>
      </c>
      <c r="M34" s="43">
        <f t="shared" si="4"/>
        <v>365000</v>
      </c>
    </row>
    <row r="35" spans="1:13" ht="13.5" thickBot="1" x14ac:dyDescent="0.25">
      <c r="A35" s="78" t="s">
        <v>7</v>
      </c>
      <c r="B35" s="44"/>
      <c r="C35" s="44"/>
      <c r="D35" s="44"/>
      <c r="E35" s="44"/>
      <c r="F35" s="44"/>
      <c r="G35" s="44"/>
      <c r="H35" s="44">
        <v>183000</v>
      </c>
      <c r="I35" s="44"/>
      <c r="J35" s="44"/>
      <c r="K35" s="44"/>
      <c r="L35" s="44"/>
      <c r="M35" s="44">
        <v>365000</v>
      </c>
    </row>
    <row r="36" spans="1:13" ht="13.5" thickBot="1" x14ac:dyDescent="0.25">
      <c r="A36" s="78" t="s">
        <v>111</v>
      </c>
      <c r="B36" s="45">
        <f t="shared" ref="B36:M36" si="5">B34-B35</f>
        <v>34000</v>
      </c>
      <c r="C36" s="46">
        <f t="shared" si="5"/>
        <v>58000</v>
      </c>
      <c r="D36" s="46">
        <f t="shared" si="5"/>
        <v>82000</v>
      </c>
      <c r="E36" s="46">
        <f t="shared" si="5"/>
        <v>106000</v>
      </c>
      <c r="F36" s="46">
        <f t="shared" si="5"/>
        <v>130000</v>
      </c>
      <c r="G36" s="46">
        <f t="shared" si="5"/>
        <v>154000</v>
      </c>
      <c r="H36" s="46">
        <f t="shared" si="5"/>
        <v>0</v>
      </c>
      <c r="I36" s="46">
        <f t="shared" si="5"/>
        <v>73000</v>
      </c>
      <c r="J36" s="46">
        <f t="shared" si="5"/>
        <v>146000</v>
      </c>
      <c r="K36" s="46">
        <f t="shared" si="5"/>
        <v>219000</v>
      </c>
      <c r="L36" s="46">
        <f t="shared" si="5"/>
        <v>292000</v>
      </c>
      <c r="M36" s="47">
        <f t="shared" si="5"/>
        <v>0</v>
      </c>
    </row>
    <row r="38" spans="1:13" x14ac:dyDescent="0.2">
      <c r="I38">
        <f>100000+113000</f>
        <v>213000</v>
      </c>
    </row>
    <row r="39" spans="1:13" x14ac:dyDescent="0.2">
      <c r="I39">
        <v>35000</v>
      </c>
      <c r="J39" s="78" t="s">
        <v>535</v>
      </c>
    </row>
    <row r="40" spans="1:13" ht="15.75" x14ac:dyDescent="0.25">
      <c r="A40" s="32" t="s">
        <v>0</v>
      </c>
      <c r="B40" s="32" t="s">
        <v>1</v>
      </c>
      <c r="C40" s="33"/>
      <c r="D40" s="33"/>
      <c r="E40" s="33"/>
      <c r="F40" s="33"/>
      <c r="G40" s="33"/>
      <c r="H40" s="33"/>
      <c r="I40" s="176">
        <f>I38-I39</f>
        <v>178000</v>
      </c>
      <c r="J40" s="63" t="s">
        <v>536</v>
      </c>
      <c r="K40" s="33"/>
      <c r="L40" s="33"/>
      <c r="M40" s="33"/>
    </row>
    <row r="41" spans="1:13" x14ac:dyDescent="0.2">
      <c r="A41" s="81"/>
      <c r="B41" s="82">
        <v>46023</v>
      </c>
      <c r="C41" s="82">
        <v>46054</v>
      </c>
      <c r="D41" s="82">
        <v>46082</v>
      </c>
      <c r="E41" s="82">
        <v>46113</v>
      </c>
      <c r="F41" s="82">
        <v>46143</v>
      </c>
      <c r="G41" s="82">
        <v>46174</v>
      </c>
      <c r="H41" s="82">
        <v>46204</v>
      </c>
      <c r="I41" s="82">
        <v>46235</v>
      </c>
      <c r="J41" s="82">
        <v>46266</v>
      </c>
      <c r="K41" s="82">
        <v>46296</v>
      </c>
      <c r="L41" s="82">
        <v>46327</v>
      </c>
      <c r="M41" s="82">
        <v>46357</v>
      </c>
    </row>
    <row r="42" spans="1:13" x14ac:dyDescent="0.2">
      <c r="A42" s="78" t="s">
        <v>110</v>
      </c>
      <c r="B42" s="42"/>
      <c r="C42" s="42">
        <f t="shared" ref="C42:M42" si="6">B53</f>
        <v>35000</v>
      </c>
      <c r="D42" s="42">
        <f t="shared" si="6"/>
        <v>70000</v>
      </c>
      <c r="E42" s="42">
        <f t="shared" si="6"/>
        <v>105000</v>
      </c>
      <c r="F42" s="42">
        <f t="shared" si="6"/>
        <v>140000</v>
      </c>
      <c r="G42" s="42">
        <f t="shared" si="6"/>
        <v>175000</v>
      </c>
      <c r="H42" s="42">
        <f t="shared" si="6"/>
        <v>175000</v>
      </c>
      <c r="I42" s="42">
        <f t="shared" si="6"/>
        <v>175000</v>
      </c>
      <c r="J42" s="42">
        <f t="shared" si="6"/>
        <v>175000</v>
      </c>
      <c r="K42" s="42">
        <f t="shared" si="6"/>
        <v>175000</v>
      </c>
      <c r="L42" s="42">
        <f t="shared" si="6"/>
        <v>175000</v>
      </c>
      <c r="M42" s="42">
        <f t="shared" si="6"/>
        <v>175000</v>
      </c>
    </row>
    <row r="43" spans="1:13" x14ac:dyDescent="0.2">
      <c r="A43" s="78" t="s">
        <v>204</v>
      </c>
      <c r="B43" s="42">
        <v>5000</v>
      </c>
      <c r="C43" s="42">
        <v>5000</v>
      </c>
      <c r="D43" s="42">
        <v>5000</v>
      </c>
      <c r="E43" s="42">
        <v>5000</v>
      </c>
      <c r="F43" s="42">
        <v>5000</v>
      </c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702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703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666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664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590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5</v>
      </c>
      <c r="B50" s="42">
        <v>30000</v>
      </c>
      <c r="C50" s="42">
        <v>30000</v>
      </c>
      <c r="D50" s="42">
        <v>30000</v>
      </c>
      <c r="E50" s="42">
        <v>30000</v>
      </c>
      <c r="F50" s="42">
        <v>30000</v>
      </c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6</v>
      </c>
      <c r="B51" s="43">
        <f t="shared" ref="B51:M51" si="7">SUM(B42:B50)</f>
        <v>35000</v>
      </c>
      <c r="C51" s="43">
        <f t="shared" si="7"/>
        <v>70000</v>
      </c>
      <c r="D51" s="43">
        <f t="shared" si="7"/>
        <v>105000</v>
      </c>
      <c r="E51" s="43">
        <f t="shared" si="7"/>
        <v>140000</v>
      </c>
      <c r="F51" s="43">
        <f t="shared" si="7"/>
        <v>175000</v>
      </c>
      <c r="G51" s="43">
        <f t="shared" si="7"/>
        <v>175000</v>
      </c>
      <c r="H51" s="43">
        <f t="shared" si="7"/>
        <v>175000</v>
      </c>
      <c r="I51" s="43">
        <f t="shared" si="7"/>
        <v>175000</v>
      </c>
      <c r="J51" s="43">
        <f t="shared" si="7"/>
        <v>175000</v>
      </c>
      <c r="K51" s="43">
        <f t="shared" si="7"/>
        <v>175000</v>
      </c>
      <c r="L51" s="43">
        <f t="shared" si="7"/>
        <v>175000</v>
      </c>
      <c r="M51" s="43">
        <f t="shared" si="7"/>
        <v>175000</v>
      </c>
    </row>
    <row r="52" spans="1:13" ht="13.5" thickBot="1" x14ac:dyDescent="0.25">
      <c r="A52" s="78" t="s">
        <v>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13.5" thickBot="1" x14ac:dyDescent="0.25">
      <c r="A53" s="78" t="s">
        <v>111</v>
      </c>
      <c r="B53" s="45">
        <f t="shared" ref="B53:M53" si="8">B51-B52</f>
        <v>35000</v>
      </c>
      <c r="C53" s="46">
        <f t="shared" si="8"/>
        <v>70000</v>
      </c>
      <c r="D53" s="46">
        <f t="shared" si="8"/>
        <v>105000</v>
      </c>
      <c r="E53" s="46">
        <f t="shared" si="8"/>
        <v>140000</v>
      </c>
      <c r="F53" s="46">
        <f t="shared" si="8"/>
        <v>175000</v>
      </c>
      <c r="G53" s="46">
        <f t="shared" si="8"/>
        <v>175000</v>
      </c>
      <c r="H53" s="46">
        <f t="shared" si="8"/>
        <v>175000</v>
      </c>
      <c r="I53" s="46">
        <f t="shared" si="8"/>
        <v>175000</v>
      </c>
      <c r="J53" s="46">
        <f t="shared" si="8"/>
        <v>175000</v>
      </c>
      <c r="K53" s="46">
        <f t="shared" si="8"/>
        <v>175000</v>
      </c>
      <c r="L53" s="46">
        <f t="shared" si="8"/>
        <v>175000</v>
      </c>
      <c r="M53" s="47">
        <f t="shared" si="8"/>
        <v>175000</v>
      </c>
    </row>
    <row r="55" spans="1:13" x14ac:dyDescent="0.2">
      <c r="F55" t="s">
        <v>673</v>
      </c>
    </row>
    <row r="56" spans="1:13" x14ac:dyDescent="0.2">
      <c r="F56" t="s">
        <v>679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/>
  <dimension ref="A4:N53"/>
  <sheetViews>
    <sheetView workbookViewId="0">
      <selection activeCell="B13" sqref="B13"/>
    </sheetView>
  </sheetViews>
  <sheetFormatPr baseColWidth="10" defaultRowHeight="12.75" x14ac:dyDescent="0.2"/>
  <cols>
    <col min="1" max="1" width="32.28515625" customWidth="1"/>
    <col min="9" max="9" width="12" bestFit="1" customWidth="1"/>
    <col min="12" max="12" width="12.42578125" customWidth="1"/>
    <col min="13" max="13" width="12.5703125" bestFit="1" customWidth="1"/>
  </cols>
  <sheetData>
    <row r="4" spans="1:13" ht="15.75" x14ac:dyDescent="0.25">
      <c r="A4" s="33"/>
      <c r="B4" s="34">
        <v>44927</v>
      </c>
      <c r="C4" s="34">
        <v>44958</v>
      </c>
      <c r="D4" s="34">
        <v>44986</v>
      </c>
      <c r="E4" s="34">
        <v>45017</v>
      </c>
      <c r="F4" s="34">
        <v>45047</v>
      </c>
      <c r="G4" s="34">
        <v>45078</v>
      </c>
      <c r="H4" s="34">
        <v>45108</v>
      </c>
      <c r="I4" s="34">
        <v>45139</v>
      </c>
      <c r="J4" s="34">
        <v>45170</v>
      </c>
      <c r="K4" s="34">
        <v>45200</v>
      </c>
      <c r="L4" s="34">
        <v>45231</v>
      </c>
      <c r="M4" s="34">
        <v>45261</v>
      </c>
    </row>
    <row r="5" spans="1:13" x14ac:dyDescent="0.2">
      <c r="A5" s="78" t="s">
        <v>110</v>
      </c>
      <c r="B5" s="42">
        <v>57400</v>
      </c>
      <c r="C5" s="42">
        <f t="shared" ref="C5:M5" si="0">B16</f>
        <v>57398</v>
      </c>
      <c r="D5" s="42">
        <f t="shared" si="0"/>
        <v>80116</v>
      </c>
      <c r="E5" s="42">
        <f t="shared" si="0"/>
        <v>102834</v>
      </c>
      <c r="F5" s="42">
        <f t="shared" si="0"/>
        <v>125552</v>
      </c>
      <c r="G5" s="42">
        <f t="shared" si="0"/>
        <v>125552</v>
      </c>
      <c r="H5" s="42">
        <f t="shared" si="0"/>
        <v>125552</v>
      </c>
      <c r="I5" s="42">
        <f t="shared" si="0"/>
        <v>125552</v>
      </c>
      <c r="J5" s="42">
        <f t="shared" si="0"/>
        <v>125552</v>
      </c>
      <c r="K5" s="42">
        <f t="shared" si="0"/>
        <v>125552</v>
      </c>
      <c r="L5" s="42">
        <f t="shared" si="0"/>
        <v>125552</v>
      </c>
      <c r="M5" s="42">
        <f t="shared" si="0"/>
        <v>125552</v>
      </c>
    </row>
    <row r="6" spans="1:13" x14ac:dyDescent="0.2">
      <c r="A6" s="78" t="s">
        <v>2</v>
      </c>
      <c r="B6" s="42">
        <v>12158</v>
      </c>
      <c r="C6" s="42">
        <v>12158</v>
      </c>
      <c r="D6" s="42">
        <v>12158</v>
      </c>
      <c r="E6" s="42">
        <v>12158</v>
      </c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f>2780+2780</f>
        <v>5560</v>
      </c>
      <c r="C8" s="42">
        <v>5560</v>
      </c>
      <c r="D8" s="42">
        <v>5560</v>
      </c>
      <c r="E8" s="42">
        <v>5560</v>
      </c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5000</v>
      </c>
      <c r="C13" s="42">
        <v>5000</v>
      </c>
      <c r="D13" s="42">
        <v>5000</v>
      </c>
      <c r="E13" s="42">
        <v>5000</v>
      </c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80118</v>
      </c>
      <c r="C14" s="43">
        <f t="shared" si="1"/>
        <v>80116</v>
      </c>
      <c r="D14" s="43">
        <f t="shared" si="1"/>
        <v>102834</v>
      </c>
      <c r="E14" s="43">
        <f t="shared" si="1"/>
        <v>125552</v>
      </c>
      <c r="F14" s="43">
        <f t="shared" si="1"/>
        <v>125552</v>
      </c>
      <c r="G14" s="43">
        <f t="shared" si="1"/>
        <v>125552</v>
      </c>
      <c r="H14" s="43">
        <f t="shared" si="1"/>
        <v>125552</v>
      </c>
      <c r="I14" s="43">
        <f t="shared" si="1"/>
        <v>125552</v>
      </c>
      <c r="J14" s="43">
        <f t="shared" si="1"/>
        <v>125552</v>
      </c>
      <c r="K14" s="43">
        <f t="shared" si="1"/>
        <v>125552</v>
      </c>
      <c r="L14" s="43">
        <f t="shared" si="1"/>
        <v>125552</v>
      </c>
      <c r="M14" s="43">
        <f t="shared" si="1"/>
        <v>125552</v>
      </c>
    </row>
    <row r="15" spans="1:13" ht="13.5" thickBot="1" x14ac:dyDescent="0.25">
      <c r="A15" s="78" t="s">
        <v>7</v>
      </c>
      <c r="B15" s="44">
        <v>22720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57398</v>
      </c>
      <c r="C16" s="46">
        <f t="shared" si="2"/>
        <v>80116</v>
      </c>
      <c r="D16" s="46">
        <f t="shared" si="2"/>
        <v>102834</v>
      </c>
      <c r="E16" s="46">
        <f t="shared" si="2"/>
        <v>125552</v>
      </c>
      <c r="F16" s="46">
        <f t="shared" si="2"/>
        <v>125552</v>
      </c>
      <c r="G16" s="46">
        <f t="shared" si="2"/>
        <v>125552</v>
      </c>
      <c r="H16" s="46">
        <f t="shared" si="2"/>
        <v>125552</v>
      </c>
      <c r="I16" s="46">
        <f t="shared" si="2"/>
        <v>125552</v>
      </c>
      <c r="J16" s="46">
        <f t="shared" si="2"/>
        <v>125552</v>
      </c>
      <c r="K16" s="46">
        <f t="shared" si="2"/>
        <v>125552</v>
      </c>
      <c r="L16" s="46">
        <f t="shared" si="2"/>
        <v>125552</v>
      </c>
      <c r="M16" s="47">
        <f t="shared" si="2"/>
        <v>125552</v>
      </c>
    </row>
    <row r="17" spans="1:14" x14ac:dyDescent="0.2">
      <c r="B17" s="128">
        <v>44959</v>
      </c>
      <c r="J17" t="s">
        <v>433</v>
      </c>
    </row>
    <row r="18" spans="1:14" x14ac:dyDescent="0.2">
      <c r="K18" t="s">
        <v>436</v>
      </c>
      <c r="L18">
        <v>4877</v>
      </c>
    </row>
    <row r="19" spans="1:14" x14ac:dyDescent="0.2">
      <c r="K19" t="s">
        <v>437</v>
      </c>
      <c r="L19" s="128">
        <v>43784</v>
      </c>
    </row>
    <row r="23" spans="1:14" ht="15" x14ac:dyDescent="0.2">
      <c r="A23" s="33"/>
      <c r="B23" s="82">
        <v>44562</v>
      </c>
      <c r="C23" s="82">
        <v>44593</v>
      </c>
      <c r="D23" s="82">
        <v>44621</v>
      </c>
      <c r="E23" s="82">
        <v>44652</v>
      </c>
      <c r="F23" s="82">
        <v>44682</v>
      </c>
      <c r="G23" s="82">
        <v>44713</v>
      </c>
      <c r="H23" s="82">
        <v>44743</v>
      </c>
      <c r="I23" s="82">
        <v>44774</v>
      </c>
      <c r="J23" s="82">
        <v>44805</v>
      </c>
      <c r="K23" s="82">
        <v>44835</v>
      </c>
      <c r="L23" s="82">
        <v>44866</v>
      </c>
      <c r="M23" s="82">
        <v>44896</v>
      </c>
    </row>
    <row r="24" spans="1:14" ht="15" x14ac:dyDescent="0.2">
      <c r="A24" s="8" t="s">
        <v>110</v>
      </c>
      <c r="B24" s="42"/>
      <c r="C24" s="42">
        <f t="shared" ref="C24:M24" si="3">B35</f>
        <v>0</v>
      </c>
      <c r="D24" s="42">
        <f t="shared" si="3"/>
        <v>365</v>
      </c>
      <c r="E24" s="42">
        <f t="shared" si="3"/>
        <v>0</v>
      </c>
      <c r="F24" s="42">
        <f t="shared" si="3"/>
        <v>0</v>
      </c>
      <c r="G24" s="42">
        <f t="shared" si="3"/>
        <v>13865</v>
      </c>
      <c r="H24" s="42">
        <f t="shared" si="3"/>
        <v>15730</v>
      </c>
      <c r="I24" s="42">
        <f t="shared" si="3"/>
        <v>29595</v>
      </c>
      <c r="J24" s="42">
        <f t="shared" si="3"/>
        <v>43460</v>
      </c>
      <c r="K24" s="42">
        <f t="shared" si="3"/>
        <v>57325</v>
      </c>
      <c r="L24" s="42">
        <f t="shared" si="3"/>
        <v>57330</v>
      </c>
      <c r="M24" s="42">
        <f t="shared" si="3"/>
        <v>57335</v>
      </c>
    </row>
    <row r="25" spans="1:14" ht="15" x14ac:dyDescent="0.2">
      <c r="A25" s="8" t="s">
        <v>2</v>
      </c>
      <c r="B25" s="42">
        <v>7665</v>
      </c>
      <c r="C25" s="42">
        <v>7665</v>
      </c>
      <c r="D25" s="42">
        <v>7665</v>
      </c>
      <c r="E25" s="42">
        <v>7665</v>
      </c>
      <c r="F25" s="42">
        <v>7665</v>
      </c>
      <c r="G25" s="42">
        <v>7665</v>
      </c>
      <c r="H25" s="42">
        <v>7665</v>
      </c>
      <c r="I25" s="42">
        <v>7665</v>
      </c>
      <c r="J25" s="42">
        <v>7665</v>
      </c>
      <c r="K25" s="42">
        <v>7665</v>
      </c>
      <c r="L25" s="42">
        <v>7665</v>
      </c>
      <c r="M25" s="42">
        <v>7665</v>
      </c>
    </row>
    <row r="26" spans="1:14" ht="15" x14ac:dyDescent="0.2">
      <c r="A26" s="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ht="15" x14ac:dyDescent="0.2">
      <c r="A27" s="8" t="s">
        <v>4</v>
      </c>
      <c r="B27" s="42">
        <v>1700</v>
      </c>
      <c r="C27" s="42">
        <v>1700</v>
      </c>
      <c r="D27" s="42">
        <v>3200</v>
      </c>
      <c r="E27" s="42">
        <v>3200</v>
      </c>
      <c r="F27" s="42">
        <v>3200</v>
      </c>
      <c r="G27" s="42">
        <v>3200</v>
      </c>
      <c r="H27" s="42">
        <v>3200</v>
      </c>
      <c r="I27" s="42">
        <v>3200</v>
      </c>
      <c r="J27" s="42">
        <v>3200</v>
      </c>
      <c r="K27" s="42">
        <v>3200</v>
      </c>
      <c r="L27" s="42">
        <v>3200</v>
      </c>
      <c r="M27" s="42">
        <v>3200</v>
      </c>
    </row>
    <row r="28" spans="1:14" ht="15" x14ac:dyDescent="0.2">
      <c r="A28" s="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4" ht="15" x14ac:dyDescent="0.2">
      <c r="A29" s="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4" ht="15" x14ac:dyDescent="0.2">
      <c r="A30" s="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4" ht="15" x14ac:dyDescent="0.2">
      <c r="A31" s="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4" ht="15" x14ac:dyDescent="0.2">
      <c r="A32" s="8" t="s">
        <v>5</v>
      </c>
      <c r="B32" s="42">
        <v>3000</v>
      </c>
      <c r="C32" s="42">
        <v>3000</v>
      </c>
      <c r="D32" s="42">
        <v>3000</v>
      </c>
      <c r="E32" s="42">
        <v>3000</v>
      </c>
      <c r="F32" s="42">
        <v>3000</v>
      </c>
      <c r="G32" s="42">
        <v>3000</v>
      </c>
      <c r="H32" s="42">
        <v>3000</v>
      </c>
      <c r="I32" s="42">
        <v>3000</v>
      </c>
      <c r="J32" s="42">
        <v>3000</v>
      </c>
      <c r="K32" s="42">
        <v>3000</v>
      </c>
      <c r="L32" s="42">
        <v>3000</v>
      </c>
      <c r="M32" s="42">
        <v>3000</v>
      </c>
      <c r="N32" s="55">
        <f>+L25+L27+L32</f>
        <v>13865</v>
      </c>
    </row>
    <row r="33" spans="1:14" ht="15" x14ac:dyDescent="0.2">
      <c r="A33" s="8" t="s">
        <v>6</v>
      </c>
      <c r="B33" s="43">
        <f t="shared" ref="B33:M33" si="4">SUM(B24:B32)</f>
        <v>12365</v>
      </c>
      <c r="C33" s="43">
        <f t="shared" si="4"/>
        <v>12365</v>
      </c>
      <c r="D33" s="43">
        <f t="shared" si="4"/>
        <v>14230</v>
      </c>
      <c r="E33" s="43">
        <f t="shared" si="4"/>
        <v>13865</v>
      </c>
      <c r="F33" s="43">
        <f t="shared" si="4"/>
        <v>13865</v>
      </c>
      <c r="G33" s="43">
        <f t="shared" si="4"/>
        <v>27730</v>
      </c>
      <c r="H33" s="43">
        <f t="shared" si="4"/>
        <v>29595</v>
      </c>
      <c r="I33" s="43">
        <f t="shared" si="4"/>
        <v>43460</v>
      </c>
      <c r="J33" s="43">
        <f t="shared" si="4"/>
        <v>57325</v>
      </c>
      <c r="K33" s="43">
        <f t="shared" si="4"/>
        <v>71190</v>
      </c>
      <c r="L33" s="43">
        <f t="shared" si="4"/>
        <v>71195</v>
      </c>
      <c r="M33" s="43">
        <f t="shared" si="4"/>
        <v>71200</v>
      </c>
      <c r="N33" s="55">
        <f>14000-N32</f>
        <v>135</v>
      </c>
    </row>
    <row r="34" spans="1:14" ht="15.75" thickBot="1" x14ac:dyDescent="0.25">
      <c r="A34" s="8" t="s">
        <v>7</v>
      </c>
      <c r="B34" s="44">
        <v>12365</v>
      </c>
      <c r="C34" s="44">
        <v>12000</v>
      </c>
      <c r="D34" s="44">
        <v>14230</v>
      </c>
      <c r="E34" s="44">
        <v>13865</v>
      </c>
      <c r="F34" s="44"/>
      <c r="G34" s="44">
        <f>12000</f>
        <v>12000</v>
      </c>
      <c r="H34" s="44"/>
      <c r="I34" s="44"/>
      <c r="J34" s="44"/>
      <c r="K34" s="44">
        <v>13860</v>
      </c>
      <c r="L34" s="44">
        <v>13860</v>
      </c>
      <c r="M34" s="44">
        <v>13800</v>
      </c>
    </row>
    <row r="35" spans="1:14" ht="15.75" thickBot="1" x14ac:dyDescent="0.25">
      <c r="A35" s="8" t="s">
        <v>111</v>
      </c>
      <c r="B35" s="45">
        <f t="shared" ref="B35:M35" si="5">B33-B34</f>
        <v>0</v>
      </c>
      <c r="C35" s="46">
        <f t="shared" si="5"/>
        <v>365</v>
      </c>
      <c r="D35" s="46">
        <f t="shared" si="5"/>
        <v>0</v>
      </c>
      <c r="E35" s="46">
        <f t="shared" si="5"/>
        <v>0</v>
      </c>
      <c r="F35" s="46">
        <f t="shared" si="5"/>
        <v>13865</v>
      </c>
      <c r="G35" s="46">
        <f t="shared" si="5"/>
        <v>15730</v>
      </c>
      <c r="H35" s="46">
        <f t="shared" si="5"/>
        <v>29595</v>
      </c>
      <c r="I35" s="46">
        <f t="shared" si="5"/>
        <v>43460</v>
      </c>
      <c r="J35" s="46">
        <f t="shared" si="5"/>
        <v>57325</v>
      </c>
      <c r="K35" s="46">
        <f t="shared" si="5"/>
        <v>57330</v>
      </c>
      <c r="L35" s="46">
        <f t="shared" si="5"/>
        <v>57335</v>
      </c>
      <c r="M35" s="47">
        <f t="shared" si="5"/>
        <v>57400</v>
      </c>
    </row>
    <row r="36" spans="1:14" x14ac:dyDescent="0.2">
      <c r="B36" s="128">
        <v>43844</v>
      </c>
      <c r="H36" s="128">
        <v>44032</v>
      </c>
      <c r="I36" s="128">
        <v>44056</v>
      </c>
    </row>
    <row r="38" spans="1:14" ht="15.75" x14ac:dyDescent="0.25">
      <c r="A38" s="33"/>
      <c r="B38" s="34">
        <v>44197</v>
      </c>
      <c r="C38" s="34">
        <v>44228</v>
      </c>
      <c r="D38" s="34">
        <v>44256</v>
      </c>
      <c r="E38" s="34">
        <v>44287</v>
      </c>
      <c r="F38" s="34">
        <v>44317</v>
      </c>
      <c r="G38" s="34">
        <v>44348</v>
      </c>
      <c r="H38" s="34">
        <v>44378</v>
      </c>
      <c r="I38" s="34">
        <v>44409</v>
      </c>
      <c r="J38" s="34">
        <v>44440</v>
      </c>
      <c r="K38" s="34">
        <v>44470</v>
      </c>
      <c r="L38" s="34">
        <v>44501</v>
      </c>
      <c r="M38" s="34">
        <v>44531</v>
      </c>
    </row>
    <row r="39" spans="1:14" ht="15" x14ac:dyDescent="0.2">
      <c r="A39" s="8" t="s">
        <v>110</v>
      </c>
      <c r="B39" s="28"/>
      <c r="C39" s="28">
        <f t="shared" ref="C39:M39" si="6">B50</f>
        <v>0</v>
      </c>
      <c r="D39" s="28">
        <f t="shared" si="6"/>
        <v>0</v>
      </c>
      <c r="E39" s="28">
        <f t="shared" si="6"/>
        <v>0</v>
      </c>
      <c r="F39" s="28">
        <f t="shared" si="6"/>
        <v>0</v>
      </c>
      <c r="G39" s="28">
        <f t="shared" si="6"/>
        <v>0</v>
      </c>
      <c r="H39" s="28">
        <f t="shared" si="6"/>
        <v>0</v>
      </c>
      <c r="I39" s="28">
        <f t="shared" si="6"/>
        <v>1</v>
      </c>
      <c r="J39" s="28">
        <f t="shared" si="6"/>
        <v>0</v>
      </c>
      <c r="K39" s="28">
        <f t="shared" si="6"/>
        <v>0</v>
      </c>
      <c r="L39" s="28">
        <f t="shared" si="6"/>
        <v>0</v>
      </c>
      <c r="M39" s="28">
        <f t="shared" si="6"/>
        <v>0</v>
      </c>
    </row>
    <row r="40" spans="1:14" ht="15" x14ac:dyDescent="0.2">
      <c r="A40" s="8" t="s">
        <v>2</v>
      </c>
      <c r="B40" s="28">
        <v>4039</v>
      </c>
      <c r="C40" s="28">
        <v>4039</v>
      </c>
      <c r="D40" s="28">
        <v>4039</v>
      </c>
      <c r="E40" s="28">
        <v>4039</v>
      </c>
      <c r="F40" s="28">
        <v>4039</v>
      </c>
      <c r="G40" s="28">
        <v>4039</v>
      </c>
      <c r="H40" s="28">
        <v>6070</v>
      </c>
      <c r="I40" s="28">
        <v>6070</v>
      </c>
      <c r="J40" s="28">
        <v>6070</v>
      </c>
      <c r="K40" s="28">
        <v>6070</v>
      </c>
      <c r="L40" s="28">
        <v>6070</v>
      </c>
      <c r="M40" s="28">
        <v>6070</v>
      </c>
    </row>
    <row r="41" spans="1:14" ht="15" x14ac:dyDescent="0.2">
      <c r="A41" s="8" t="s">
        <v>3</v>
      </c>
      <c r="B41" s="28">
        <v>600</v>
      </c>
      <c r="C41" s="28">
        <v>600</v>
      </c>
      <c r="D41" s="28">
        <v>600</v>
      </c>
      <c r="E41" s="28">
        <v>600</v>
      </c>
      <c r="F41" s="28">
        <v>600</v>
      </c>
      <c r="G41" s="28">
        <v>600</v>
      </c>
      <c r="H41" s="28"/>
      <c r="I41" s="28"/>
      <c r="J41" s="28"/>
      <c r="K41" s="28"/>
      <c r="L41" s="28"/>
      <c r="M41" s="28"/>
    </row>
    <row r="42" spans="1:14" ht="15" x14ac:dyDescent="0.2">
      <c r="A42" s="8" t="s">
        <v>4</v>
      </c>
      <c r="B42" s="28">
        <v>901</v>
      </c>
      <c r="C42" s="28">
        <v>901</v>
      </c>
      <c r="D42" s="28">
        <v>901</v>
      </c>
      <c r="E42" s="28">
        <v>901</v>
      </c>
      <c r="F42" s="28">
        <v>901</v>
      </c>
      <c r="G42" s="28">
        <v>901</v>
      </c>
      <c r="H42" s="28">
        <v>901</v>
      </c>
      <c r="I42" s="28">
        <f>850+850</f>
        <v>1700</v>
      </c>
      <c r="J42" s="28">
        <v>1700</v>
      </c>
      <c r="K42" s="28">
        <v>1700</v>
      </c>
      <c r="L42" s="28">
        <v>1700</v>
      </c>
      <c r="M42" s="28">
        <v>1700</v>
      </c>
    </row>
    <row r="43" spans="1:14" ht="15" x14ac:dyDescent="0.2">
      <c r="A43" s="8" t="s">
        <v>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4" ht="15" x14ac:dyDescent="0.2">
      <c r="A44" s="8" t="s">
        <v>73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4" ht="15" x14ac:dyDescent="0.2">
      <c r="A45" s="8" t="s">
        <v>74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4" ht="15" x14ac:dyDescent="0.2">
      <c r="A46" s="8" t="s">
        <v>75</v>
      </c>
      <c r="B46" s="28"/>
      <c r="C46" s="28"/>
      <c r="D46" s="28"/>
      <c r="E46" s="28"/>
      <c r="F46" s="28"/>
      <c r="G46" s="28"/>
      <c r="H46" s="28">
        <v>250</v>
      </c>
      <c r="I46" s="28">
        <v>-1</v>
      </c>
      <c r="J46" s="28">
        <v>-1</v>
      </c>
      <c r="K46" s="28"/>
      <c r="L46" s="28"/>
      <c r="M46" s="28"/>
    </row>
    <row r="47" spans="1:14" ht="15" x14ac:dyDescent="0.2">
      <c r="A47" s="8" t="s">
        <v>5</v>
      </c>
      <c r="B47" s="28">
        <v>1030</v>
      </c>
      <c r="C47" s="28">
        <v>1030</v>
      </c>
      <c r="D47" s="28">
        <v>1030</v>
      </c>
      <c r="E47" s="28">
        <v>1030</v>
      </c>
      <c r="F47" s="28">
        <v>1030</v>
      </c>
      <c r="G47" s="28">
        <v>1210</v>
      </c>
      <c r="H47" s="28">
        <v>1210</v>
      </c>
      <c r="I47" s="28">
        <v>1500</v>
      </c>
      <c r="J47" s="28">
        <v>1500</v>
      </c>
      <c r="K47" s="28">
        <v>2000</v>
      </c>
      <c r="L47" s="28">
        <v>2000</v>
      </c>
      <c r="M47" s="28">
        <v>2000</v>
      </c>
    </row>
    <row r="48" spans="1:14" ht="15" x14ac:dyDescent="0.2">
      <c r="A48" s="8" t="s">
        <v>6</v>
      </c>
      <c r="B48" s="29">
        <f t="shared" ref="B48:M48" si="7">SUM(B39:B47)</f>
        <v>6570</v>
      </c>
      <c r="C48" s="29">
        <f t="shared" si="7"/>
        <v>6570</v>
      </c>
      <c r="D48" s="29">
        <f t="shared" si="7"/>
        <v>6570</v>
      </c>
      <c r="E48" s="29">
        <f t="shared" si="7"/>
        <v>6570</v>
      </c>
      <c r="F48" s="29">
        <f t="shared" si="7"/>
        <v>6570</v>
      </c>
      <c r="G48" s="29">
        <f t="shared" si="7"/>
        <v>6750</v>
      </c>
      <c r="H48" s="29">
        <f t="shared" si="7"/>
        <v>8431</v>
      </c>
      <c r="I48" s="29">
        <f t="shared" si="7"/>
        <v>9270</v>
      </c>
      <c r="J48" s="29">
        <f t="shared" si="7"/>
        <v>9269</v>
      </c>
      <c r="K48" s="29">
        <f t="shared" si="7"/>
        <v>9770</v>
      </c>
      <c r="L48" s="29">
        <f t="shared" si="7"/>
        <v>9770</v>
      </c>
      <c r="M48" s="29">
        <f t="shared" si="7"/>
        <v>9770</v>
      </c>
    </row>
    <row r="49" spans="1:13" ht="15.75" thickBot="1" x14ac:dyDescent="0.25">
      <c r="A49" s="8" t="s">
        <v>7</v>
      </c>
      <c r="B49" s="30">
        <v>6570</v>
      </c>
      <c r="C49" s="30">
        <v>6570</v>
      </c>
      <c r="D49" s="30">
        <v>6570</v>
      </c>
      <c r="E49" s="30">
        <v>6570</v>
      </c>
      <c r="F49" s="30">
        <v>6570</v>
      </c>
      <c r="G49" s="30">
        <v>6750</v>
      </c>
      <c r="H49" s="30">
        <v>8430</v>
      </c>
      <c r="I49" s="30">
        <v>9270</v>
      </c>
      <c r="J49" s="30">
        <v>9269</v>
      </c>
      <c r="K49" s="30">
        <v>9770</v>
      </c>
      <c r="L49" s="30">
        <v>9770</v>
      </c>
      <c r="M49" s="30">
        <v>10000</v>
      </c>
    </row>
    <row r="50" spans="1:13" ht="15.75" thickBot="1" x14ac:dyDescent="0.25">
      <c r="A50" s="8" t="s">
        <v>111</v>
      </c>
      <c r="B50" s="35">
        <f t="shared" ref="B50:M50" si="8">B48-B49</f>
        <v>0</v>
      </c>
      <c r="C50" s="36">
        <f t="shared" si="8"/>
        <v>0</v>
      </c>
      <c r="D50" s="36">
        <f t="shared" si="8"/>
        <v>0</v>
      </c>
      <c r="E50" s="36">
        <f t="shared" si="8"/>
        <v>0</v>
      </c>
      <c r="F50" s="36">
        <f t="shared" si="8"/>
        <v>0</v>
      </c>
      <c r="G50" s="36">
        <f t="shared" si="8"/>
        <v>0</v>
      </c>
      <c r="H50" s="36">
        <f t="shared" si="8"/>
        <v>1</v>
      </c>
      <c r="I50" s="36">
        <f t="shared" si="8"/>
        <v>0</v>
      </c>
      <c r="J50" s="36">
        <f t="shared" si="8"/>
        <v>0</v>
      </c>
      <c r="K50" s="36">
        <f t="shared" si="8"/>
        <v>0</v>
      </c>
      <c r="L50" s="36">
        <f t="shared" si="8"/>
        <v>0</v>
      </c>
      <c r="M50" s="37">
        <f t="shared" si="8"/>
        <v>-230</v>
      </c>
    </row>
    <row r="51" spans="1:13" ht="15" x14ac:dyDescent="0.2">
      <c r="B51" s="128">
        <v>44245</v>
      </c>
      <c r="H51" s="175">
        <v>8430</v>
      </c>
      <c r="I51" s="175">
        <v>9270</v>
      </c>
      <c r="J51" s="175">
        <v>9270</v>
      </c>
    </row>
    <row r="52" spans="1:13" x14ac:dyDescent="0.2">
      <c r="H52" t="s">
        <v>532</v>
      </c>
      <c r="J52" t="s">
        <v>549</v>
      </c>
    </row>
    <row r="53" spans="1:13" x14ac:dyDescent="0.2">
      <c r="H53" s="128">
        <v>44403</v>
      </c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/>
  <dimension ref="A2:M67"/>
  <sheetViews>
    <sheetView topLeftCell="A43" workbookViewId="0">
      <selection activeCell="E31" sqref="E31"/>
    </sheetView>
  </sheetViews>
  <sheetFormatPr baseColWidth="10" defaultRowHeight="12.75" x14ac:dyDescent="0.2"/>
  <cols>
    <col min="1" max="1" width="31.42578125" customWidth="1"/>
  </cols>
  <sheetData>
    <row r="2" spans="1:13" ht="20.25" x14ac:dyDescent="0.3">
      <c r="A2" s="11" t="s">
        <v>11</v>
      </c>
      <c r="B2" s="216" t="s">
        <v>119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8"/>
      <c r="B5" s="15">
        <v>42005</v>
      </c>
      <c r="C5" s="15">
        <v>42036</v>
      </c>
      <c r="D5" s="15">
        <v>42064</v>
      </c>
      <c r="E5" s="15">
        <v>42095</v>
      </c>
      <c r="F5" s="15">
        <v>42125</v>
      </c>
      <c r="G5" s="15">
        <v>42156</v>
      </c>
      <c r="H5" s="15">
        <v>42186</v>
      </c>
      <c r="I5" s="15">
        <v>42217</v>
      </c>
      <c r="J5" s="15">
        <v>42248</v>
      </c>
      <c r="K5" s="15">
        <v>42278</v>
      </c>
      <c r="L5" s="15">
        <v>42309</v>
      </c>
      <c r="M5" s="15">
        <v>42339</v>
      </c>
    </row>
    <row r="6" spans="1:13" ht="15" x14ac:dyDescent="0.2">
      <c r="A6" s="8" t="s">
        <v>110</v>
      </c>
      <c r="B6" s="22"/>
      <c r="C6" s="22">
        <f>B17</f>
        <v>0</v>
      </c>
      <c r="D6" s="22">
        <f t="shared" ref="D6:M6" si="0">C17</f>
        <v>0</v>
      </c>
      <c r="E6" s="22">
        <f t="shared" si="0"/>
        <v>0</v>
      </c>
      <c r="F6" s="22">
        <f t="shared" si="0"/>
        <v>400</v>
      </c>
      <c r="G6" s="22">
        <f t="shared" si="0"/>
        <v>0</v>
      </c>
      <c r="H6" s="22">
        <f t="shared" si="0"/>
        <v>400</v>
      </c>
      <c r="I6" s="22">
        <f t="shared" si="0"/>
        <v>0</v>
      </c>
      <c r="J6" s="22">
        <f t="shared" si="0"/>
        <v>400</v>
      </c>
      <c r="K6" s="22">
        <f>J17</f>
        <v>0</v>
      </c>
      <c r="L6" s="22">
        <f t="shared" si="0"/>
        <v>400</v>
      </c>
      <c r="M6" s="22">
        <f t="shared" si="0"/>
        <v>800</v>
      </c>
    </row>
    <row r="7" spans="1:13" ht="15" x14ac:dyDescent="0.2">
      <c r="A7" s="8" t="s">
        <v>76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ht="15" x14ac:dyDescent="0.2">
      <c r="A8" s="8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ht="15" x14ac:dyDescent="0.2">
      <c r="A9" s="8" t="s">
        <v>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15" x14ac:dyDescent="0.2">
      <c r="A10" s="8" t="s">
        <v>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15" x14ac:dyDescent="0.2">
      <c r="A11" s="8" t="s">
        <v>73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74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75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5</v>
      </c>
      <c r="B14" s="22">
        <v>400</v>
      </c>
      <c r="C14" s="22">
        <v>400</v>
      </c>
      <c r="D14" s="22">
        <v>400</v>
      </c>
      <c r="E14" s="22">
        <v>400</v>
      </c>
      <c r="F14" s="22">
        <v>400</v>
      </c>
      <c r="G14" s="22">
        <v>400</v>
      </c>
      <c r="H14" s="22">
        <v>400</v>
      </c>
      <c r="I14" s="22">
        <v>400</v>
      </c>
      <c r="J14" s="22">
        <v>400</v>
      </c>
      <c r="K14" s="22">
        <v>400</v>
      </c>
      <c r="L14" s="22">
        <v>400</v>
      </c>
      <c r="M14" s="22">
        <v>400</v>
      </c>
    </row>
    <row r="15" spans="1:13" ht="15" x14ac:dyDescent="0.2">
      <c r="A15" s="8" t="s">
        <v>6</v>
      </c>
      <c r="B15" s="16">
        <f>SUM(B6:B14)</f>
        <v>400</v>
      </c>
      <c r="C15" s="16">
        <f t="shared" ref="C15:M15" si="1">SUM(C6:C14)</f>
        <v>400</v>
      </c>
      <c r="D15" s="16">
        <f t="shared" si="1"/>
        <v>400</v>
      </c>
      <c r="E15" s="16">
        <f t="shared" si="1"/>
        <v>400</v>
      </c>
      <c r="F15" s="16">
        <f t="shared" si="1"/>
        <v>800</v>
      </c>
      <c r="G15" s="16">
        <f t="shared" si="1"/>
        <v>400</v>
      </c>
      <c r="H15" s="16">
        <f t="shared" si="1"/>
        <v>800</v>
      </c>
      <c r="I15" s="16">
        <f t="shared" si="1"/>
        <v>400</v>
      </c>
      <c r="J15" s="16">
        <f t="shared" si="1"/>
        <v>800</v>
      </c>
      <c r="K15" s="16">
        <f t="shared" si="1"/>
        <v>400</v>
      </c>
      <c r="L15" s="16">
        <f t="shared" si="1"/>
        <v>800</v>
      </c>
      <c r="M15" s="16">
        <f t="shared" si="1"/>
        <v>1200</v>
      </c>
    </row>
    <row r="16" spans="1:13" ht="15" x14ac:dyDescent="0.2">
      <c r="A16" s="8" t="s">
        <v>7</v>
      </c>
      <c r="B16" s="23">
        <v>400</v>
      </c>
      <c r="C16" s="23">
        <v>400</v>
      </c>
      <c r="D16" s="23">
        <v>400</v>
      </c>
      <c r="E16" s="23"/>
      <c r="F16" s="23">
        <v>800</v>
      </c>
      <c r="G16" s="23"/>
      <c r="H16" s="23">
        <v>800</v>
      </c>
      <c r="I16" s="23"/>
      <c r="J16" s="23">
        <v>800</v>
      </c>
      <c r="K16" s="23"/>
      <c r="L16" s="23"/>
      <c r="M16" s="23">
        <v>1200</v>
      </c>
    </row>
    <row r="17" spans="1:13" ht="15" x14ac:dyDescent="0.2">
      <c r="A17" s="8" t="s">
        <v>111</v>
      </c>
      <c r="B17" s="16">
        <f>B15-B16</f>
        <v>0</v>
      </c>
      <c r="C17" s="16">
        <f>C15-C16</f>
        <v>0</v>
      </c>
      <c r="D17" s="16">
        <f t="shared" ref="D17:M17" si="2">D15-D16</f>
        <v>0</v>
      </c>
      <c r="E17" s="16">
        <f t="shared" si="2"/>
        <v>400</v>
      </c>
      <c r="F17" s="16">
        <f t="shared" si="2"/>
        <v>0</v>
      </c>
      <c r="G17" s="16">
        <f t="shared" si="2"/>
        <v>400</v>
      </c>
      <c r="H17" s="16">
        <f t="shared" si="2"/>
        <v>0</v>
      </c>
      <c r="I17" s="16">
        <f t="shared" si="2"/>
        <v>400</v>
      </c>
      <c r="J17" s="16">
        <f t="shared" si="2"/>
        <v>0</v>
      </c>
      <c r="K17" s="16">
        <f t="shared" si="2"/>
        <v>400</v>
      </c>
      <c r="L17" s="16">
        <f t="shared" si="2"/>
        <v>800</v>
      </c>
      <c r="M17" s="16">
        <f t="shared" si="2"/>
        <v>0</v>
      </c>
    </row>
    <row r="21" spans="1:13" ht="15.75" x14ac:dyDescent="0.25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15.75" x14ac:dyDescent="0.25">
      <c r="A22" s="33"/>
      <c r="B22" s="34">
        <v>42370</v>
      </c>
      <c r="C22" s="34">
        <v>42401</v>
      </c>
      <c r="D22" s="34">
        <v>42430</v>
      </c>
      <c r="E22" s="34">
        <v>42461</v>
      </c>
      <c r="F22" s="34">
        <v>42491</v>
      </c>
      <c r="G22" s="34">
        <v>42522</v>
      </c>
      <c r="H22" s="34">
        <v>42552</v>
      </c>
      <c r="I22" s="34">
        <v>42583</v>
      </c>
      <c r="J22" s="34">
        <v>42614</v>
      </c>
      <c r="K22" s="34">
        <v>42644</v>
      </c>
      <c r="L22" s="34">
        <v>42675</v>
      </c>
      <c r="M22" s="34">
        <v>42705</v>
      </c>
    </row>
    <row r="23" spans="1:13" ht="15" x14ac:dyDescent="0.2">
      <c r="A23" s="8" t="s">
        <v>110</v>
      </c>
      <c r="B23" s="28"/>
      <c r="C23" s="28">
        <f>B34</f>
        <v>0</v>
      </c>
      <c r="D23" s="28">
        <f>C34</f>
        <v>0</v>
      </c>
      <c r="E23" s="28">
        <f t="shared" ref="E23:M23" si="3">D34</f>
        <v>0</v>
      </c>
      <c r="F23" s="28">
        <f t="shared" si="3"/>
        <v>6200</v>
      </c>
      <c r="G23" s="28">
        <f t="shared" si="3"/>
        <v>6200</v>
      </c>
      <c r="H23" s="28">
        <f t="shared" si="3"/>
        <v>6200</v>
      </c>
      <c r="I23" s="28">
        <f t="shared" si="3"/>
        <v>6200</v>
      </c>
      <c r="J23" s="28">
        <f t="shared" si="3"/>
        <v>6200</v>
      </c>
      <c r="K23" s="28">
        <f t="shared" si="3"/>
        <v>6200</v>
      </c>
      <c r="L23" s="28">
        <f t="shared" si="3"/>
        <v>6200</v>
      </c>
      <c r="M23" s="28">
        <f t="shared" si="3"/>
        <v>6200</v>
      </c>
    </row>
    <row r="24" spans="1:13" ht="15" x14ac:dyDescent="0.2">
      <c r="A24" s="8" t="s">
        <v>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5" x14ac:dyDescent="0.2">
      <c r="A25" s="8" t="s">
        <v>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5" x14ac:dyDescent="0.2">
      <c r="A26" s="8" t="s">
        <v>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5" x14ac:dyDescent="0.2">
      <c r="A27" s="8" t="s">
        <v>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ht="15" x14ac:dyDescent="0.2">
      <c r="A28" s="8" t="s">
        <v>73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15" x14ac:dyDescent="0.2">
      <c r="A29" s="8" t="s">
        <v>74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ht="15" x14ac:dyDescent="0.2">
      <c r="A30" s="8" t="s">
        <v>75</v>
      </c>
      <c r="B30" s="28"/>
      <c r="C30" s="28"/>
      <c r="D30" s="28"/>
      <c r="E30" s="28">
        <v>6200</v>
      </c>
      <c r="F30" s="28"/>
      <c r="G30" s="28"/>
      <c r="H30" s="28"/>
      <c r="I30" s="28"/>
      <c r="J30" s="28"/>
      <c r="K30" s="28"/>
      <c r="L30" s="28"/>
      <c r="M30" s="28"/>
    </row>
    <row r="31" spans="1:13" ht="15" x14ac:dyDescent="0.2">
      <c r="A31" s="8" t="s">
        <v>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ht="15" x14ac:dyDescent="0.2">
      <c r="A32" s="8" t="s">
        <v>6</v>
      </c>
      <c r="B32" s="29">
        <f t="shared" ref="B32:M32" si="4">SUM(B23:B31)</f>
        <v>0</v>
      </c>
      <c r="C32" s="29">
        <f t="shared" si="4"/>
        <v>0</v>
      </c>
      <c r="D32" s="29">
        <f t="shared" si="4"/>
        <v>0</v>
      </c>
      <c r="E32" s="29">
        <f t="shared" si="4"/>
        <v>6200</v>
      </c>
      <c r="F32" s="29">
        <f t="shared" si="4"/>
        <v>6200</v>
      </c>
      <c r="G32" s="29">
        <f t="shared" si="4"/>
        <v>6200</v>
      </c>
      <c r="H32" s="29">
        <f t="shared" si="4"/>
        <v>6200</v>
      </c>
      <c r="I32" s="29">
        <f t="shared" si="4"/>
        <v>6200</v>
      </c>
      <c r="J32" s="29">
        <f t="shared" si="4"/>
        <v>6200</v>
      </c>
      <c r="K32" s="29">
        <f t="shared" si="4"/>
        <v>6200</v>
      </c>
      <c r="L32" s="29">
        <f t="shared" si="4"/>
        <v>6200</v>
      </c>
      <c r="M32" s="29">
        <f t="shared" si="4"/>
        <v>6200</v>
      </c>
    </row>
    <row r="33" spans="1:13" ht="15.75" thickBot="1" x14ac:dyDescent="0.25">
      <c r="A33" s="8" t="s">
        <v>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ht="15.75" thickBot="1" x14ac:dyDescent="0.25">
      <c r="A34" s="8" t="s">
        <v>111</v>
      </c>
      <c r="B34" s="35">
        <f t="shared" ref="B34:M34" si="5">B32-B33</f>
        <v>0</v>
      </c>
      <c r="C34" s="36">
        <f t="shared" si="5"/>
        <v>0</v>
      </c>
      <c r="D34" s="36">
        <f t="shared" si="5"/>
        <v>0</v>
      </c>
      <c r="E34" s="36">
        <f t="shared" si="5"/>
        <v>6200</v>
      </c>
      <c r="F34" s="36">
        <f t="shared" si="5"/>
        <v>6200</v>
      </c>
      <c r="G34" s="36">
        <f t="shared" si="5"/>
        <v>6200</v>
      </c>
      <c r="H34" s="36">
        <f t="shared" si="5"/>
        <v>6200</v>
      </c>
      <c r="I34" s="36">
        <f t="shared" si="5"/>
        <v>6200</v>
      </c>
      <c r="J34" s="36">
        <f t="shared" si="5"/>
        <v>6200</v>
      </c>
      <c r="K34" s="36">
        <f t="shared" si="5"/>
        <v>6200</v>
      </c>
      <c r="L34" s="36">
        <f t="shared" si="5"/>
        <v>6200</v>
      </c>
      <c r="M34" s="37">
        <f t="shared" si="5"/>
        <v>6200</v>
      </c>
    </row>
    <row r="37" spans="1:13" ht="15.75" x14ac:dyDescent="0.25">
      <c r="A37" s="32" t="s">
        <v>0</v>
      </c>
      <c r="B37" s="32" t="s">
        <v>1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 ht="15.75" x14ac:dyDescent="0.25">
      <c r="A38" s="33"/>
      <c r="B38" s="34">
        <v>40544</v>
      </c>
      <c r="C38" s="34">
        <v>40575</v>
      </c>
      <c r="D38" s="34">
        <v>40603</v>
      </c>
      <c r="E38" s="34">
        <v>40634</v>
      </c>
      <c r="F38" s="34">
        <v>40664</v>
      </c>
      <c r="G38" s="34">
        <v>40695</v>
      </c>
      <c r="H38" s="34">
        <v>40725</v>
      </c>
      <c r="I38" s="34">
        <v>40756</v>
      </c>
      <c r="J38" s="34">
        <v>40787</v>
      </c>
      <c r="K38" s="34">
        <v>40817</v>
      </c>
      <c r="L38" s="34">
        <v>40848</v>
      </c>
      <c r="M38" s="34">
        <v>40878</v>
      </c>
    </row>
    <row r="39" spans="1:13" ht="15" x14ac:dyDescent="0.2">
      <c r="A39" s="8" t="s">
        <v>110</v>
      </c>
      <c r="B39" s="28">
        <f>M34</f>
        <v>6200</v>
      </c>
      <c r="C39" s="28">
        <f t="shared" ref="C39:M39" si="6">B50</f>
        <v>6200</v>
      </c>
      <c r="D39" s="28">
        <f t="shared" si="6"/>
        <v>6200</v>
      </c>
      <c r="E39" s="28">
        <f t="shared" si="6"/>
        <v>6400</v>
      </c>
      <c r="F39" s="28">
        <f t="shared" si="6"/>
        <v>6600</v>
      </c>
      <c r="G39" s="28">
        <f t="shared" si="6"/>
        <v>6200</v>
      </c>
      <c r="H39" s="28">
        <f t="shared" si="6"/>
        <v>6150</v>
      </c>
      <c r="I39" s="28">
        <f t="shared" si="6"/>
        <v>6450</v>
      </c>
      <c r="J39" s="28">
        <f t="shared" si="6"/>
        <v>5850</v>
      </c>
      <c r="K39" s="28">
        <f t="shared" si="6"/>
        <v>6150</v>
      </c>
      <c r="L39" s="28">
        <f t="shared" si="6"/>
        <v>6150</v>
      </c>
      <c r="M39" s="28">
        <f t="shared" si="6"/>
        <v>6450</v>
      </c>
    </row>
    <row r="40" spans="1:13" ht="15" x14ac:dyDescent="0.2">
      <c r="A40" s="8" t="s">
        <v>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1:13" ht="15" x14ac:dyDescent="0.2">
      <c r="A41" s="8" t="s">
        <v>3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15" x14ac:dyDescent="0.2">
      <c r="A42" s="8" t="s">
        <v>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15" x14ac:dyDescent="0.2">
      <c r="A43" s="8" t="s">
        <v>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ht="15" x14ac:dyDescent="0.2">
      <c r="A44" s="8" t="s">
        <v>73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15" x14ac:dyDescent="0.2">
      <c r="A45" s="8" t="s">
        <v>74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ht="15" x14ac:dyDescent="0.2">
      <c r="A46" s="8" t="s">
        <v>75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ht="15" x14ac:dyDescent="0.2">
      <c r="A47" s="8" t="s">
        <v>5</v>
      </c>
      <c r="B47" s="28">
        <v>200</v>
      </c>
      <c r="C47" s="28">
        <v>200</v>
      </c>
      <c r="D47" s="28">
        <v>200</v>
      </c>
      <c r="E47" s="28">
        <v>200</v>
      </c>
      <c r="F47" s="28">
        <v>200</v>
      </c>
      <c r="G47" s="28">
        <v>300</v>
      </c>
      <c r="H47" s="28">
        <v>300</v>
      </c>
      <c r="I47" s="28">
        <v>300</v>
      </c>
      <c r="J47" s="28">
        <v>300</v>
      </c>
      <c r="K47" s="28">
        <v>300</v>
      </c>
      <c r="L47" s="28">
        <v>300</v>
      </c>
      <c r="M47" s="28">
        <v>300</v>
      </c>
    </row>
    <row r="48" spans="1:13" ht="15" x14ac:dyDescent="0.2">
      <c r="A48" s="8" t="s">
        <v>6</v>
      </c>
      <c r="B48" s="29">
        <f t="shared" ref="B48:M48" si="7">SUM(B39:B47)</f>
        <v>6400</v>
      </c>
      <c r="C48" s="29">
        <f t="shared" si="7"/>
        <v>6400</v>
      </c>
      <c r="D48" s="29">
        <f t="shared" si="7"/>
        <v>6400</v>
      </c>
      <c r="E48" s="29">
        <f t="shared" si="7"/>
        <v>6600</v>
      </c>
      <c r="F48" s="29">
        <f t="shared" si="7"/>
        <v>6800</v>
      </c>
      <c r="G48" s="29">
        <f t="shared" si="7"/>
        <v>6500</v>
      </c>
      <c r="H48" s="29">
        <f t="shared" si="7"/>
        <v>6450</v>
      </c>
      <c r="I48" s="29">
        <f t="shared" si="7"/>
        <v>6750</v>
      </c>
      <c r="J48" s="29">
        <f t="shared" si="7"/>
        <v>6150</v>
      </c>
      <c r="K48" s="29">
        <f t="shared" si="7"/>
        <v>6450</v>
      </c>
      <c r="L48" s="29">
        <f t="shared" si="7"/>
        <v>6450</v>
      </c>
      <c r="M48" s="29">
        <f t="shared" si="7"/>
        <v>6750</v>
      </c>
    </row>
    <row r="49" spans="1:13" ht="15.75" thickBot="1" x14ac:dyDescent="0.25">
      <c r="A49" s="8" t="s">
        <v>7</v>
      </c>
      <c r="B49" s="30">
        <v>200</v>
      </c>
      <c r="C49" s="30">
        <v>200</v>
      </c>
      <c r="D49" s="30"/>
      <c r="E49" s="30"/>
      <c r="F49" s="30">
        <v>600</v>
      </c>
      <c r="G49" s="30">
        <v>350</v>
      </c>
      <c r="H49" s="30"/>
      <c r="I49" s="30">
        <v>900</v>
      </c>
      <c r="J49" s="30"/>
      <c r="K49" s="30">
        <v>300</v>
      </c>
      <c r="L49" s="30"/>
      <c r="M49" s="30">
        <v>350</v>
      </c>
    </row>
    <row r="50" spans="1:13" ht="15.75" thickBot="1" x14ac:dyDescent="0.25">
      <c r="A50" s="8" t="s">
        <v>111</v>
      </c>
      <c r="B50" s="35">
        <f t="shared" ref="B50:M50" si="8">B48-B49</f>
        <v>6200</v>
      </c>
      <c r="C50" s="36">
        <f t="shared" si="8"/>
        <v>6200</v>
      </c>
      <c r="D50" s="36">
        <f t="shared" si="8"/>
        <v>6400</v>
      </c>
      <c r="E50" s="36">
        <f t="shared" si="8"/>
        <v>6600</v>
      </c>
      <c r="F50" s="36">
        <f t="shared" si="8"/>
        <v>6200</v>
      </c>
      <c r="G50" s="36">
        <f t="shared" si="8"/>
        <v>6150</v>
      </c>
      <c r="H50" s="36">
        <f t="shared" si="8"/>
        <v>6450</v>
      </c>
      <c r="I50" s="36">
        <f t="shared" si="8"/>
        <v>5850</v>
      </c>
      <c r="J50" s="36">
        <f t="shared" si="8"/>
        <v>6150</v>
      </c>
      <c r="K50" s="36">
        <f t="shared" si="8"/>
        <v>6150</v>
      </c>
      <c r="L50" s="36">
        <f t="shared" si="8"/>
        <v>6450</v>
      </c>
      <c r="M50" s="37">
        <f t="shared" si="8"/>
        <v>6400</v>
      </c>
    </row>
    <row r="54" spans="1:13" ht="15.75" x14ac:dyDescent="0.25">
      <c r="A54" s="32" t="s">
        <v>0</v>
      </c>
      <c r="B54" s="32" t="s">
        <v>1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 ht="15.75" x14ac:dyDescent="0.25">
      <c r="A55" s="33"/>
      <c r="B55" s="34">
        <v>40909</v>
      </c>
      <c r="C55" s="34">
        <v>40940</v>
      </c>
      <c r="D55" s="34">
        <v>40969</v>
      </c>
      <c r="E55" s="34">
        <v>41000</v>
      </c>
      <c r="F55" s="34">
        <v>41030</v>
      </c>
      <c r="G55" s="34">
        <v>41061</v>
      </c>
      <c r="H55" s="34">
        <v>41091</v>
      </c>
      <c r="I55" s="34">
        <v>41122</v>
      </c>
      <c r="J55" s="34">
        <v>41153</v>
      </c>
      <c r="K55" s="34">
        <v>41183</v>
      </c>
      <c r="L55" s="34">
        <v>41214</v>
      </c>
      <c r="M55" s="34">
        <v>41244</v>
      </c>
    </row>
    <row r="56" spans="1:13" ht="15" x14ac:dyDescent="0.2">
      <c r="A56" s="8" t="s">
        <v>110</v>
      </c>
      <c r="B56" s="28">
        <v>200</v>
      </c>
      <c r="C56" s="28">
        <f t="shared" ref="C56:M56" si="9">B67</f>
        <v>600</v>
      </c>
      <c r="D56" s="28">
        <f t="shared" si="9"/>
        <v>1000</v>
      </c>
      <c r="E56" s="28">
        <f t="shared" si="9"/>
        <v>1400</v>
      </c>
      <c r="F56" s="28">
        <f t="shared" si="9"/>
        <v>1000</v>
      </c>
      <c r="G56" s="28">
        <f t="shared" si="9"/>
        <v>1500</v>
      </c>
      <c r="H56" s="28">
        <f t="shared" si="9"/>
        <v>2000</v>
      </c>
      <c r="I56" s="28">
        <f t="shared" si="9"/>
        <v>2500</v>
      </c>
      <c r="J56" s="28">
        <f t="shared" si="9"/>
        <v>1500</v>
      </c>
      <c r="K56" s="28">
        <f t="shared" si="9"/>
        <v>500</v>
      </c>
      <c r="L56" s="28">
        <f t="shared" si="9"/>
        <v>1000</v>
      </c>
      <c r="M56" s="28">
        <f t="shared" si="9"/>
        <v>1500</v>
      </c>
    </row>
    <row r="57" spans="1:13" ht="15" x14ac:dyDescent="0.2">
      <c r="A57" s="8" t="s">
        <v>2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 ht="15" x14ac:dyDescent="0.2">
      <c r="A58" s="8" t="s">
        <v>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ht="15" x14ac:dyDescent="0.2">
      <c r="A59" s="8" t="s">
        <v>4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ht="15" x14ac:dyDescent="0.2">
      <c r="A60" s="8" t="s">
        <v>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 ht="15" x14ac:dyDescent="0.2">
      <c r="A61" s="8" t="s">
        <v>73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 ht="15" x14ac:dyDescent="0.2">
      <c r="A62" s="8" t="s">
        <v>74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 ht="15" x14ac:dyDescent="0.2">
      <c r="A63" s="8" t="s">
        <v>75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 ht="15" x14ac:dyDescent="0.2">
      <c r="A64" s="8" t="s">
        <v>5</v>
      </c>
      <c r="B64" s="28">
        <v>400</v>
      </c>
      <c r="C64" s="28">
        <v>400</v>
      </c>
      <c r="D64" s="28">
        <v>400</v>
      </c>
      <c r="E64" s="28">
        <v>400</v>
      </c>
      <c r="F64" s="28">
        <v>500</v>
      </c>
      <c r="G64" s="28">
        <v>500</v>
      </c>
      <c r="H64" s="28">
        <v>500</v>
      </c>
      <c r="I64" s="28">
        <v>500</v>
      </c>
      <c r="J64" s="28">
        <v>500</v>
      </c>
      <c r="K64" s="28">
        <v>500</v>
      </c>
      <c r="L64" s="28">
        <v>500</v>
      </c>
      <c r="M64" s="28">
        <v>300</v>
      </c>
    </row>
    <row r="65" spans="1:13" ht="15" x14ac:dyDescent="0.2">
      <c r="A65" s="8" t="s">
        <v>6</v>
      </c>
      <c r="B65" s="29">
        <f t="shared" ref="B65:M65" si="10">SUM(B56:B64)</f>
        <v>600</v>
      </c>
      <c r="C65" s="29">
        <f t="shared" si="10"/>
        <v>1000</v>
      </c>
      <c r="D65" s="29">
        <f t="shared" si="10"/>
        <v>1400</v>
      </c>
      <c r="E65" s="29">
        <f t="shared" si="10"/>
        <v>1800</v>
      </c>
      <c r="F65" s="29">
        <f t="shared" si="10"/>
        <v>1500</v>
      </c>
      <c r="G65" s="29">
        <f t="shared" si="10"/>
        <v>2000</v>
      </c>
      <c r="H65" s="29">
        <f t="shared" si="10"/>
        <v>2500</v>
      </c>
      <c r="I65" s="29">
        <f t="shared" si="10"/>
        <v>3000</v>
      </c>
      <c r="J65" s="29">
        <f t="shared" si="10"/>
        <v>2000</v>
      </c>
      <c r="K65" s="29">
        <f t="shared" si="10"/>
        <v>1000</v>
      </c>
      <c r="L65" s="29">
        <f t="shared" si="10"/>
        <v>1500</v>
      </c>
      <c r="M65" s="29">
        <f t="shared" si="10"/>
        <v>1800</v>
      </c>
    </row>
    <row r="66" spans="1:13" ht="15.75" thickBot="1" x14ac:dyDescent="0.25">
      <c r="A66" s="8" t="s">
        <v>7</v>
      </c>
      <c r="B66" s="30"/>
      <c r="C66" s="30"/>
      <c r="D66" s="30"/>
      <c r="E66" s="30">
        <v>800</v>
      </c>
      <c r="F66" s="30"/>
      <c r="G66" s="30"/>
      <c r="H66" s="30"/>
      <c r="I66" s="30">
        <v>1500</v>
      </c>
      <c r="J66" s="30">
        <v>1500</v>
      </c>
      <c r="K66" s="30"/>
      <c r="L66" s="30"/>
      <c r="M66" s="30">
        <v>1000</v>
      </c>
    </row>
    <row r="67" spans="1:13" ht="15.75" thickBot="1" x14ac:dyDescent="0.25">
      <c r="A67" s="8" t="s">
        <v>111</v>
      </c>
      <c r="B67" s="35">
        <f t="shared" ref="B67:M67" si="11">B65-B66</f>
        <v>600</v>
      </c>
      <c r="C67" s="36">
        <f t="shared" si="11"/>
        <v>1000</v>
      </c>
      <c r="D67" s="36">
        <f t="shared" si="11"/>
        <v>1400</v>
      </c>
      <c r="E67" s="36">
        <f t="shared" si="11"/>
        <v>1000</v>
      </c>
      <c r="F67" s="36">
        <f t="shared" si="11"/>
        <v>1500</v>
      </c>
      <c r="G67" s="36">
        <f t="shared" si="11"/>
        <v>2000</v>
      </c>
      <c r="H67" s="36">
        <f t="shared" si="11"/>
        <v>2500</v>
      </c>
      <c r="I67" s="36">
        <f t="shared" si="11"/>
        <v>1500</v>
      </c>
      <c r="J67" s="36">
        <f t="shared" si="11"/>
        <v>500</v>
      </c>
      <c r="K67" s="36">
        <f t="shared" si="11"/>
        <v>1000</v>
      </c>
      <c r="L67" s="36">
        <f t="shared" si="11"/>
        <v>1500</v>
      </c>
      <c r="M67" s="37">
        <f t="shared" si="11"/>
        <v>800</v>
      </c>
    </row>
  </sheetData>
  <mergeCells count="1">
    <mergeCell ref="B2:G2"/>
  </mergeCells>
  <phoneticPr fontId="4" type="noConversion"/>
  <pageMargins left="0.75" right="0.75" top="1" bottom="1" header="0" footer="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/>
  <dimension ref="A5:N38"/>
  <sheetViews>
    <sheetView topLeftCell="A7" workbookViewId="0">
      <selection activeCell="H12" sqref="H12"/>
    </sheetView>
  </sheetViews>
  <sheetFormatPr baseColWidth="10" defaultRowHeight="12.75" x14ac:dyDescent="0.2"/>
  <cols>
    <col min="1" max="1" width="24.5703125" customWidth="1"/>
    <col min="4" max="4" width="12.5703125" hidden="1" customWidth="1"/>
    <col min="5" max="5" width="12.28515625" customWidth="1"/>
    <col min="6" max="6" width="12.85546875" bestFit="1" customWidth="1"/>
    <col min="7" max="7" width="12.7109375" customWidth="1"/>
    <col min="8" max="8" width="14.140625" customWidth="1"/>
    <col min="9" max="9" width="13.28515625" customWidth="1"/>
    <col min="10" max="10" width="13.42578125" customWidth="1"/>
    <col min="11" max="11" width="12.85546875" customWidth="1"/>
    <col min="12" max="12" width="15.140625" customWidth="1"/>
    <col min="13" max="13" width="12.85546875" customWidth="1"/>
    <col min="14" max="14" width="12" customWidth="1"/>
  </cols>
  <sheetData>
    <row r="5" spans="1:14" ht="20.25" x14ac:dyDescent="0.3">
      <c r="A5" s="11" t="s">
        <v>11</v>
      </c>
      <c r="B5" s="216" t="s">
        <v>331</v>
      </c>
      <c r="C5" s="216"/>
      <c r="D5" s="216"/>
      <c r="E5" s="216"/>
      <c r="F5" s="216"/>
      <c r="G5" s="216"/>
      <c r="H5" s="2"/>
      <c r="I5" s="2"/>
      <c r="J5" s="2"/>
      <c r="K5" s="2"/>
      <c r="L5" s="2"/>
      <c r="M5" s="2"/>
    </row>
    <row r="6" spans="1:14" ht="20.2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x14ac:dyDescent="0.2">
      <c r="A7" s="67" t="s">
        <v>0</v>
      </c>
      <c r="B7" s="67" t="s">
        <v>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</row>
    <row r="8" spans="1:14" x14ac:dyDescent="0.2">
      <c r="A8" s="65"/>
      <c r="B8" s="68">
        <v>46023</v>
      </c>
      <c r="C8" s="68">
        <v>46054</v>
      </c>
      <c r="D8" s="68">
        <v>46082</v>
      </c>
      <c r="E8" s="68">
        <v>46082</v>
      </c>
      <c r="F8" s="68">
        <v>46113</v>
      </c>
      <c r="G8" s="68">
        <v>46143</v>
      </c>
      <c r="H8" s="213">
        <v>46174</v>
      </c>
      <c r="I8" s="68">
        <v>46204</v>
      </c>
      <c r="J8" s="68">
        <v>46235</v>
      </c>
      <c r="K8" s="68">
        <v>46266</v>
      </c>
      <c r="L8" s="68">
        <v>46296</v>
      </c>
      <c r="M8" s="68">
        <v>46327</v>
      </c>
      <c r="N8" s="68">
        <v>46357</v>
      </c>
    </row>
    <row r="9" spans="1:14" x14ac:dyDescent="0.2">
      <c r="A9" s="65" t="s">
        <v>110</v>
      </c>
      <c r="B9" s="69">
        <v>10600</v>
      </c>
      <c r="C9" s="69">
        <f>B20</f>
        <v>37730</v>
      </c>
      <c r="D9" s="69">
        <f t="shared" ref="D9:N9" si="0">C20</f>
        <v>92500</v>
      </c>
      <c r="E9" s="69">
        <f t="shared" si="0"/>
        <v>92500</v>
      </c>
      <c r="F9" s="69">
        <f t="shared" si="0"/>
        <v>-26630</v>
      </c>
      <c r="G9" s="69">
        <f t="shared" si="0"/>
        <v>297690</v>
      </c>
      <c r="H9" s="214">
        <f t="shared" si="0"/>
        <v>5200</v>
      </c>
      <c r="I9" s="69">
        <f t="shared" si="0"/>
        <v>15080</v>
      </c>
      <c r="J9" s="69">
        <f t="shared" si="0"/>
        <v>15080</v>
      </c>
      <c r="K9" s="69">
        <f>J20</f>
        <v>15080</v>
      </c>
      <c r="L9" s="69">
        <f t="shared" si="0"/>
        <v>15080</v>
      </c>
      <c r="M9" s="69">
        <f t="shared" si="0"/>
        <v>15080</v>
      </c>
      <c r="N9" s="69">
        <f t="shared" si="0"/>
        <v>15080</v>
      </c>
    </row>
    <row r="10" spans="1:14" x14ac:dyDescent="0.2">
      <c r="A10" s="65" t="s">
        <v>766</v>
      </c>
      <c r="B10" s="69">
        <v>25000</v>
      </c>
      <c r="C10" s="69">
        <v>25000</v>
      </c>
      <c r="D10" s="69"/>
      <c r="E10" s="69"/>
      <c r="F10" s="69"/>
      <c r="G10" s="69"/>
      <c r="H10" s="214"/>
      <c r="I10" s="69"/>
      <c r="J10" s="69"/>
      <c r="K10" s="69"/>
      <c r="L10" s="69"/>
      <c r="M10" s="69"/>
      <c r="N10" s="151"/>
    </row>
    <row r="11" spans="1:14" x14ac:dyDescent="0.2">
      <c r="A11" s="65" t="s">
        <v>452</v>
      </c>
      <c r="B11" s="69">
        <f>5100+1800+2000+2200+2200+2000+2000+3400</f>
        <v>20700</v>
      </c>
      <c r="C11" s="69">
        <f>3400+1800+1400+1400+2200+1820+2600</f>
        <v>14620</v>
      </c>
      <c r="D11" s="204"/>
      <c r="E11" s="69">
        <f>1820+2860+6000+1820+2080+1820+3120+1820+3380</f>
        <v>24720</v>
      </c>
      <c r="F11" s="69">
        <f>3120+1820+1820+3640+1820+2080+2080+1560+1820+6400+1820+1040+2600</f>
        <v>31620</v>
      </c>
      <c r="G11" s="69">
        <f>2860+2080+1500+1040+2080+2600+1040+260+7200+1560+3120+520</f>
        <v>25860</v>
      </c>
      <c r="H11" s="214">
        <f>1300+2600+520+520+1820+3120</f>
        <v>9880</v>
      </c>
      <c r="I11" s="69"/>
      <c r="J11" s="69"/>
      <c r="K11" s="69"/>
      <c r="L11" s="69"/>
      <c r="M11" s="69"/>
      <c r="N11" s="151"/>
    </row>
    <row r="12" spans="1:14" x14ac:dyDescent="0.2">
      <c r="A12" s="65" t="s">
        <v>804</v>
      </c>
      <c r="B12" s="69"/>
      <c r="C12" s="69"/>
      <c r="D12" s="69"/>
      <c r="E12" s="69"/>
      <c r="F12" s="69"/>
      <c r="G12" s="69">
        <f>47000+6380000</f>
        <v>6427000</v>
      </c>
      <c r="H12" s="215"/>
      <c r="I12" s="69"/>
      <c r="J12" s="69"/>
      <c r="K12" s="69"/>
      <c r="L12" s="69"/>
      <c r="M12" s="69"/>
      <c r="N12" s="151"/>
    </row>
    <row r="13" spans="1:14" x14ac:dyDescent="0.2">
      <c r="A13" s="65" t="s">
        <v>488</v>
      </c>
      <c r="B13" s="69"/>
      <c r="C13" s="69">
        <v>456000</v>
      </c>
      <c r="D13" s="69"/>
      <c r="E13" s="69">
        <v>345000</v>
      </c>
      <c r="F13" s="69">
        <v>710220</v>
      </c>
      <c r="G13" s="69">
        <v>836500</v>
      </c>
      <c r="H13" s="214"/>
      <c r="I13" s="69"/>
      <c r="J13" s="69"/>
      <c r="K13" s="69"/>
      <c r="L13" s="69"/>
      <c r="M13" s="69"/>
      <c r="N13" s="151"/>
    </row>
    <row r="14" spans="1:14" x14ac:dyDescent="0.2">
      <c r="A14" s="65" t="s">
        <v>73</v>
      </c>
      <c r="B14" s="69"/>
      <c r="C14" s="69"/>
      <c r="D14" s="69"/>
      <c r="E14" s="69"/>
      <c r="F14" s="69"/>
      <c r="G14" s="69"/>
      <c r="H14" s="214"/>
      <c r="I14" s="69"/>
      <c r="J14" s="69"/>
      <c r="K14" s="69"/>
      <c r="L14" s="69"/>
      <c r="M14" s="69"/>
      <c r="N14" s="151"/>
    </row>
    <row r="15" spans="1:14" x14ac:dyDescent="0.2">
      <c r="A15" s="65" t="s">
        <v>74</v>
      </c>
      <c r="B15" s="69">
        <v>31430</v>
      </c>
      <c r="C15" s="69">
        <v>21150</v>
      </c>
      <c r="D15" s="69"/>
      <c r="E15" s="69">
        <v>21150</v>
      </c>
      <c r="F15" s="69">
        <f>22380+20000</f>
        <v>42380</v>
      </c>
      <c r="G15" s="69">
        <v>23100</v>
      </c>
      <c r="H15" s="214"/>
      <c r="I15" s="69"/>
      <c r="J15" s="69"/>
      <c r="K15" s="69"/>
      <c r="L15" s="69"/>
      <c r="M15" s="69"/>
      <c r="N15" s="151"/>
    </row>
    <row r="16" spans="1:14" x14ac:dyDescent="0.2">
      <c r="A16" s="65" t="s">
        <v>467</v>
      </c>
      <c r="B16" s="69"/>
      <c r="C16" s="69">
        <v>89000</v>
      </c>
      <c r="D16" s="69"/>
      <c r="E16" s="69"/>
      <c r="F16" s="69">
        <v>1100</v>
      </c>
      <c r="G16" s="69"/>
      <c r="H16" s="214"/>
      <c r="I16" s="69"/>
      <c r="J16" s="69"/>
      <c r="K16" s="69"/>
      <c r="L16" s="69"/>
      <c r="M16" s="69"/>
      <c r="N16" s="151"/>
    </row>
    <row r="17" spans="1:14" x14ac:dyDescent="0.2">
      <c r="A17" s="65" t="s">
        <v>5</v>
      </c>
      <c r="B17" s="69">
        <v>210000</v>
      </c>
      <c r="C17" s="69">
        <v>220000</v>
      </c>
      <c r="D17" s="69"/>
      <c r="E17" s="69">
        <v>220000</v>
      </c>
      <c r="F17" s="69">
        <v>250000</v>
      </c>
      <c r="G17" s="69">
        <v>250000</v>
      </c>
      <c r="H17" s="214"/>
      <c r="I17" s="69"/>
      <c r="J17" s="69"/>
      <c r="K17" s="69"/>
      <c r="L17" s="69"/>
      <c r="M17" s="69"/>
      <c r="N17" s="151"/>
    </row>
    <row r="18" spans="1:14" x14ac:dyDescent="0.2">
      <c r="A18" s="65" t="s">
        <v>6</v>
      </c>
      <c r="B18" s="70">
        <f>SUM(B9:B17)</f>
        <v>297730</v>
      </c>
      <c r="C18" s="70">
        <f t="shared" ref="C18:N18" si="1">SUM(C9:C17)</f>
        <v>863500</v>
      </c>
      <c r="D18" s="70">
        <f t="shared" si="1"/>
        <v>92500</v>
      </c>
      <c r="E18" s="70">
        <f t="shared" si="1"/>
        <v>703370</v>
      </c>
      <c r="F18" s="70">
        <f t="shared" si="1"/>
        <v>1008690</v>
      </c>
      <c r="G18" s="70">
        <f t="shared" si="1"/>
        <v>7860150</v>
      </c>
      <c r="H18" s="70">
        <f t="shared" si="1"/>
        <v>15080</v>
      </c>
      <c r="I18" s="69">
        <f t="shared" si="1"/>
        <v>15080</v>
      </c>
      <c r="J18" s="69">
        <f t="shared" si="1"/>
        <v>15080</v>
      </c>
      <c r="K18" s="69">
        <f t="shared" si="1"/>
        <v>15080</v>
      </c>
      <c r="L18" s="69">
        <f t="shared" si="1"/>
        <v>15080</v>
      </c>
      <c r="M18" s="69">
        <f t="shared" si="1"/>
        <v>15080</v>
      </c>
      <c r="N18" s="69">
        <f t="shared" si="1"/>
        <v>15080</v>
      </c>
    </row>
    <row r="19" spans="1:14" x14ac:dyDescent="0.2">
      <c r="A19" s="65" t="s">
        <v>7</v>
      </c>
      <c r="B19" s="71">
        <v>260000</v>
      </c>
      <c r="C19" s="71">
        <v>771000</v>
      </c>
      <c r="D19" s="71"/>
      <c r="E19" s="71">
        <f>350000+380000</f>
        <v>730000</v>
      </c>
      <c r="F19" s="71">
        <v>711000</v>
      </c>
      <c r="G19" s="71">
        <f>1420000+6434950</f>
        <v>7854950</v>
      </c>
      <c r="H19" s="71"/>
      <c r="I19" s="69"/>
      <c r="J19" s="69"/>
      <c r="K19" s="69"/>
      <c r="L19" s="69"/>
      <c r="M19" s="69"/>
      <c r="N19" s="151"/>
    </row>
    <row r="20" spans="1:14" x14ac:dyDescent="0.2">
      <c r="A20" s="65" t="s">
        <v>111</v>
      </c>
      <c r="B20" s="70">
        <f>B18-B19</f>
        <v>37730</v>
      </c>
      <c r="C20" s="70">
        <f>C18-C19</f>
        <v>92500</v>
      </c>
      <c r="D20" s="70">
        <f t="shared" ref="D20:N20" si="2">D18-D19</f>
        <v>92500</v>
      </c>
      <c r="E20" s="70">
        <f t="shared" si="2"/>
        <v>-26630</v>
      </c>
      <c r="F20" s="70">
        <f t="shared" si="2"/>
        <v>297690</v>
      </c>
      <c r="G20" s="70">
        <f>G18-G19</f>
        <v>5200</v>
      </c>
      <c r="H20" s="70">
        <f t="shared" si="2"/>
        <v>15080</v>
      </c>
      <c r="I20" s="69">
        <f t="shared" si="2"/>
        <v>15080</v>
      </c>
      <c r="J20" s="69">
        <f t="shared" si="2"/>
        <v>15080</v>
      </c>
      <c r="K20" s="69">
        <f t="shared" si="2"/>
        <v>15080</v>
      </c>
      <c r="L20" s="69">
        <f t="shared" si="2"/>
        <v>15080</v>
      </c>
      <c r="M20" s="69">
        <f t="shared" si="2"/>
        <v>15080</v>
      </c>
      <c r="N20" s="69">
        <f t="shared" si="2"/>
        <v>15080</v>
      </c>
    </row>
    <row r="21" spans="1:14" x14ac:dyDescent="0.2">
      <c r="A21" s="78"/>
      <c r="B21" s="149">
        <v>43838</v>
      </c>
      <c r="C21" s="78">
        <f>15000+4000+3000+3000+300</f>
        <v>25300</v>
      </c>
      <c r="D21" s="149">
        <v>43903</v>
      </c>
      <c r="E21" s="78"/>
      <c r="F21" s="78"/>
      <c r="G21" s="78"/>
      <c r="H21" s="78"/>
      <c r="I21" s="78"/>
      <c r="J21" s="78"/>
      <c r="K21" s="78"/>
      <c r="L21" s="78"/>
      <c r="M21" s="78"/>
    </row>
    <row r="22" spans="1:14" x14ac:dyDescent="0.2">
      <c r="A22" s="78"/>
      <c r="B22" s="78"/>
      <c r="C22" s="149"/>
      <c r="D22" s="78"/>
      <c r="E22" s="159"/>
      <c r="F22" s="78"/>
      <c r="G22" s="78"/>
      <c r="H22" s="78"/>
      <c r="I22" s="78"/>
      <c r="J22" s="78"/>
      <c r="K22" s="78"/>
      <c r="L22" s="78"/>
      <c r="M22" s="78"/>
    </row>
    <row r="23" spans="1:14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4" x14ac:dyDescent="0.2">
      <c r="A24" s="50" t="s">
        <v>0</v>
      </c>
      <c r="B24" s="50" t="s">
        <v>1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4" x14ac:dyDescent="0.2">
      <c r="A25" s="78"/>
      <c r="B25" s="79">
        <v>45658</v>
      </c>
      <c r="C25" s="79">
        <v>45689</v>
      </c>
      <c r="D25" s="79">
        <v>45717</v>
      </c>
      <c r="E25" s="79">
        <v>45717</v>
      </c>
      <c r="F25" s="79">
        <v>45748</v>
      </c>
      <c r="G25" s="79">
        <v>45778</v>
      </c>
      <c r="H25" s="79">
        <v>45809</v>
      </c>
      <c r="I25" s="79">
        <v>45839</v>
      </c>
      <c r="J25" s="79">
        <v>45870</v>
      </c>
      <c r="K25" s="79">
        <v>45901</v>
      </c>
      <c r="L25" s="79">
        <v>45931</v>
      </c>
      <c r="M25" s="79">
        <v>45962</v>
      </c>
      <c r="N25" s="79">
        <v>45992</v>
      </c>
    </row>
    <row r="26" spans="1:14" x14ac:dyDescent="0.2">
      <c r="A26" s="78" t="s">
        <v>110</v>
      </c>
      <c r="B26" s="42">
        <v>-13700</v>
      </c>
      <c r="C26" s="42">
        <f t="shared" ref="C26:N26" si="3">B37</f>
        <v>153079</v>
      </c>
      <c r="D26" s="42">
        <f t="shared" si="3"/>
        <v>311029</v>
      </c>
      <c r="E26" s="42">
        <f t="shared" si="3"/>
        <v>154024</v>
      </c>
      <c r="F26" s="42">
        <f t="shared" si="3"/>
        <v>9009</v>
      </c>
      <c r="G26" s="42">
        <f t="shared" si="3"/>
        <v>0</v>
      </c>
      <c r="H26" s="42">
        <f t="shared" si="3"/>
        <v>-2550</v>
      </c>
      <c r="I26" s="143">
        <f t="shared" si="3"/>
        <v>-15140</v>
      </c>
      <c r="J26" s="42">
        <f t="shared" si="3"/>
        <v>177960</v>
      </c>
      <c r="K26" s="42">
        <f t="shared" si="3"/>
        <v>5390</v>
      </c>
      <c r="L26" s="42">
        <f t="shared" si="3"/>
        <v>8460</v>
      </c>
      <c r="M26" s="42">
        <f t="shared" si="3"/>
        <v>6030</v>
      </c>
      <c r="N26" s="42">
        <f t="shared" si="3"/>
        <v>10600</v>
      </c>
    </row>
    <row r="27" spans="1:14" x14ac:dyDescent="0.2">
      <c r="A27" s="78" t="s">
        <v>750</v>
      </c>
      <c r="B27" s="42"/>
      <c r="C27" s="42"/>
      <c r="D27" s="42"/>
      <c r="E27" s="42"/>
      <c r="F27" s="42"/>
      <c r="G27" s="42"/>
      <c r="H27" s="42"/>
      <c r="I27" s="143"/>
      <c r="J27" s="42">
        <v>25000</v>
      </c>
      <c r="K27" s="42">
        <v>25000</v>
      </c>
      <c r="L27" s="42">
        <v>25000</v>
      </c>
      <c r="M27" s="42">
        <v>25000</v>
      </c>
      <c r="N27" s="151"/>
    </row>
    <row r="28" spans="1:14" x14ac:dyDescent="0.2">
      <c r="A28" s="78" t="s">
        <v>419</v>
      </c>
      <c r="B28" s="42"/>
      <c r="C28" s="42"/>
      <c r="D28" s="42"/>
      <c r="E28" s="42"/>
      <c r="F28" s="42">
        <f>97000+7600+590056</f>
        <v>694656</v>
      </c>
      <c r="G28" s="42"/>
      <c r="H28" s="42"/>
      <c r="I28" s="143"/>
      <c r="J28" s="42"/>
      <c r="K28" s="42"/>
      <c r="L28" s="42"/>
      <c r="M28" s="42"/>
      <c r="N28" s="151"/>
    </row>
    <row r="29" spans="1:14" x14ac:dyDescent="0.2">
      <c r="A29" s="78" t="s">
        <v>432</v>
      </c>
      <c r="B29" s="42">
        <f>1700+945+1200+600+1200+600+3000+2000+2400</f>
        <v>13645</v>
      </c>
      <c r="C29" s="42">
        <f>(600+1200+2000)</f>
        <v>3800</v>
      </c>
      <c r="D29" s="42">
        <f>1900+1300+500+2565+2565+600+1400+800+1700+600+300+1200</f>
        <v>15430</v>
      </c>
      <c r="E29" s="42">
        <f>600+300+1400+600+1200+1400+600+300+100+600+600+1200+300</f>
        <v>9200</v>
      </c>
      <c r="F29" s="42">
        <f>300+1000+600+300+600+1000+600+1200+400+1000+400+200</f>
        <v>7600</v>
      </c>
      <c r="G29" s="42">
        <f>1890+200+600+1000+600+300+1000+600+1000+1755+300+600+1000</f>
        <v>10845</v>
      </c>
      <c r="H29" s="42">
        <f>300+600+1000+1000+600+300+1600+300+400+800+405+300+600+900+400+500+800</f>
        <v>10805</v>
      </c>
      <c r="I29" s="143">
        <f>300+800+600+100+100+300+800+600+900+500</f>
        <v>5000</v>
      </c>
      <c r="J29" s="42">
        <f>4290+500+600+700+400+400+700+1080+6800+400+400+700+6800</f>
        <v>23770</v>
      </c>
      <c r="K29" s="42">
        <f>300+400+700+1400+1600+1000+2400+1000+1000+800+1600+1200+3000+300+2000</f>
        <v>18700</v>
      </c>
      <c r="L29" s="42">
        <f>1400+2000+3400+1600+2000+1400+1400</f>
        <v>13200</v>
      </c>
      <c r="M29" s="42">
        <f>2100+1600+2000+1600+1800+1600+1400+1800+1800+2000+2000</f>
        <v>19700</v>
      </c>
      <c r="N29" s="151"/>
    </row>
    <row r="30" spans="1:14" x14ac:dyDescent="0.2">
      <c r="A30" s="78" t="s">
        <v>509</v>
      </c>
      <c r="B30" s="42"/>
      <c r="C30" s="42"/>
      <c r="D30" s="42">
        <v>98350</v>
      </c>
      <c r="E30" s="42"/>
      <c r="F30" s="42">
        <v>100200</v>
      </c>
      <c r="G30" s="42"/>
      <c r="H30" s="42"/>
      <c r="I30" s="143"/>
      <c r="J30" s="42"/>
      <c r="K30" s="42"/>
      <c r="L30" s="42"/>
      <c r="M30" s="42">
        <f>355000+86682+6720</f>
        <v>448402</v>
      </c>
      <c r="N30" s="151"/>
    </row>
    <row r="31" spans="1:14" x14ac:dyDescent="0.2">
      <c r="A31" s="78" t="s">
        <v>73</v>
      </c>
      <c r="B31" s="42"/>
      <c r="C31" s="42"/>
      <c r="D31" s="42"/>
      <c r="E31" s="42"/>
      <c r="F31" s="42">
        <v>34974</v>
      </c>
      <c r="G31" s="42"/>
      <c r="H31" s="42"/>
      <c r="I31" s="143"/>
      <c r="J31" s="42"/>
      <c r="K31" s="42"/>
      <c r="L31" s="42"/>
      <c r="M31" s="42"/>
      <c r="N31" s="151"/>
    </row>
    <row r="32" spans="1:14" x14ac:dyDescent="0.2">
      <c r="A32" s="78" t="s">
        <v>510</v>
      </c>
      <c r="B32" s="42">
        <v>23134</v>
      </c>
      <c r="C32" s="42">
        <v>24150</v>
      </c>
      <c r="D32" s="42">
        <f>18715+25000</f>
        <v>43715</v>
      </c>
      <c r="E32" s="42">
        <v>46785</v>
      </c>
      <c r="F32" s="42">
        <v>17346</v>
      </c>
      <c r="G32" s="42">
        <f>26605+100000</f>
        <v>126605</v>
      </c>
      <c r="H32" s="42">
        <v>26605</v>
      </c>
      <c r="I32" s="143">
        <f>18100+10000</f>
        <v>28100</v>
      </c>
      <c r="J32" s="42">
        <v>18660</v>
      </c>
      <c r="K32" s="42">
        <v>19370</v>
      </c>
      <c r="L32" s="42">
        <v>19370</v>
      </c>
      <c r="M32" s="42">
        <v>20715</v>
      </c>
      <c r="N32" s="151"/>
    </row>
    <row r="33" spans="1:14" x14ac:dyDescent="0.2">
      <c r="A33" s="78" t="s">
        <v>502</v>
      </c>
      <c r="B33" s="42"/>
      <c r="C33" s="42"/>
      <c r="D33" s="42"/>
      <c r="E33" s="42"/>
      <c r="F33" s="42"/>
      <c r="G33" s="42"/>
      <c r="H33" s="42"/>
      <c r="I33" s="143"/>
      <c r="J33" s="42"/>
      <c r="K33" s="42"/>
      <c r="L33" s="42"/>
      <c r="M33" s="42"/>
      <c r="N33" s="151"/>
    </row>
    <row r="34" spans="1:14" x14ac:dyDescent="0.2">
      <c r="A34" s="78" t="s">
        <v>5</v>
      </c>
      <c r="B34" s="42">
        <v>130000</v>
      </c>
      <c r="C34" s="42">
        <v>130000</v>
      </c>
      <c r="D34" s="42">
        <v>130000</v>
      </c>
      <c r="E34" s="42">
        <v>150000</v>
      </c>
      <c r="F34" s="42">
        <v>150000</v>
      </c>
      <c r="G34" s="42">
        <v>150000</v>
      </c>
      <c r="H34" s="42">
        <v>150000</v>
      </c>
      <c r="I34" s="143">
        <v>160000</v>
      </c>
      <c r="J34" s="42">
        <v>160000</v>
      </c>
      <c r="K34" s="42">
        <v>160000</v>
      </c>
      <c r="L34" s="42">
        <v>170000</v>
      </c>
      <c r="M34" s="42">
        <v>200000</v>
      </c>
      <c r="N34" s="151"/>
    </row>
    <row r="35" spans="1:14" x14ac:dyDescent="0.2">
      <c r="A35" s="78" t="s">
        <v>6</v>
      </c>
      <c r="B35" s="43">
        <f>SUM(B26:B34)</f>
        <v>153079</v>
      </c>
      <c r="C35" s="43">
        <f t="shared" ref="C35:N35" si="4">SUM(C26:C34)</f>
        <v>311029</v>
      </c>
      <c r="D35" s="43">
        <f t="shared" si="4"/>
        <v>598524</v>
      </c>
      <c r="E35" s="43">
        <f t="shared" si="4"/>
        <v>360009</v>
      </c>
      <c r="F35" s="43">
        <f t="shared" si="4"/>
        <v>1013785</v>
      </c>
      <c r="G35" s="43">
        <f t="shared" si="4"/>
        <v>287450</v>
      </c>
      <c r="H35" s="43">
        <f t="shared" si="4"/>
        <v>184860</v>
      </c>
      <c r="I35" s="43">
        <f t="shared" si="4"/>
        <v>177960</v>
      </c>
      <c r="J35" s="42">
        <f t="shared" si="4"/>
        <v>405390</v>
      </c>
      <c r="K35" s="42">
        <f t="shared" si="4"/>
        <v>228460</v>
      </c>
      <c r="L35" s="42">
        <f t="shared" si="4"/>
        <v>236030</v>
      </c>
      <c r="M35" s="42">
        <f t="shared" si="4"/>
        <v>719847</v>
      </c>
      <c r="N35" s="42">
        <f t="shared" si="4"/>
        <v>10600</v>
      </c>
    </row>
    <row r="36" spans="1:14" x14ac:dyDescent="0.2">
      <c r="A36" s="78" t="s">
        <v>7</v>
      </c>
      <c r="B36" s="44"/>
      <c r="C36" s="44"/>
      <c r="D36" s="44">
        <v>444500</v>
      </c>
      <c r="E36" s="44">
        <v>351000</v>
      </c>
      <c r="F36" s="44">
        <v>1013785</v>
      </c>
      <c r="G36" s="44">
        <v>290000</v>
      </c>
      <c r="H36" s="44">
        <v>200000</v>
      </c>
      <c r="I36" s="44"/>
      <c r="J36" s="42">
        <v>400000</v>
      </c>
      <c r="K36" s="42">
        <v>220000</v>
      </c>
      <c r="L36" s="42">
        <v>230000</v>
      </c>
      <c r="M36" s="42">
        <v>709247</v>
      </c>
      <c r="N36" s="151"/>
    </row>
    <row r="37" spans="1:14" x14ac:dyDescent="0.2">
      <c r="A37" s="78" t="s">
        <v>111</v>
      </c>
      <c r="B37" s="43">
        <f>B35-B36</f>
        <v>153079</v>
      </c>
      <c r="C37" s="43">
        <f>C35-C36</f>
        <v>311029</v>
      </c>
      <c r="D37" s="43">
        <f t="shared" ref="D37:N37" si="5">D35-D36</f>
        <v>154024</v>
      </c>
      <c r="E37" s="43">
        <f t="shared" si="5"/>
        <v>9009</v>
      </c>
      <c r="F37" s="43">
        <f t="shared" si="5"/>
        <v>0</v>
      </c>
      <c r="G37" s="43">
        <f t="shared" si="5"/>
        <v>-2550</v>
      </c>
      <c r="H37" s="43">
        <f t="shared" si="5"/>
        <v>-15140</v>
      </c>
      <c r="I37" s="43">
        <f t="shared" si="5"/>
        <v>177960</v>
      </c>
      <c r="J37" s="42">
        <f t="shared" si="5"/>
        <v>5390</v>
      </c>
      <c r="K37" s="42">
        <f t="shared" si="5"/>
        <v>8460</v>
      </c>
      <c r="L37" s="42">
        <f t="shared" si="5"/>
        <v>6030</v>
      </c>
      <c r="M37" s="42">
        <f t="shared" si="5"/>
        <v>10600</v>
      </c>
      <c r="N37" s="42">
        <f t="shared" si="5"/>
        <v>10600</v>
      </c>
    </row>
    <row r="38" spans="1:14" x14ac:dyDescent="0.2">
      <c r="C38" s="128"/>
      <c r="J38" s="128">
        <v>45919</v>
      </c>
      <c r="K38" s="128"/>
    </row>
  </sheetData>
  <mergeCells count="1">
    <mergeCell ref="B5:G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/>
  <dimension ref="A5:M72"/>
  <sheetViews>
    <sheetView topLeftCell="A4" workbookViewId="0">
      <selection activeCell="J17" sqref="J17:M17"/>
    </sheetView>
  </sheetViews>
  <sheetFormatPr baseColWidth="10" defaultRowHeight="12.75" x14ac:dyDescent="0.2"/>
  <cols>
    <col min="1" max="1" width="26.140625" customWidth="1"/>
    <col min="7" max="7" width="13" customWidth="1"/>
    <col min="8" max="8" width="13.28515625" customWidth="1"/>
    <col min="9" max="9" width="13.42578125" customWidth="1"/>
    <col min="10" max="10" width="12.5703125" customWidth="1"/>
    <col min="11" max="11" width="12.7109375" customWidth="1"/>
    <col min="12" max="12" width="13.28515625" customWidth="1"/>
    <col min="13" max="13" width="12.5703125" customWidth="1"/>
  </cols>
  <sheetData>
    <row r="5" spans="1:13" ht="20.25" x14ac:dyDescent="0.3">
      <c r="A5" s="11" t="s">
        <v>11</v>
      </c>
      <c r="B5" s="216" t="s">
        <v>84</v>
      </c>
      <c r="C5" s="216"/>
      <c r="D5" s="216"/>
      <c r="E5" s="216"/>
      <c r="F5" s="216"/>
      <c r="G5" s="216"/>
      <c r="H5" s="2"/>
      <c r="I5" s="2"/>
      <c r="J5" s="2"/>
      <c r="K5" s="2"/>
      <c r="L5" s="2"/>
      <c r="M5" s="2"/>
    </row>
    <row r="6" spans="1:13" ht="20.2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50" t="s">
        <v>0</v>
      </c>
      <c r="B7" s="50" t="s">
        <v>1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</row>
    <row r="8" spans="1:13" x14ac:dyDescent="0.2">
      <c r="A8" s="78"/>
      <c r="B8" s="79">
        <v>45666</v>
      </c>
      <c r="C8" s="79">
        <v>45697</v>
      </c>
      <c r="D8" s="79">
        <v>45725</v>
      </c>
      <c r="E8" s="79">
        <v>45756</v>
      </c>
      <c r="F8" s="79">
        <v>45786</v>
      </c>
      <c r="G8" s="79">
        <v>45817</v>
      </c>
      <c r="H8" s="79">
        <v>45847</v>
      </c>
      <c r="I8" s="79">
        <v>45878</v>
      </c>
      <c r="J8" s="79">
        <v>45909</v>
      </c>
      <c r="K8" s="79">
        <v>45939</v>
      </c>
      <c r="L8" s="79">
        <v>45970</v>
      </c>
      <c r="M8" s="79">
        <v>46000</v>
      </c>
    </row>
    <row r="9" spans="1:13" x14ac:dyDescent="0.2">
      <c r="A9" s="78" t="s">
        <v>110</v>
      </c>
      <c r="B9" s="42">
        <v>240000</v>
      </c>
      <c r="C9" s="42">
        <f>B20</f>
        <v>390000</v>
      </c>
      <c r="D9" s="42">
        <f t="shared" ref="D9:M9" si="0">C20</f>
        <v>540000</v>
      </c>
      <c r="E9" s="42">
        <f t="shared" si="0"/>
        <v>690000</v>
      </c>
      <c r="F9" s="42">
        <f t="shared" si="0"/>
        <v>840000</v>
      </c>
      <c r="G9" s="42">
        <f t="shared" si="0"/>
        <v>990000</v>
      </c>
      <c r="H9" s="42">
        <f t="shared" si="0"/>
        <v>1140000</v>
      </c>
      <c r="I9" s="42">
        <f t="shared" si="0"/>
        <v>1290000</v>
      </c>
      <c r="J9" s="42">
        <f t="shared" si="0"/>
        <v>1440000</v>
      </c>
      <c r="K9" s="42">
        <f>J20</f>
        <v>1590000</v>
      </c>
      <c r="L9" s="42">
        <f t="shared" si="0"/>
        <v>1740000</v>
      </c>
      <c r="M9" s="42">
        <f t="shared" si="0"/>
        <v>1890000</v>
      </c>
    </row>
    <row r="10" spans="1:13" x14ac:dyDescent="0.2">
      <c r="A10" s="78" t="s">
        <v>76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75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5</v>
      </c>
      <c r="B17" s="42">
        <v>150000</v>
      </c>
      <c r="C17" s="42">
        <v>150000</v>
      </c>
      <c r="D17" s="42">
        <v>150000</v>
      </c>
      <c r="E17" s="42">
        <v>150000</v>
      </c>
      <c r="F17" s="42">
        <v>150000</v>
      </c>
      <c r="G17" s="42">
        <v>150000</v>
      </c>
      <c r="H17" s="42">
        <v>150000</v>
      </c>
      <c r="I17" s="42">
        <v>150000</v>
      </c>
      <c r="J17" s="42">
        <v>150000</v>
      </c>
      <c r="K17" s="42">
        <v>150000</v>
      </c>
      <c r="L17" s="42">
        <v>150000</v>
      </c>
      <c r="M17" s="42">
        <v>150000</v>
      </c>
    </row>
    <row r="18" spans="1:13" x14ac:dyDescent="0.2">
      <c r="A18" s="78" t="s">
        <v>6</v>
      </c>
      <c r="B18" s="43">
        <f>SUM(B9:B17)</f>
        <v>390000</v>
      </c>
      <c r="C18" s="43">
        <f t="shared" ref="C18:M18" si="1">SUM(C9:C17)</f>
        <v>540000</v>
      </c>
      <c r="D18" s="43">
        <f t="shared" si="1"/>
        <v>690000</v>
      </c>
      <c r="E18" s="43">
        <f t="shared" si="1"/>
        <v>840000</v>
      </c>
      <c r="F18" s="43">
        <f t="shared" si="1"/>
        <v>990000</v>
      </c>
      <c r="G18" s="43">
        <f t="shared" si="1"/>
        <v>1140000</v>
      </c>
      <c r="H18" s="43">
        <f t="shared" si="1"/>
        <v>1290000</v>
      </c>
      <c r="I18" s="43">
        <f t="shared" si="1"/>
        <v>1440000</v>
      </c>
      <c r="J18" s="43">
        <f t="shared" si="1"/>
        <v>1590000</v>
      </c>
      <c r="K18" s="43">
        <f t="shared" si="1"/>
        <v>1740000</v>
      </c>
      <c r="L18" s="43">
        <f t="shared" si="1"/>
        <v>1890000</v>
      </c>
      <c r="M18" s="43">
        <f t="shared" si="1"/>
        <v>2040000</v>
      </c>
    </row>
    <row r="19" spans="1:13" x14ac:dyDescent="0.2">
      <c r="A19" s="78" t="s">
        <v>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spans="1:13" x14ac:dyDescent="0.2">
      <c r="A20" s="78" t="s">
        <v>111</v>
      </c>
      <c r="B20" s="43">
        <f>B18-B19</f>
        <v>390000</v>
      </c>
      <c r="C20" s="43">
        <f>C18-C19</f>
        <v>540000</v>
      </c>
      <c r="D20" s="43">
        <f t="shared" ref="D20:M20" si="2">D18-D19</f>
        <v>690000</v>
      </c>
      <c r="E20" s="43">
        <f t="shared" si="2"/>
        <v>840000</v>
      </c>
      <c r="F20" s="43">
        <f t="shared" si="2"/>
        <v>990000</v>
      </c>
      <c r="G20" s="43">
        <f t="shared" si="2"/>
        <v>1140000</v>
      </c>
      <c r="H20" s="43">
        <f t="shared" si="2"/>
        <v>1290000</v>
      </c>
      <c r="I20" s="43">
        <f t="shared" si="2"/>
        <v>1440000</v>
      </c>
      <c r="J20" s="43">
        <f t="shared" si="2"/>
        <v>1590000</v>
      </c>
      <c r="K20" s="43">
        <f t="shared" si="2"/>
        <v>1740000</v>
      </c>
      <c r="L20" s="43">
        <f t="shared" si="2"/>
        <v>1890000</v>
      </c>
      <c r="M20" s="43">
        <f t="shared" si="2"/>
        <v>2040000</v>
      </c>
    </row>
    <row r="21" spans="1:13" x14ac:dyDescent="0.2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x14ac:dyDescent="0.2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3" x14ac:dyDescent="0.2">
      <c r="A25" s="50" t="s">
        <v>0</v>
      </c>
      <c r="B25" s="50" t="s">
        <v>1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</row>
    <row r="26" spans="1:13" x14ac:dyDescent="0.2">
      <c r="A26" s="78"/>
      <c r="B26" s="79">
        <v>44562</v>
      </c>
      <c r="C26" s="79">
        <v>44593</v>
      </c>
      <c r="D26" s="79">
        <v>44621</v>
      </c>
      <c r="E26" s="79">
        <v>44652</v>
      </c>
      <c r="F26" s="79">
        <v>44682</v>
      </c>
      <c r="G26" s="79">
        <v>44713</v>
      </c>
      <c r="H26" s="79">
        <v>44743</v>
      </c>
      <c r="I26" s="79">
        <v>44774</v>
      </c>
      <c r="J26" s="79">
        <v>44805</v>
      </c>
      <c r="K26" s="79">
        <v>44835</v>
      </c>
      <c r="L26" s="79">
        <v>44866</v>
      </c>
      <c r="M26" s="79">
        <v>44896</v>
      </c>
    </row>
    <row r="27" spans="1:13" x14ac:dyDescent="0.2">
      <c r="A27" s="78" t="s">
        <v>110</v>
      </c>
      <c r="B27" s="42"/>
      <c r="C27" s="42">
        <f t="shared" ref="C27:M27" si="3">B38</f>
        <v>25000</v>
      </c>
      <c r="D27" s="42">
        <f t="shared" si="3"/>
        <v>50000</v>
      </c>
      <c r="E27" s="42">
        <f t="shared" si="3"/>
        <v>75000</v>
      </c>
      <c r="F27" s="42">
        <f t="shared" si="3"/>
        <v>100000</v>
      </c>
      <c r="G27" s="42">
        <f t="shared" si="3"/>
        <v>125000</v>
      </c>
      <c r="H27" s="42">
        <f t="shared" si="3"/>
        <v>150000</v>
      </c>
      <c r="I27" s="42">
        <f t="shared" si="3"/>
        <v>175000</v>
      </c>
      <c r="J27" s="42">
        <f t="shared" si="3"/>
        <v>200000</v>
      </c>
      <c r="K27" s="42">
        <f t="shared" si="3"/>
        <v>225000</v>
      </c>
      <c r="L27" s="42">
        <f t="shared" si="3"/>
        <v>250000</v>
      </c>
      <c r="M27" s="42">
        <f t="shared" si="3"/>
        <v>275000</v>
      </c>
    </row>
    <row r="28" spans="1:13" x14ac:dyDescent="0.2">
      <c r="A28" s="78" t="s">
        <v>76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74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75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5</v>
      </c>
      <c r="B35" s="42">
        <v>25000</v>
      </c>
      <c r="C35" s="42">
        <v>25000</v>
      </c>
      <c r="D35" s="42">
        <v>25000</v>
      </c>
      <c r="E35" s="42">
        <v>25000</v>
      </c>
      <c r="F35" s="42">
        <v>25000</v>
      </c>
      <c r="G35" s="42">
        <v>25000</v>
      </c>
      <c r="H35" s="42">
        <v>25000</v>
      </c>
      <c r="I35" s="42">
        <v>25000</v>
      </c>
      <c r="J35" s="42">
        <v>25000</v>
      </c>
      <c r="K35" s="42">
        <v>25000</v>
      </c>
      <c r="L35" s="42">
        <v>25000</v>
      </c>
      <c r="M35" s="42">
        <v>25000</v>
      </c>
    </row>
    <row r="36" spans="1:13" x14ac:dyDescent="0.2">
      <c r="A36" s="78" t="s">
        <v>6</v>
      </c>
      <c r="B36" s="43">
        <f t="shared" ref="B36:M36" si="4">SUM(B27:B35)</f>
        <v>25000</v>
      </c>
      <c r="C36" s="43">
        <f t="shared" si="4"/>
        <v>50000</v>
      </c>
      <c r="D36" s="43">
        <f t="shared" si="4"/>
        <v>75000</v>
      </c>
      <c r="E36" s="43">
        <f t="shared" si="4"/>
        <v>100000</v>
      </c>
      <c r="F36" s="43">
        <f t="shared" si="4"/>
        <v>125000</v>
      </c>
      <c r="G36" s="43">
        <f t="shared" si="4"/>
        <v>150000</v>
      </c>
      <c r="H36" s="43">
        <f t="shared" si="4"/>
        <v>175000</v>
      </c>
      <c r="I36" s="43">
        <f t="shared" si="4"/>
        <v>200000</v>
      </c>
      <c r="J36" s="43">
        <f t="shared" si="4"/>
        <v>225000</v>
      </c>
      <c r="K36" s="43">
        <f t="shared" si="4"/>
        <v>250000</v>
      </c>
      <c r="L36" s="43">
        <f t="shared" si="4"/>
        <v>275000</v>
      </c>
      <c r="M36" s="43">
        <f t="shared" si="4"/>
        <v>300000</v>
      </c>
    </row>
    <row r="37" spans="1:13" x14ac:dyDescent="0.2">
      <c r="A37" s="78" t="s">
        <v>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>
        <v>300000</v>
      </c>
    </row>
    <row r="38" spans="1:13" x14ac:dyDescent="0.2">
      <c r="A38" s="78" t="s">
        <v>111</v>
      </c>
      <c r="B38" s="43">
        <f t="shared" ref="B38:M38" si="5">B36-B37</f>
        <v>25000</v>
      </c>
      <c r="C38" s="43">
        <f t="shared" si="5"/>
        <v>50000</v>
      </c>
      <c r="D38" s="43">
        <f t="shared" si="5"/>
        <v>75000</v>
      </c>
      <c r="E38" s="43">
        <f t="shared" si="5"/>
        <v>100000</v>
      </c>
      <c r="F38" s="43">
        <f t="shared" si="5"/>
        <v>125000</v>
      </c>
      <c r="G38" s="43">
        <f t="shared" si="5"/>
        <v>150000</v>
      </c>
      <c r="H38" s="43">
        <f t="shared" si="5"/>
        <v>175000</v>
      </c>
      <c r="I38" s="43">
        <f t="shared" si="5"/>
        <v>200000</v>
      </c>
      <c r="J38" s="43">
        <f t="shared" si="5"/>
        <v>225000</v>
      </c>
      <c r="K38" s="43">
        <f t="shared" si="5"/>
        <v>250000</v>
      </c>
      <c r="L38" s="43">
        <f t="shared" si="5"/>
        <v>275000</v>
      </c>
      <c r="M38" s="43">
        <f t="shared" si="5"/>
        <v>0</v>
      </c>
    </row>
    <row r="39" spans="1:13" x14ac:dyDescent="0.2">
      <c r="A39" s="78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spans="1:13" x14ac:dyDescent="0.2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</row>
    <row r="42" spans="1:13" ht="15.75" x14ac:dyDescent="0.25">
      <c r="A42" s="31" t="s">
        <v>0</v>
      </c>
      <c r="B42" s="31" t="s">
        <v>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2">
      <c r="A43" s="78"/>
      <c r="B43" s="79">
        <v>45292</v>
      </c>
      <c r="C43" s="79">
        <v>45323</v>
      </c>
      <c r="D43" s="79">
        <v>45352</v>
      </c>
      <c r="E43" s="79">
        <v>45383</v>
      </c>
      <c r="F43" s="79">
        <v>45413</v>
      </c>
      <c r="G43" s="79">
        <v>45444</v>
      </c>
      <c r="H43" s="79">
        <v>45474</v>
      </c>
      <c r="I43" s="79">
        <v>45505</v>
      </c>
      <c r="J43" s="79">
        <v>45536</v>
      </c>
      <c r="K43" s="79">
        <v>45566</v>
      </c>
      <c r="L43" s="79">
        <v>45597</v>
      </c>
      <c r="M43" s="79">
        <v>45627</v>
      </c>
    </row>
    <row r="44" spans="1:13" x14ac:dyDescent="0.2">
      <c r="A44" s="78" t="s">
        <v>110</v>
      </c>
      <c r="B44" s="42"/>
      <c r="C44" s="42">
        <f t="shared" ref="C44:M44" si="6">B55</f>
        <v>100000</v>
      </c>
      <c r="D44" s="42">
        <f t="shared" si="6"/>
        <v>200000</v>
      </c>
      <c r="E44" s="42">
        <f t="shared" si="6"/>
        <v>300000</v>
      </c>
      <c r="F44" s="42">
        <f t="shared" si="6"/>
        <v>400000</v>
      </c>
      <c r="G44" s="42">
        <f t="shared" si="6"/>
        <v>500000</v>
      </c>
      <c r="H44" s="42">
        <f t="shared" si="6"/>
        <v>600000</v>
      </c>
      <c r="I44" s="42">
        <f t="shared" si="6"/>
        <v>700000</v>
      </c>
      <c r="J44" s="42">
        <f t="shared" si="6"/>
        <v>800000</v>
      </c>
      <c r="K44" s="42">
        <f t="shared" si="6"/>
        <v>900000</v>
      </c>
      <c r="L44" s="42">
        <f t="shared" si="6"/>
        <v>1000000</v>
      </c>
      <c r="M44" s="42">
        <f t="shared" si="6"/>
        <v>140000</v>
      </c>
    </row>
    <row r="45" spans="1:13" x14ac:dyDescent="0.2">
      <c r="A45" s="78" t="s">
        <v>76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3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4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9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73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74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75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 t="s">
        <v>5</v>
      </c>
      <c r="B52" s="42">
        <v>100000</v>
      </c>
      <c r="C52" s="42">
        <v>100000</v>
      </c>
      <c r="D52" s="42">
        <v>100000</v>
      </c>
      <c r="E52" s="42">
        <v>100000</v>
      </c>
      <c r="F52" s="42">
        <v>100000</v>
      </c>
      <c r="G52" s="42">
        <v>100000</v>
      </c>
      <c r="H52" s="42">
        <v>100000</v>
      </c>
      <c r="I52" s="42">
        <v>100000</v>
      </c>
      <c r="J52" s="42">
        <v>100000</v>
      </c>
      <c r="K52" s="42">
        <v>100000</v>
      </c>
      <c r="L52" s="42">
        <v>100000</v>
      </c>
      <c r="M52" s="42">
        <v>100000</v>
      </c>
    </row>
    <row r="53" spans="1:13" x14ac:dyDescent="0.2">
      <c r="A53" s="78" t="s">
        <v>6</v>
      </c>
      <c r="B53" s="43">
        <f t="shared" ref="B53:M53" si="7">SUM(B44:B52)</f>
        <v>100000</v>
      </c>
      <c r="C53" s="43">
        <f t="shared" si="7"/>
        <v>200000</v>
      </c>
      <c r="D53" s="43">
        <f t="shared" si="7"/>
        <v>300000</v>
      </c>
      <c r="E53" s="43">
        <f t="shared" si="7"/>
        <v>400000</v>
      </c>
      <c r="F53" s="43">
        <f t="shared" si="7"/>
        <v>500000</v>
      </c>
      <c r="G53" s="43">
        <f t="shared" si="7"/>
        <v>600000</v>
      </c>
      <c r="H53" s="43">
        <f t="shared" si="7"/>
        <v>700000</v>
      </c>
      <c r="I53" s="43">
        <f t="shared" si="7"/>
        <v>800000</v>
      </c>
      <c r="J53" s="43">
        <f t="shared" si="7"/>
        <v>900000</v>
      </c>
      <c r="K53" s="43">
        <f t="shared" si="7"/>
        <v>1000000</v>
      </c>
      <c r="L53" s="43">
        <f t="shared" si="7"/>
        <v>1100000</v>
      </c>
      <c r="M53" s="43">
        <f t="shared" si="7"/>
        <v>240000</v>
      </c>
    </row>
    <row r="54" spans="1:13" x14ac:dyDescent="0.2">
      <c r="A54" s="78" t="s">
        <v>7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153">
        <v>960000</v>
      </c>
      <c r="M54" s="44"/>
    </row>
    <row r="55" spans="1:13" x14ac:dyDescent="0.2">
      <c r="A55" s="78" t="s">
        <v>111</v>
      </c>
      <c r="B55" s="43">
        <f t="shared" ref="B55:M55" si="8">B53-B54</f>
        <v>100000</v>
      </c>
      <c r="C55" s="43">
        <f t="shared" si="8"/>
        <v>200000</v>
      </c>
      <c r="D55" s="43">
        <f t="shared" si="8"/>
        <v>300000</v>
      </c>
      <c r="E55" s="43">
        <f t="shared" si="8"/>
        <v>400000</v>
      </c>
      <c r="F55" s="43">
        <f t="shared" si="8"/>
        <v>500000</v>
      </c>
      <c r="G55" s="43">
        <f t="shared" si="8"/>
        <v>600000</v>
      </c>
      <c r="H55" s="43">
        <f t="shared" si="8"/>
        <v>700000</v>
      </c>
      <c r="I55" s="43">
        <f t="shared" si="8"/>
        <v>800000</v>
      </c>
      <c r="J55" s="43">
        <f t="shared" si="8"/>
        <v>900000</v>
      </c>
      <c r="K55" s="43">
        <f t="shared" si="8"/>
        <v>1000000</v>
      </c>
      <c r="L55" s="43">
        <f t="shared" si="8"/>
        <v>140000</v>
      </c>
      <c r="M55" s="43">
        <f t="shared" si="8"/>
        <v>240000</v>
      </c>
    </row>
    <row r="56" spans="1:13" x14ac:dyDescent="0.2">
      <c r="L56" s="124" t="s">
        <v>743</v>
      </c>
    </row>
    <row r="59" spans="1:13" ht="15.75" x14ac:dyDescent="0.25">
      <c r="A59" s="31" t="s">
        <v>0</v>
      </c>
      <c r="B59" s="31" t="s">
        <v>1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2">
      <c r="A60" s="78"/>
      <c r="B60" s="79">
        <v>43831</v>
      </c>
      <c r="C60" s="79">
        <v>43862</v>
      </c>
      <c r="D60" s="79">
        <v>43891</v>
      </c>
      <c r="E60" s="79">
        <v>43922</v>
      </c>
      <c r="F60" s="79">
        <v>43952</v>
      </c>
      <c r="G60" s="79">
        <v>43983</v>
      </c>
      <c r="H60" s="79">
        <v>44013</v>
      </c>
      <c r="I60" s="79">
        <v>44044</v>
      </c>
      <c r="J60" s="79">
        <v>44075</v>
      </c>
      <c r="K60" s="79">
        <v>44105</v>
      </c>
      <c r="L60" s="79">
        <v>44136</v>
      </c>
      <c r="M60" s="79">
        <v>44166</v>
      </c>
    </row>
    <row r="61" spans="1:13" x14ac:dyDescent="0.2">
      <c r="A61" s="78" t="s">
        <v>110</v>
      </c>
      <c r="B61" s="42"/>
      <c r="C61" s="42">
        <f t="shared" ref="C61:M61" si="9">B72</f>
        <v>8000</v>
      </c>
      <c r="D61" s="42">
        <f t="shared" si="9"/>
        <v>16000</v>
      </c>
      <c r="E61" s="42">
        <f t="shared" si="9"/>
        <v>24000</v>
      </c>
      <c r="F61" s="42">
        <f t="shared" si="9"/>
        <v>32000</v>
      </c>
      <c r="G61" s="42">
        <f t="shared" si="9"/>
        <v>40000</v>
      </c>
      <c r="H61" s="42">
        <f t="shared" si="9"/>
        <v>48000</v>
      </c>
      <c r="I61" s="42">
        <f t="shared" si="9"/>
        <v>56000</v>
      </c>
      <c r="J61" s="42">
        <f t="shared" si="9"/>
        <v>64000</v>
      </c>
      <c r="K61" s="42">
        <f t="shared" si="9"/>
        <v>72000</v>
      </c>
      <c r="L61" s="42">
        <f t="shared" si="9"/>
        <v>80000</v>
      </c>
      <c r="M61" s="42">
        <f t="shared" si="9"/>
        <v>88000</v>
      </c>
    </row>
    <row r="62" spans="1:13" x14ac:dyDescent="0.2">
      <c r="A62" s="78" t="s">
        <v>76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2">
      <c r="A63" s="78" t="s">
        <v>3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x14ac:dyDescent="0.2">
      <c r="A64" s="78" t="s">
        <v>4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</row>
    <row r="65" spans="1:13" x14ac:dyDescent="0.2">
      <c r="A65" s="78" t="s">
        <v>9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</row>
    <row r="66" spans="1:13" x14ac:dyDescent="0.2">
      <c r="A66" s="78" t="s">
        <v>73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</row>
    <row r="67" spans="1:13" x14ac:dyDescent="0.2">
      <c r="A67" s="78" t="s">
        <v>74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x14ac:dyDescent="0.2">
      <c r="A68" s="78" t="s">
        <v>75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x14ac:dyDescent="0.2">
      <c r="A69" s="78" t="s">
        <v>5</v>
      </c>
      <c r="B69" s="42">
        <v>8000</v>
      </c>
      <c r="C69" s="42">
        <v>8000</v>
      </c>
      <c r="D69" s="42">
        <v>8000</v>
      </c>
      <c r="E69" s="42">
        <v>8000</v>
      </c>
      <c r="F69" s="42">
        <v>8000</v>
      </c>
      <c r="G69" s="42">
        <v>8000</v>
      </c>
      <c r="H69" s="42">
        <v>8000</v>
      </c>
      <c r="I69" s="42">
        <v>8000</v>
      </c>
      <c r="J69" s="42">
        <v>8000</v>
      </c>
      <c r="K69" s="42">
        <v>8000</v>
      </c>
      <c r="L69" s="42">
        <v>8000</v>
      </c>
      <c r="M69" s="42">
        <v>8000</v>
      </c>
    </row>
    <row r="70" spans="1:13" x14ac:dyDescent="0.2">
      <c r="A70" s="78" t="s">
        <v>6</v>
      </c>
      <c r="B70" s="43">
        <f t="shared" ref="B70:M70" si="10">SUM(B61:B69)</f>
        <v>8000</v>
      </c>
      <c r="C70" s="43">
        <f t="shared" si="10"/>
        <v>16000</v>
      </c>
      <c r="D70" s="43">
        <f t="shared" si="10"/>
        <v>24000</v>
      </c>
      <c r="E70" s="43">
        <f t="shared" si="10"/>
        <v>32000</v>
      </c>
      <c r="F70" s="43">
        <f t="shared" si="10"/>
        <v>40000</v>
      </c>
      <c r="G70" s="43">
        <f t="shared" si="10"/>
        <v>48000</v>
      </c>
      <c r="H70" s="43">
        <f t="shared" si="10"/>
        <v>56000</v>
      </c>
      <c r="I70" s="43">
        <f t="shared" si="10"/>
        <v>64000</v>
      </c>
      <c r="J70" s="43">
        <f t="shared" si="10"/>
        <v>72000</v>
      </c>
      <c r="K70" s="43">
        <f t="shared" si="10"/>
        <v>80000</v>
      </c>
      <c r="L70" s="43">
        <f t="shared" si="10"/>
        <v>88000</v>
      </c>
      <c r="M70" s="43">
        <f t="shared" si="10"/>
        <v>96000</v>
      </c>
    </row>
    <row r="71" spans="1:13" x14ac:dyDescent="0.2">
      <c r="A71" s="78" t="s">
        <v>7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>
        <v>96000</v>
      </c>
    </row>
    <row r="72" spans="1:13" x14ac:dyDescent="0.2">
      <c r="A72" s="78" t="s">
        <v>111</v>
      </c>
      <c r="B72" s="43">
        <f t="shared" ref="B72:M72" si="11">B70-B71</f>
        <v>8000</v>
      </c>
      <c r="C72" s="43">
        <f t="shared" si="11"/>
        <v>16000</v>
      </c>
      <c r="D72" s="43">
        <f t="shared" si="11"/>
        <v>24000</v>
      </c>
      <c r="E72" s="43">
        <f t="shared" si="11"/>
        <v>32000</v>
      </c>
      <c r="F72" s="43">
        <f t="shared" si="11"/>
        <v>40000</v>
      </c>
      <c r="G72" s="43">
        <f t="shared" si="11"/>
        <v>48000</v>
      </c>
      <c r="H72" s="43">
        <f t="shared" si="11"/>
        <v>56000</v>
      </c>
      <c r="I72" s="43">
        <f t="shared" si="11"/>
        <v>64000</v>
      </c>
      <c r="J72" s="43">
        <f t="shared" si="11"/>
        <v>72000</v>
      </c>
      <c r="K72" s="43">
        <f t="shared" si="11"/>
        <v>80000</v>
      </c>
      <c r="L72" s="43">
        <f t="shared" si="11"/>
        <v>88000</v>
      </c>
      <c r="M72" s="43">
        <f t="shared" si="11"/>
        <v>0</v>
      </c>
    </row>
  </sheetData>
  <mergeCells count="1">
    <mergeCell ref="B5:G5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/>
  <dimension ref="A2:M29"/>
  <sheetViews>
    <sheetView topLeftCell="A13" workbookViewId="0">
      <selection activeCell="F29" sqref="F29"/>
    </sheetView>
  </sheetViews>
  <sheetFormatPr baseColWidth="10" defaultRowHeight="12.75" x14ac:dyDescent="0.2"/>
  <cols>
    <col min="1" max="1" width="28.42578125" customWidth="1"/>
    <col min="10" max="11" width="12.85546875" customWidth="1"/>
    <col min="12" max="12" width="12.5703125" customWidth="1"/>
    <col min="13" max="13" width="12.85546875" customWidth="1"/>
  </cols>
  <sheetData>
    <row r="2" spans="1:13" x14ac:dyDescent="0.2">
      <c r="A2" t="s">
        <v>639</v>
      </c>
    </row>
    <row r="3" spans="1:13" x14ac:dyDescent="0.2">
      <c r="A3" s="81"/>
      <c r="B3" s="82">
        <v>45658</v>
      </c>
      <c r="C3" s="82">
        <v>45689</v>
      </c>
      <c r="D3" s="82">
        <v>45717</v>
      </c>
      <c r="E3" s="82">
        <v>45748</v>
      </c>
      <c r="F3" s="82">
        <v>45778</v>
      </c>
      <c r="G3" s="82">
        <v>45809</v>
      </c>
      <c r="H3" s="82">
        <v>45839</v>
      </c>
      <c r="I3" s="82">
        <v>45870</v>
      </c>
      <c r="J3" s="82">
        <v>45901</v>
      </c>
      <c r="K3" s="82">
        <v>45931</v>
      </c>
      <c r="L3" s="82">
        <v>45962</v>
      </c>
      <c r="M3" s="82">
        <v>45992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550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294980</v>
      </c>
      <c r="K4" s="42">
        <f t="shared" si="0"/>
        <v>-343280</v>
      </c>
      <c r="L4" s="42">
        <f t="shared" si="0"/>
        <v>-177280</v>
      </c>
      <c r="M4" s="42">
        <f t="shared" si="0"/>
        <v>-15280</v>
      </c>
    </row>
    <row r="5" spans="1:13" x14ac:dyDescent="0.2">
      <c r="A5" s="78" t="s">
        <v>289</v>
      </c>
      <c r="B5" s="42"/>
      <c r="C5" s="42"/>
      <c r="D5" s="42"/>
      <c r="E5" s="42"/>
      <c r="F5" s="42">
        <v>20000</v>
      </c>
      <c r="G5" s="42"/>
      <c r="H5" s="42">
        <v>200000</v>
      </c>
      <c r="I5" s="42">
        <v>130000</v>
      </c>
      <c r="J5" s="42"/>
      <c r="K5" s="42"/>
      <c r="L5" s="42"/>
      <c r="M5" s="42">
        <v>400000</v>
      </c>
    </row>
    <row r="6" spans="1:13" x14ac:dyDescent="0.2">
      <c r="A6" s="78" t="s">
        <v>3</v>
      </c>
      <c r="B6" s="42">
        <v>10200</v>
      </c>
      <c r="C6" s="42">
        <v>32980</v>
      </c>
      <c r="D6" s="42">
        <v>21550</v>
      </c>
      <c r="E6" s="42">
        <v>57130</v>
      </c>
      <c r="F6" s="42">
        <v>42706</v>
      </c>
      <c r="G6" s="42">
        <v>53000</v>
      </c>
      <c r="H6" s="42">
        <v>95720</v>
      </c>
      <c r="I6" s="42">
        <v>14980</v>
      </c>
      <c r="J6" s="42">
        <v>25820</v>
      </c>
      <c r="K6" s="42">
        <v>16000</v>
      </c>
      <c r="L6" s="42">
        <v>12000</v>
      </c>
      <c r="M6" s="42">
        <v>24700</v>
      </c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74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640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442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95000</v>
      </c>
      <c r="C12" s="42">
        <v>100000</v>
      </c>
      <c r="D12" s="42">
        <v>110000</v>
      </c>
      <c r="E12" s="42">
        <v>110000</v>
      </c>
      <c r="F12" s="42">
        <v>120000</v>
      </c>
      <c r="G12" s="42">
        <v>120000</v>
      </c>
      <c r="H12" s="42">
        <v>150000</v>
      </c>
      <c r="I12" s="42">
        <v>150000</v>
      </c>
      <c r="J12" s="42">
        <v>150000</v>
      </c>
      <c r="K12" s="42">
        <v>150000</v>
      </c>
      <c r="L12" s="42">
        <v>150000</v>
      </c>
      <c r="M12" s="42">
        <v>150000</v>
      </c>
    </row>
    <row r="13" spans="1:13" x14ac:dyDescent="0.2">
      <c r="A13" s="78" t="s">
        <v>6</v>
      </c>
      <c r="B13" s="43">
        <f t="shared" ref="B13:M13" si="1">SUM(B4:B12)</f>
        <v>105200</v>
      </c>
      <c r="C13" s="43">
        <f t="shared" si="1"/>
        <v>132980</v>
      </c>
      <c r="D13" s="43">
        <f t="shared" si="1"/>
        <v>131550</v>
      </c>
      <c r="E13" s="43">
        <f t="shared" si="1"/>
        <v>167680</v>
      </c>
      <c r="F13" s="43">
        <f t="shared" si="1"/>
        <v>182706</v>
      </c>
      <c r="G13" s="43">
        <f t="shared" si="1"/>
        <v>173000</v>
      </c>
      <c r="H13" s="43">
        <f t="shared" si="1"/>
        <v>445720</v>
      </c>
      <c r="I13" s="43">
        <f t="shared" si="1"/>
        <v>294980</v>
      </c>
      <c r="J13" s="43">
        <f t="shared" si="1"/>
        <v>470800</v>
      </c>
      <c r="K13" s="43">
        <f t="shared" si="1"/>
        <v>-177280</v>
      </c>
      <c r="L13" s="43">
        <f t="shared" si="1"/>
        <v>-15280</v>
      </c>
      <c r="M13" s="43">
        <f t="shared" si="1"/>
        <v>559420</v>
      </c>
    </row>
    <row r="14" spans="1:13" ht="13.5" thickBot="1" x14ac:dyDescent="0.25">
      <c r="A14" s="78" t="s">
        <v>7</v>
      </c>
      <c r="B14" s="44">
        <v>105200</v>
      </c>
      <c r="C14" s="44">
        <v>132980</v>
      </c>
      <c r="D14" s="44">
        <v>131000</v>
      </c>
      <c r="E14" s="44">
        <v>167680</v>
      </c>
      <c r="F14" s="44">
        <v>182706</v>
      </c>
      <c r="G14" s="44">
        <v>173000</v>
      </c>
      <c r="H14" s="44">
        <v>445720</v>
      </c>
      <c r="I14" s="44"/>
      <c r="J14" s="44">
        <v>814080</v>
      </c>
      <c r="K14" s="44"/>
      <c r="L14" s="44"/>
      <c r="M14" s="44">
        <v>559420</v>
      </c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0</v>
      </c>
      <c r="D15" s="46">
        <f t="shared" si="2"/>
        <v>550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294980</v>
      </c>
      <c r="J15" s="46">
        <f t="shared" si="2"/>
        <v>-343280</v>
      </c>
      <c r="K15" s="46">
        <f t="shared" si="2"/>
        <v>-177280</v>
      </c>
      <c r="L15" s="46">
        <f t="shared" si="2"/>
        <v>-15280</v>
      </c>
      <c r="M15" s="47">
        <f t="shared" si="2"/>
        <v>0</v>
      </c>
    </row>
    <row r="17" spans="1:13" x14ac:dyDescent="0.2">
      <c r="A17" s="81"/>
      <c r="B17" s="82">
        <v>46023</v>
      </c>
      <c r="C17" s="82">
        <v>46054</v>
      </c>
      <c r="D17" s="82">
        <v>46082</v>
      </c>
      <c r="E17" s="82">
        <v>46113</v>
      </c>
      <c r="F17" s="82">
        <v>46143</v>
      </c>
      <c r="G17" s="82">
        <v>46174</v>
      </c>
      <c r="H17" s="82">
        <v>46204</v>
      </c>
      <c r="I17" s="82">
        <v>46235</v>
      </c>
      <c r="J17" s="82">
        <v>46266</v>
      </c>
      <c r="K17" s="82">
        <v>46296</v>
      </c>
      <c r="L17" s="82">
        <v>46327</v>
      </c>
      <c r="M17" s="82">
        <v>46357</v>
      </c>
    </row>
    <row r="18" spans="1:13" x14ac:dyDescent="0.2">
      <c r="A18" s="78" t="s">
        <v>110</v>
      </c>
      <c r="B18" s="42"/>
      <c r="C18" s="42">
        <f t="shared" ref="C18:M18" si="3">B29</f>
        <v>0</v>
      </c>
      <c r="D18" s="42">
        <f t="shared" si="3"/>
        <v>0</v>
      </c>
      <c r="E18" s="42">
        <f t="shared" si="3"/>
        <v>0</v>
      </c>
      <c r="F18" s="42">
        <f t="shared" si="3"/>
        <v>0</v>
      </c>
      <c r="G18" s="42">
        <f t="shared" si="3"/>
        <v>0</v>
      </c>
      <c r="H18" s="42">
        <f t="shared" si="3"/>
        <v>240000</v>
      </c>
      <c r="I18" s="42">
        <f t="shared" si="3"/>
        <v>240000</v>
      </c>
      <c r="J18" s="42">
        <f t="shared" si="3"/>
        <v>240000</v>
      </c>
      <c r="K18" s="42">
        <f t="shared" si="3"/>
        <v>240000</v>
      </c>
      <c r="L18" s="42">
        <f t="shared" si="3"/>
        <v>240000</v>
      </c>
      <c r="M18" s="42">
        <f t="shared" si="3"/>
        <v>240000</v>
      </c>
    </row>
    <row r="19" spans="1:13" x14ac:dyDescent="0.2">
      <c r="A19" s="78" t="s">
        <v>289</v>
      </c>
      <c r="B19" s="42">
        <v>350000</v>
      </c>
      <c r="C19" s="42">
        <v>398750</v>
      </c>
      <c r="D19" s="42"/>
      <c r="E19" s="42"/>
      <c r="F19" s="42"/>
      <c r="G19" s="42">
        <v>240000</v>
      </c>
      <c r="H19" s="42"/>
      <c r="I19" s="42"/>
      <c r="J19" s="42"/>
      <c r="K19" s="42"/>
      <c r="L19" s="42"/>
      <c r="M19" s="42"/>
    </row>
    <row r="20" spans="1:13" x14ac:dyDescent="0.2">
      <c r="A20" s="78" t="s">
        <v>3</v>
      </c>
      <c r="B20" s="42">
        <v>105000</v>
      </c>
      <c r="C20" s="42">
        <v>38100</v>
      </c>
      <c r="D20" s="42">
        <v>110500</v>
      </c>
      <c r="E20" s="42">
        <v>9500</v>
      </c>
      <c r="F20" s="42">
        <v>31000</v>
      </c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74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73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640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442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5</v>
      </c>
      <c r="B26" s="42">
        <v>180000</v>
      </c>
      <c r="C26" s="42">
        <v>180000</v>
      </c>
      <c r="D26" s="42">
        <v>180000</v>
      </c>
      <c r="E26" s="42">
        <v>200000</v>
      </c>
      <c r="F26" s="42">
        <v>200000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6</v>
      </c>
      <c r="B27" s="43">
        <f t="shared" ref="B27:M27" si="4">SUM(B18:B26)</f>
        <v>635000</v>
      </c>
      <c r="C27" s="43">
        <f t="shared" si="4"/>
        <v>616850</v>
      </c>
      <c r="D27" s="43">
        <f t="shared" si="4"/>
        <v>290500</v>
      </c>
      <c r="E27" s="43">
        <f t="shared" si="4"/>
        <v>209500</v>
      </c>
      <c r="F27" s="43">
        <f t="shared" si="4"/>
        <v>231000</v>
      </c>
      <c r="G27" s="43">
        <f t="shared" si="4"/>
        <v>240000</v>
      </c>
      <c r="H27" s="43">
        <f t="shared" si="4"/>
        <v>240000</v>
      </c>
      <c r="I27" s="43">
        <f t="shared" si="4"/>
        <v>240000</v>
      </c>
      <c r="J27" s="43">
        <f t="shared" si="4"/>
        <v>240000</v>
      </c>
      <c r="K27" s="43">
        <f t="shared" si="4"/>
        <v>240000</v>
      </c>
      <c r="L27" s="43">
        <f t="shared" si="4"/>
        <v>240000</v>
      </c>
      <c r="M27" s="43">
        <f t="shared" si="4"/>
        <v>240000</v>
      </c>
    </row>
    <row r="28" spans="1:13" ht="13.5" thickBot="1" x14ac:dyDescent="0.25">
      <c r="A28" s="78" t="s">
        <v>7</v>
      </c>
      <c r="B28" s="44">
        <v>635000</v>
      </c>
      <c r="C28" s="44">
        <v>616850</v>
      </c>
      <c r="D28" s="44">
        <v>290500</v>
      </c>
      <c r="E28" s="44">
        <v>209500</v>
      </c>
      <c r="F28" s="44">
        <v>231000</v>
      </c>
      <c r="G28" s="44"/>
      <c r="H28" s="44"/>
      <c r="I28" s="44"/>
      <c r="J28" s="44"/>
      <c r="K28" s="44"/>
      <c r="L28" s="44"/>
      <c r="M28" s="44"/>
    </row>
    <row r="29" spans="1:13" ht="13.5" thickBot="1" x14ac:dyDescent="0.25">
      <c r="A29" s="78" t="s">
        <v>111</v>
      </c>
      <c r="B29" s="45">
        <f t="shared" ref="B29:M29" si="5">B27-B28</f>
        <v>0</v>
      </c>
      <c r="C29" s="46">
        <f t="shared" si="5"/>
        <v>0</v>
      </c>
      <c r="D29" s="46">
        <f t="shared" si="5"/>
        <v>0</v>
      </c>
      <c r="E29" s="46">
        <f t="shared" si="5"/>
        <v>0</v>
      </c>
      <c r="F29" s="46">
        <f t="shared" si="5"/>
        <v>0</v>
      </c>
      <c r="G29" s="46">
        <f t="shared" si="5"/>
        <v>240000</v>
      </c>
      <c r="H29" s="46">
        <f t="shared" si="5"/>
        <v>240000</v>
      </c>
      <c r="I29" s="46">
        <f t="shared" si="5"/>
        <v>240000</v>
      </c>
      <c r="J29" s="46">
        <f t="shared" si="5"/>
        <v>240000</v>
      </c>
      <c r="K29" s="46">
        <f t="shared" si="5"/>
        <v>240000</v>
      </c>
      <c r="L29" s="46">
        <f t="shared" si="5"/>
        <v>240000</v>
      </c>
      <c r="M29" s="47">
        <f t="shared" si="5"/>
        <v>240000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/>
  <dimension ref="A3:M29"/>
  <sheetViews>
    <sheetView topLeftCell="A4" workbookViewId="0">
      <selection activeCell="C29" sqref="C29"/>
    </sheetView>
  </sheetViews>
  <sheetFormatPr baseColWidth="10" defaultRowHeight="12.75" x14ac:dyDescent="0.2"/>
  <cols>
    <col min="1" max="1" width="31.85546875" customWidth="1"/>
  </cols>
  <sheetData>
    <row r="3" spans="1:13" x14ac:dyDescent="0.2">
      <c r="A3" s="81"/>
      <c r="B3" s="82">
        <v>45658</v>
      </c>
      <c r="C3" s="82">
        <v>45689</v>
      </c>
      <c r="D3" s="82">
        <v>45717</v>
      </c>
      <c r="E3" s="82">
        <v>45748</v>
      </c>
      <c r="F3" s="82">
        <v>45778</v>
      </c>
      <c r="G3" s="82">
        <v>45809</v>
      </c>
      <c r="H3" s="82">
        <v>45839</v>
      </c>
      <c r="I3" s="82">
        <v>45870</v>
      </c>
      <c r="J3" s="82">
        <v>45901</v>
      </c>
      <c r="K3" s="82">
        <v>45931</v>
      </c>
      <c r="L3" s="82">
        <v>45962</v>
      </c>
      <c r="M3" s="82">
        <v>45992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0</v>
      </c>
      <c r="F4" s="42">
        <f t="shared" si="0"/>
        <v>51880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14000</v>
      </c>
      <c r="K4" s="42">
        <f t="shared" si="0"/>
        <v>0</v>
      </c>
      <c r="L4" s="42">
        <f t="shared" si="0"/>
        <v>14000</v>
      </c>
      <c r="M4" s="42">
        <f t="shared" si="0"/>
        <v>0</v>
      </c>
    </row>
    <row r="5" spans="1:13" x14ac:dyDescent="0.2">
      <c r="A5" s="78" t="s">
        <v>289</v>
      </c>
      <c r="B5" s="42"/>
      <c r="C5" s="42"/>
      <c r="D5" s="42"/>
      <c r="E5" s="42">
        <v>11880</v>
      </c>
      <c r="F5" s="42">
        <v>11880</v>
      </c>
      <c r="G5" s="42">
        <v>11880</v>
      </c>
      <c r="H5" s="42">
        <v>11880</v>
      </c>
      <c r="I5" s="42">
        <v>14000</v>
      </c>
      <c r="J5" s="42">
        <v>14000</v>
      </c>
      <c r="K5" s="42">
        <v>14000</v>
      </c>
      <c r="L5" s="42">
        <v>14000</v>
      </c>
      <c r="M5" s="42">
        <v>14000</v>
      </c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74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450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442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/>
      <c r="D12" s="42"/>
      <c r="E12" s="42">
        <v>40000</v>
      </c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6</v>
      </c>
      <c r="B13" s="43">
        <f t="shared" ref="B13:M13" si="1">SUM(B4:B12)</f>
        <v>0</v>
      </c>
      <c r="C13" s="43">
        <f t="shared" si="1"/>
        <v>0</v>
      </c>
      <c r="D13" s="43">
        <f t="shared" si="1"/>
        <v>0</v>
      </c>
      <c r="E13" s="43">
        <f t="shared" si="1"/>
        <v>51880</v>
      </c>
      <c r="F13" s="43">
        <f t="shared" si="1"/>
        <v>63760</v>
      </c>
      <c r="G13" s="43">
        <f t="shared" si="1"/>
        <v>11880</v>
      </c>
      <c r="H13" s="43">
        <f t="shared" si="1"/>
        <v>11880</v>
      </c>
      <c r="I13" s="43">
        <f t="shared" si="1"/>
        <v>14000</v>
      </c>
      <c r="J13" s="43">
        <f t="shared" si="1"/>
        <v>28000</v>
      </c>
      <c r="K13" s="43">
        <f t="shared" si="1"/>
        <v>14000</v>
      </c>
      <c r="L13" s="43">
        <f t="shared" si="1"/>
        <v>28000</v>
      </c>
      <c r="M13" s="43">
        <f t="shared" si="1"/>
        <v>14000</v>
      </c>
    </row>
    <row r="14" spans="1:13" ht="13.5" thickBot="1" x14ac:dyDescent="0.25">
      <c r="A14" s="78" t="s">
        <v>7</v>
      </c>
      <c r="B14" s="44"/>
      <c r="C14" s="44"/>
      <c r="D14" s="44"/>
      <c r="E14" s="44"/>
      <c r="F14" s="44">
        <v>63760</v>
      </c>
      <c r="G14" s="44">
        <v>11880</v>
      </c>
      <c r="H14" s="44">
        <v>11880</v>
      </c>
      <c r="I14" s="44"/>
      <c r="J14" s="44">
        <v>28000</v>
      </c>
      <c r="K14" s="44"/>
      <c r="L14" s="44">
        <v>28000</v>
      </c>
      <c r="M14" s="44">
        <v>14000</v>
      </c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0</v>
      </c>
      <c r="D15" s="46">
        <f t="shared" si="2"/>
        <v>0</v>
      </c>
      <c r="E15" s="46">
        <f t="shared" si="2"/>
        <v>51880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14000</v>
      </c>
      <c r="J15" s="46">
        <f t="shared" si="2"/>
        <v>0</v>
      </c>
      <c r="K15" s="46">
        <f t="shared" si="2"/>
        <v>14000</v>
      </c>
      <c r="L15" s="46">
        <f t="shared" si="2"/>
        <v>0</v>
      </c>
      <c r="M15" s="47">
        <f t="shared" si="2"/>
        <v>0</v>
      </c>
    </row>
    <row r="17" spans="1:13" x14ac:dyDescent="0.2">
      <c r="A17" s="81"/>
      <c r="B17" s="82">
        <v>46023</v>
      </c>
      <c r="C17" s="82">
        <v>46054</v>
      </c>
      <c r="D17" s="82">
        <v>46082</v>
      </c>
      <c r="E17" s="82">
        <v>46113</v>
      </c>
      <c r="F17" s="82">
        <v>46143</v>
      </c>
      <c r="G17" s="82">
        <v>46174</v>
      </c>
      <c r="H17" s="82">
        <v>46204</v>
      </c>
      <c r="I17" s="82">
        <v>46235</v>
      </c>
      <c r="J17" s="82">
        <v>46266</v>
      </c>
      <c r="K17" s="82">
        <v>46296</v>
      </c>
      <c r="L17" s="82">
        <v>46327</v>
      </c>
      <c r="M17" s="82">
        <v>46357</v>
      </c>
    </row>
    <row r="18" spans="1:13" x14ac:dyDescent="0.2">
      <c r="A18" s="78" t="s">
        <v>110</v>
      </c>
      <c r="B18" s="42"/>
      <c r="C18" s="42">
        <f t="shared" ref="C18:M18" si="3">B29</f>
        <v>0</v>
      </c>
      <c r="D18" s="42">
        <f t="shared" si="3"/>
        <v>-1380</v>
      </c>
      <c r="E18" s="42">
        <f t="shared" si="3"/>
        <v>-1380</v>
      </c>
      <c r="F18" s="42">
        <f t="shared" si="3"/>
        <v>-1380</v>
      </c>
      <c r="G18" s="42">
        <f t="shared" si="3"/>
        <v>-1380</v>
      </c>
      <c r="H18" s="42">
        <f t="shared" si="3"/>
        <v>-1380</v>
      </c>
      <c r="I18" s="42">
        <f t="shared" si="3"/>
        <v>-1380</v>
      </c>
      <c r="J18" s="42">
        <f t="shared" si="3"/>
        <v>-1380</v>
      </c>
      <c r="K18" s="42">
        <f t="shared" si="3"/>
        <v>-1380</v>
      </c>
      <c r="L18" s="42">
        <f t="shared" si="3"/>
        <v>-1380</v>
      </c>
      <c r="M18" s="42">
        <f t="shared" si="3"/>
        <v>-1380</v>
      </c>
    </row>
    <row r="19" spans="1:13" x14ac:dyDescent="0.2">
      <c r="A19" s="78" t="s">
        <v>289</v>
      </c>
      <c r="B19" s="42">
        <v>15620</v>
      </c>
      <c r="C19" s="42">
        <v>15620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2">
      <c r="A20" s="78" t="s">
        <v>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74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73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450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442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5</v>
      </c>
      <c r="B26" s="42">
        <v>3000</v>
      </c>
      <c r="C26" s="42">
        <v>3000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6</v>
      </c>
      <c r="B27" s="43">
        <f t="shared" ref="B27:M27" si="4">SUM(B18:B26)</f>
        <v>18620</v>
      </c>
      <c r="C27" s="43">
        <f t="shared" si="4"/>
        <v>18620</v>
      </c>
      <c r="D27" s="43">
        <f t="shared" si="4"/>
        <v>-1380</v>
      </c>
      <c r="E27" s="43">
        <f t="shared" si="4"/>
        <v>-1380</v>
      </c>
      <c r="F27" s="43">
        <f t="shared" si="4"/>
        <v>-1380</v>
      </c>
      <c r="G27" s="43">
        <f t="shared" si="4"/>
        <v>-1380</v>
      </c>
      <c r="H27" s="43">
        <f t="shared" si="4"/>
        <v>-1380</v>
      </c>
      <c r="I27" s="43">
        <f t="shared" si="4"/>
        <v>-1380</v>
      </c>
      <c r="J27" s="43">
        <f t="shared" si="4"/>
        <v>-1380</v>
      </c>
      <c r="K27" s="43">
        <f t="shared" si="4"/>
        <v>-1380</v>
      </c>
      <c r="L27" s="43">
        <f t="shared" si="4"/>
        <v>-1380</v>
      </c>
      <c r="M27" s="43">
        <f t="shared" si="4"/>
        <v>-1380</v>
      </c>
    </row>
    <row r="28" spans="1:13" ht="13.5" thickBot="1" x14ac:dyDescent="0.25">
      <c r="A28" s="78" t="s">
        <v>7</v>
      </c>
      <c r="B28" s="44">
        <v>18620</v>
      </c>
      <c r="C28" s="44">
        <v>20000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ht="13.5" thickBot="1" x14ac:dyDescent="0.25">
      <c r="A29" s="78" t="s">
        <v>111</v>
      </c>
      <c r="B29" s="45">
        <f t="shared" ref="B29:M29" si="5">B27-B28</f>
        <v>0</v>
      </c>
      <c r="C29" s="46">
        <f t="shared" si="5"/>
        <v>-1380</v>
      </c>
      <c r="D29" s="46">
        <f t="shared" si="5"/>
        <v>-1380</v>
      </c>
      <c r="E29" s="46">
        <f t="shared" si="5"/>
        <v>-1380</v>
      </c>
      <c r="F29" s="46">
        <f t="shared" si="5"/>
        <v>-1380</v>
      </c>
      <c r="G29" s="46">
        <f t="shared" si="5"/>
        <v>-1380</v>
      </c>
      <c r="H29" s="46">
        <f t="shared" si="5"/>
        <v>-1380</v>
      </c>
      <c r="I29" s="46">
        <f t="shared" si="5"/>
        <v>-1380</v>
      </c>
      <c r="J29" s="46">
        <f t="shared" si="5"/>
        <v>-1380</v>
      </c>
      <c r="K29" s="46">
        <f t="shared" si="5"/>
        <v>-1380</v>
      </c>
      <c r="L29" s="46">
        <f t="shared" si="5"/>
        <v>-1380</v>
      </c>
      <c r="M29" s="47">
        <f t="shared" si="5"/>
        <v>-1380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/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/>
  <dimension ref="A1:M51"/>
  <sheetViews>
    <sheetView showGridLines="0" workbookViewId="0"/>
  </sheetViews>
  <sheetFormatPr baseColWidth="10" defaultRowHeight="20.25" x14ac:dyDescent="0.3"/>
  <cols>
    <col min="1" max="1" width="30.5703125" style="2" customWidth="1"/>
    <col min="2" max="2" width="12.5703125" style="2" bestFit="1" customWidth="1"/>
    <col min="3" max="3" width="11.28515625" style="2" bestFit="1" customWidth="1"/>
    <col min="4" max="4" width="11.85546875" style="2" customWidth="1"/>
    <col min="5" max="5" width="11.5703125" style="2" customWidth="1"/>
    <col min="6" max="6" width="11.42578125" style="2"/>
    <col min="7" max="7" width="11.28515625" style="2" bestFit="1" customWidth="1"/>
    <col min="8" max="9" width="12.42578125" style="2" bestFit="1" customWidth="1"/>
    <col min="10" max="10" width="13.42578125" style="2" bestFit="1" customWidth="1"/>
    <col min="11" max="13" width="12.42578125" style="2" bestFit="1" customWidth="1"/>
    <col min="14" max="16384" width="11.42578125" style="2"/>
  </cols>
  <sheetData>
    <row r="1" spans="1:13" ht="33" x14ac:dyDescent="0.45">
      <c r="A1" s="14" t="s">
        <v>102</v>
      </c>
    </row>
    <row r="2" spans="1:13" ht="23.25" x14ac:dyDescent="0.35">
      <c r="A2" s="11" t="s">
        <v>11</v>
      </c>
      <c r="B2" s="218" t="s">
        <v>505</v>
      </c>
      <c r="C2" s="218"/>
      <c r="D2" s="218"/>
      <c r="E2" s="218"/>
      <c r="F2" s="218"/>
      <c r="G2" s="218"/>
    </row>
    <row r="4" spans="1:13" x14ac:dyDescent="0.3">
      <c r="A4" s="38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6" spans="1:13" x14ac:dyDescent="0.3">
      <c r="A6" s="32" t="s">
        <v>0</v>
      </c>
      <c r="B6" s="32" t="s">
        <v>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x14ac:dyDescent="0.3">
      <c r="A7" s="81"/>
      <c r="B7" s="82">
        <v>46023</v>
      </c>
      <c r="C7" s="82">
        <v>46054</v>
      </c>
      <c r="D7" s="82">
        <v>46082</v>
      </c>
      <c r="E7" s="82">
        <v>46113</v>
      </c>
      <c r="F7" s="82">
        <v>46143</v>
      </c>
      <c r="G7" s="82">
        <v>46174</v>
      </c>
      <c r="H7" s="82">
        <v>46204</v>
      </c>
      <c r="I7" s="82">
        <v>46235</v>
      </c>
      <c r="J7" s="82">
        <v>46266</v>
      </c>
      <c r="K7" s="82">
        <v>46296</v>
      </c>
      <c r="L7" s="82">
        <v>46327</v>
      </c>
      <c r="M7" s="82">
        <v>46357</v>
      </c>
    </row>
    <row r="8" spans="1:13" x14ac:dyDescent="0.3">
      <c r="A8" s="78" t="s">
        <v>110</v>
      </c>
      <c r="B8" s="42"/>
      <c r="C8" s="42">
        <f t="shared" ref="C8:M8" si="0">B19</f>
        <v>0</v>
      </c>
      <c r="D8" s="42">
        <f t="shared" si="0"/>
        <v>0</v>
      </c>
      <c r="E8" s="42">
        <f t="shared" si="0"/>
        <v>0</v>
      </c>
      <c r="F8" s="42">
        <f t="shared" si="0"/>
        <v>0</v>
      </c>
      <c r="G8" s="42">
        <f t="shared" si="0"/>
        <v>702000</v>
      </c>
      <c r="H8" s="42">
        <f t="shared" si="0"/>
        <v>702000</v>
      </c>
      <c r="I8" s="42">
        <f t="shared" si="0"/>
        <v>702000</v>
      </c>
      <c r="J8" s="42">
        <f t="shared" si="0"/>
        <v>702000</v>
      </c>
      <c r="K8" s="42">
        <f t="shared" si="0"/>
        <v>702000</v>
      </c>
      <c r="L8" s="42">
        <f t="shared" si="0"/>
        <v>702000</v>
      </c>
      <c r="M8" s="42">
        <f t="shared" si="0"/>
        <v>702000</v>
      </c>
    </row>
    <row r="9" spans="1:13" x14ac:dyDescent="0.3">
      <c r="A9" s="78" t="s">
        <v>144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4</v>
      </c>
      <c r="B11" s="42">
        <v>425105</v>
      </c>
      <c r="C11" s="42">
        <v>308600</v>
      </c>
      <c r="D11" s="42">
        <v>195084</v>
      </c>
      <c r="E11" s="42">
        <v>278000</v>
      </c>
      <c r="F11" s="42">
        <v>342000</v>
      </c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302</v>
      </c>
      <c r="B14" s="42">
        <v>89000</v>
      </c>
      <c r="C14" s="42">
        <v>90400</v>
      </c>
      <c r="D14" s="42">
        <v>110000</v>
      </c>
      <c r="E14" s="42">
        <v>110000</v>
      </c>
      <c r="F14" s="42">
        <v>110000</v>
      </c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75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3">
      <c r="A16" s="78" t="s">
        <v>5</v>
      </c>
      <c r="B16" s="42">
        <v>200000</v>
      </c>
      <c r="C16" s="42">
        <v>200000</v>
      </c>
      <c r="D16" s="42">
        <v>220000</v>
      </c>
      <c r="E16" s="42">
        <v>250000</v>
      </c>
      <c r="F16" s="42">
        <v>250000</v>
      </c>
      <c r="G16" s="42"/>
      <c r="H16" s="42"/>
      <c r="I16" s="42"/>
      <c r="J16" s="42"/>
      <c r="K16" s="42"/>
      <c r="L16" s="42"/>
      <c r="M16" s="42"/>
    </row>
    <row r="17" spans="1:13" x14ac:dyDescent="0.3">
      <c r="A17" s="78" t="s">
        <v>6</v>
      </c>
      <c r="B17" s="43">
        <f t="shared" ref="B17:M17" si="1">SUM(B8:B16)</f>
        <v>714105</v>
      </c>
      <c r="C17" s="43">
        <f t="shared" si="1"/>
        <v>599000</v>
      </c>
      <c r="D17" s="43">
        <f t="shared" si="1"/>
        <v>525084</v>
      </c>
      <c r="E17" s="43">
        <f t="shared" si="1"/>
        <v>638000</v>
      </c>
      <c r="F17" s="43">
        <f t="shared" si="1"/>
        <v>702000</v>
      </c>
      <c r="G17" s="43">
        <f t="shared" si="1"/>
        <v>702000</v>
      </c>
      <c r="H17" s="43">
        <f t="shared" si="1"/>
        <v>702000</v>
      </c>
      <c r="I17" s="43">
        <f t="shared" si="1"/>
        <v>702000</v>
      </c>
      <c r="J17" s="43">
        <f t="shared" si="1"/>
        <v>702000</v>
      </c>
      <c r="K17" s="43">
        <f t="shared" si="1"/>
        <v>702000</v>
      </c>
      <c r="L17" s="43">
        <f t="shared" si="1"/>
        <v>702000</v>
      </c>
      <c r="M17" s="43">
        <f t="shared" si="1"/>
        <v>702000</v>
      </c>
    </row>
    <row r="18" spans="1:13" ht="21" thickBot="1" x14ac:dyDescent="0.35">
      <c r="A18" s="78" t="s">
        <v>7</v>
      </c>
      <c r="B18" s="44">
        <v>714105</v>
      </c>
      <c r="C18" s="44">
        <v>599000</v>
      </c>
      <c r="D18" s="44">
        <v>525084</v>
      </c>
      <c r="E18" s="44">
        <v>638000</v>
      </c>
      <c r="F18" s="44"/>
      <c r="G18" s="44"/>
      <c r="H18" s="44"/>
      <c r="I18" s="44"/>
      <c r="J18" s="44"/>
      <c r="K18" s="44"/>
      <c r="L18" s="44"/>
      <c r="M18" s="44"/>
    </row>
    <row r="19" spans="1:13" ht="21" thickBot="1" x14ac:dyDescent="0.35">
      <c r="A19" s="78" t="s">
        <v>111</v>
      </c>
      <c r="B19" s="45">
        <f t="shared" ref="B19:M19" si="2">B17-B18</f>
        <v>0</v>
      </c>
      <c r="C19" s="46">
        <f t="shared" si="2"/>
        <v>0</v>
      </c>
      <c r="D19" s="46">
        <f t="shared" si="2"/>
        <v>0</v>
      </c>
      <c r="E19" s="46">
        <f t="shared" si="2"/>
        <v>0</v>
      </c>
      <c r="F19" s="46">
        <f t="shared" si="2"/>
        <v>702000</v>
      </c>
      <c r="G19" s="46">
        <f t="shared" si="2"/>
        <v>702000</v>
      </c>
      <c r="H19" s="46">
        <f t="shared" si="2"/>
        <v>702000</v>
      </c>
      <c r="I19" s="46">
        <f t="shared" si="2"/>
        <v>702000</v>
      </c>
      <c r="J19" s="46">
        <f t="shared" si="2"/>
        <v>702000</v>
      </c>
      <c r="K19" s="46">
        <f t="shared" si="2"/>
        <v>702000</v>
      </c>
      <c r="L19" s="46">
        <f t="shared" si="2"/>
        <v>702000</v>
      </c>
      <c r="M19" s="46">
        <f t="shared" si="2"/>
        <v>702000</v>
      </c>
    </row>
    <row r="22" spans="1:13" x14ac:dyDescent="0.3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3">
      <c r="A23" s="81"/>
      <c r="B23" s="82">
        <v>45658</v>
      </c>
      <c r="C23" s="82">
        <v>45689</v>
      </c>
      <c r="D23" s="82">
        <v>45717</v>
      </c>
      <c r="E23" s="82">
        <v>45748</v>
      </c>
      <c r="F23" s="82">
        <v>45778</v>
      </c>
      <c r="G23" s="82">
        <v>45809</v>
      </c>
      <c r="H23" s="82">
        <v>45839</v>
      </c>
      <c r="I23" s="82">
        <v>45870</v>
      </c>
      <c r="J23" s="82">
        <v>45901</v>
      </c>
      <c r="K23" s="82">
        <v>45931</v>
      </c>
      <c r="L23" s="82">
        <v>45962</v>
      </c>
      <c r="M23" s="82">
        <v>45992</v>
      </c>
    </row>
    <row r="24" spans="1:13" x14ac:dyDescent="0.3">
      <c r="A24" s="78" t="s">
        <v>110</v>
      </c>
      <c r="B24" s="42"/>
      <c r="C24" s="42">
        <f t="shared" ref="C24:M24" si="3">B35</f>
        <v>0</v>
      </c>
      <c r="D24" s="42">
        <f t="shared" si="3"/>
        <v>0</v>
      </c>
      <c r="E24" s="42">
        <f t="shared" si="3"/>
        <v>0</v>
      </c>
      <c r="F24" s="42">
        <f t="shared" si="3"/>
        <v>0</v>
      </c>
      <c r="G24" s="42">
        <f t="shared" si="3"/>
        <v>-13000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1000</v>
      </c>
    </row>
    <row r="25" spans="1:13" x14ac:dyDescent="0.3">
      <c r="A25" s="78" t="s">
        <v>289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4</v>
      </c>
      <c r="B27" s="42"/>
      <c r="C27" s="42">
        <v>138500</v>
      </c>
      <c r="D27" s="42">
        <v>115870</v>
      </c>
      <c r="E27" s="42">
        <v>191820</v>
      </c>
      <c r="F27" s="42">
        <v>192000</v>
      </c>
      <c r="G27" s="42">
        <v>345310</v>
      </c>
      <c r="H27" s="42">
        <v>305320</v>
      </c>
      <c r="I27" s="42">
        <v>342000</v>
      </c>
      <c r="J27" s="42">
        <v>409000</v>
      </c>
      <c r="K27" s="42">
        <v>345687</v>
      </c>
      <c r="L27" s="42">
        <f>265710+50000</f>
        <v>315710</v>
      </c>
      <c r="M27" s="42">
        <v>303000</v>
      </c>
    </row>
    <row r="28" spans="1:13" x14ac:dyDescent="0.3">
      <c r="A28" s="78" t="s">
        <v>736</v>
      </c>
      <c r="B28" s="42"/>
      <c r="C28" s="42"/>
      <c r="D28" s="42"/>
      <c r="E28" s="42"/>
      <c r="F28" s="42"/>
      <c r="G28" s="42"/>
      <c r="H28" s="42"/>
      <c r="I28" s="42">
        <v>37100</v>
      </c>
      <c r="J28" s="42">
        <v>37150</v>
      </c>
      <c r="K28" s="42">
        <v>37150</v>
      </c>
      <c r="L28" s="42">
        <v>37150</v>
      </c>
      <c r="M28" s="42">
        <v>37150</v>
      </c>
    </row>
    <row r="29" spans="1:13" x14ac:dyDescent="0.3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74</v>
      </c>
      <c r="B30" s="42"/>
      <c r="C30" s="42"/>
      <c r="D30" s="42"/>
      <c r="E30" s="42"/>
      <c r="F30" s="42"/>
      <c r="G30" s="42"/>
      <c r="H30" s="42">
        <v>5230</v>
      </c>
      <c r="I30" s="42"/>
      <c r="J30" s="42"/>
      <c r="K30" s="42"/>
      <c r="L30" s="42"/>
      <c r="M30" s="42"/>
    </row>
    <row r="31" spans="1:13" x14ac:dyDescent="0.3">
      <c r="A31" s="78" t="s">
        <v>713</v>
      </c>
      <c r="B31" s="42">
        <v>67000</v>
      </c>
      <c r="C31" s="42">
        <v>69000</v>
      </c>
      <c r="D31" s="42">
        <v>75000</v>
      </c>
      <c r="E31" s="42">
        <v>75000</v>
      </c>
      <c r="F31" s="42">
        <v>75000</v>
      </c>
      <c r="G31" s="42">
        <v>78000</v>
      </c>
      <c r="H31" s="42">
        <v>78000</v>
      </c>
      <c r="I31" s="42">
        <v>78000</v>
      </c>
      <c r="J31" s="42">
        <v>78000</v>
      </c>
      <c r="K31" s="42">
        <v>80000</v>
      </c>
      <c r="L31" s="42">
        <v>81000</v>
      </c>
      <c r="M31" s="42">
        <v>87000</v>
      </c>
    </row>
    <row r="32" spans="1:13" x14ac:dyDescent="0.3">
      <c r="A32" s="78" t="s">
        <v>5</v>
      </c>
      <c r="B32" s="42">
        <v>110000</v>
      </c>
      <c r="C32" s="42">
        <v>110000</v>
      </c>
      <c r="D32" s="42">
        <v>120000</v>
      </c>
      <c r="E32" s="42">
        <v>120000</v>
      </c>
      <c r="F32" s="42">
        <v>120000</v>
      </c>
      <c r="G32" s="42">
        <v>120000</v>
      </c>
      <c r="H32" s="42">
        <v>120000</v>
      </c>
      <c r="I32" s="42">
        <v>150000</v>
      </c>
      <c r="J32" s="42">
        <v>150000</v>
      </c>
      <c r="K32" s="42">
        <v>150000</v>
      </c>
      <c r="L32" s="42">
        <v>150000</v>
      </c>
      <c r="M32" s="42">
        <v>170000</v>
      </c>
    </row>
    <row r="33" spans="1:13" x14ac:dyDescent="0.3">
      <c r="A33" s="78" t="s">
        <v>6</v>
      </c>
      <c r="B33" s="43">
        <f t="shared" ref="B33:M33" si="4">SUM(B24:B32)</f>
        <v>177000</v>
      </c>
      <c r="C33" s="43">
        <f t="shared" si="4"/>
        <v>317500</v>
      </c>
      <c r="D33" s="43">
        <f t="shared" si="4"/>
        <v>310870</v>
      </c>
      <c r="E33" s="43">
        <f t="shared" si="4"/>
        <v>386820</v>
      </c>
      <c r="F33" s="43">
        <f t="shared" si="4"/>
        <v>387000</v>
      </c>
      <c r="G33" s="43">
        <f t="shared" si="4"/>
        <v>530310</v>
      </c>
      <c r="H33" s="43">
        <f t="shared" si="4"/>
        <v>508550</v>
      </c>
      <c r="I33" s="43">
        <f t="shared" si="4"/>
        <v>607100</v>
      </c>
      <c r="J33" s="43">
        <f t="shared" si="4"/>
        <v>674150</v>
      </c>
      <c r="K33" s="43">
        <f t="shared" si="4"/>
        <v>612837</v>
      </c>
      <c r="L33" s="43">
        <f t="shared" si="4"/>
        <v>583860</v>
      </c>
      <c r="M33" s="43">
        <f t="shared" si="4"/>
        <v>598150</v>
      </c>
    </row>
    <row r="34" spans="1:13" ht="21" thickBot="1" x14ac:dyDescent="0.35">
      <c r="A34" s="78" t="s">
        <v>7</v>
      </c>
      <c r="B34" s="44">
        <v>177000</v>
      </c>
      <c r="C34" s="44">
        <v>317500</v>
      </c>
      <c r="D34" s="44">
        <v>310870</v>
      </c>
      <c r="E34" s="44">
        <v>386820</v>
      </c>
      <c r="F34" s="44">
        <v>400000</v>
      </c>
      <c r="G34" s="44">
        <v>530310</v>
      </c>
      <c r="H34" s="44">
        <v>508550</v>
      </c>
      <c r="I34" s="44">
        <v>607100</v>
      </c>
      <c r="J34" s="44">
        <v>674150</v>
      </c>
      <c r="K34" s="44">
        <v>612837</v>
      </c>
      <c r="L34" s="44">
        <v>582860</v>
      </c>
      <c r="M34" s="44">
        <v>598150</v>
      </c>
    </row>
    <row r="35" spans="1:13" ht="21" thickBot="1" x14ac:dyDescent="0.35">
      <c r="A35" s="78" t="s">
        <v>111</v>
      </c>
      <c r="B35" s="45">
        <f t="shared" ref="B35:M35" si="5">B33-B34</f>
        <v>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-13000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1000</v>
      </c>
      <c r="M35" s="47">
        <f t="shared" si="5"/>
        <v>0</v>
      </c>
    </row>
    <row r="39" spans="1:13" x14ac:dyDescent="0.3">
      <c r="A39" s="81"/>
      <c r="B39" s="82">
        <v>44927</v>
      </c>
      <c r="C39" s="82">
        <v>44958</v>
      </c>
      <c r="D39" s="82">
        <v>44986</v>
      </c>
      <c r="E39" s="82">
        <v>45017</v>
      </c>
      <c r="F39" s="82">
        <v>45047</v>
      </c>
      <c r="G39" s="82">
        <v>45078</v>
      </c>
      <c r="H39" s="82">
        <v>45108</v>
      </c>
      <c r="I39" s="82">
        <v>45139</v>
      </c>
      <c r="J39" s="82">
        <v>45170</v>
      </c>
      <c r="K39" s="82">
        <v>45200</v>
      </c>
      <c r="L39" s="82">
        <v>45231</v>
      </c>
      <c r="M39" s="82">
        <v>45261</v>
      </c>
    </row>
    <row r="40" spans="1:13" x14ac:dyDescent="0.3">
      <c r="A40" s="78" t="s">
        <v>110</v>
      </c>
      <c r="B40" s="42"/>
      <c r="C40" s="42">
        <f t="shared" ref="C40:M40" si="6">B51</f>
        <v>-95</v>
      </c>
      <c r="D40" s="42">
        <f t="shared" si="6"/>
        <v>0</v>
      </c>
      <c r="E40" s="42">
        <f t="shared" si="6"/>
        <v>11000</v>
      </c>
      <c r="F40" s="42">
        <f t="shared" si="6"/>
        <v>0</v>
      </c>
      <c r="G40" s="42">
        <f t="shared" si="6"/>
        <v>3</v>
      </c>
      <c r="H40" s="42">
        <f t="shared" si="6"/>
        <v>0</v>
      </c>
      <c r="I40" s="42">
        <f t="shared" si="6"/>
        <v>0</v>
      </c>
      <c r="J40" s="42">
        <f t="shared" si="6"/>
        <v>0</v>
      </c>
      <c r="K40" s="42">
        <f t="shared" si="6"/>
        <v>0</v>
      </c>
      <c r="L40" s="42">
        <f t="shared" si="6"/>
        <v>0</v>
      </c>
      <c r="M40" s="42">
        <f t="shared" si="6"/>
        <v>0</v>
      </c>
    </row>
    <row r="41" spans="1:13" x14ac:dyDescent="0.3">
      <c r="A41" s="78" t="s">
        <v>289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3">
      <c r="A42" s="78" t="s">
        <v>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78" t="s">
        <v>4</v>
      </c>
      <c r="B43" s="42">
        <v>9800</v>
      </c>
      <c r="C43" s="42">
        <v>9120</v>
      </c>
      <c r="D43" s="42">
        <v>7400</v>
      </c>
      <c r="E43" s="42">
        <v>9650</v>
      </c>
      <c r="F43" s="42">
        <v>9500</v>
      </c>
      <c r="G43" s="42">
        <v>11950</v>
      </c>
      <c r="H43" s="42">
        <v>12520</v>
      </c>
      <c r="I43" s="42">
        <v>11800</v>
      </c>
      <c r="J43" s="42">
        <v>11500</v>
      </c>
      <c r="K43" s="42">
        <v>10500</v>
      </c>
      <c r="L43" s="42">
        <v>13250</v>
      </c>
      <c r="M43" s="42">
        <v>13250</v>
      </c>
    </row>
    <row r="44" spans="1:13" x14ac:dyDescent="0.3">
      <c r="A44" s="78" t="s">
        <v>74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78" t="s">
        <v>73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78" t="s">
        <v>450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3">
      <c r="A47" s="78" t="s">
        <v>442</v>
      </c>
      <c r="B47" s="42">
        <v>12605</v>
      </c>
      <c r="C47" s="42">
        <v>12605</v>
      </c>
      <c r="D47" s="42">
        <v>13100</v>
      </c>
      <c r="E47" s="42">
        <v>14753</v>
      </c>
      <c r="F47" s="42">
        <v>14753</v>
      </c>
      <c r="G47" s="42">
        <v>14755</v>
      </c>
      <c r="H47" s="42">
        <v>14755</v>
      </c>
      <c r="I47" s="42">
        <v>14755</v>
      </c>
      <c r="J47" s="42">
        <v>21000</v>
      </c>
      <c r="K47" s="42">
        <v>21000</v>
      </c>
      <c r="L47" s="42">
        <v>21000</v>
      </c>
      <c r="M47" s="42">
        <v>26600</v>
      </c>
    </row>
    <row r="48" spans="1:13" x14ac:dyDescent="0.3">
      <c r="A48" s="78" t="s">
        <v>5</v>
      </c>
      <c r="B48" s="42">
        <v>20000</v>
      </c>
      <c r="C48" s="42">
        <v>20000</v>
      </c>
      <c r="D48" s="42">
        <v>22000</v>
      </c>
      <c r="E48" s="42">
        <v>23000</v>
      </c>
      <c r="F48" s="42">
        <v>25000</v>
      </c>
      <c r="G48" s="42">
        <v>28000</v>
      </c>
      <c r="H48" s="42">
        <v>30000</v>
      </c>
      <c r="I48" s="42">
        <v>30000</v>
      </c>
      <c r="J48" s="42">
        <v>30000</v>
      </c>
      <c r="K48" s="42">
        <v>35000</v>
      </c>
      <c r="L48" s="42">
        <v>35000</v>
      </c>
      <c r="M48" s="42">
        <v>35000</v>
      </c>
    </row>
    <row r="49" spans="1:13" x14ac:dyDescent="0.3">
      <c r="A49" s="78" t="s">
        <v>6</v>
      </c>
      <c r="B49" s="43">
        <f t="shared" ref="B49:M49" si="7">SUM(B40:B48)</f>
        <v>42405</v>
      </c>
      <c r="C49" s="43">
        <f t="shared" si="7"/>
        <v>41630</v>
      </c>
      <c r="D49" s="43">
        <f t="shared" si="7"/>
        <v>42500</v>
      </c>
      <c r="E49" s="43">
        <f t="shared" si="7"/>
        <v>58403</v>
      </c>
      <c r="F49" s="43">
        <f t="shared" si="7"/>
        <v>49253</v>
      </c>
      <c r="G49" s="43">
        <f t="shared" si="7"/>
        <v>54708</v>
      </c>
      <c r="H49" s="43">
        <f t="shared" si="7"/>
        <v>57275</v>
      </c>
      <c r="I49" s="43">
        <f t="shared" si="7"/>
        <v>56555</v>
      </c>
      <c r="J49" s="43">
        <f t="shared" si="7"/>
        <v>62500</v>
      </c>
      <c r="K49" s="43">
        <f t="shared" si="7"/>
        <v>66500</v>
      </c>
      <c r="L49" s="43">
        <f t="shared" si="7"/>
        <v>69250</v>
      </c>
      <c r="M49" s="43">
        <f t="shared" si="7"/>
        <v>74850</v>
      </c>
    </row>
    <row r="50" spans="1:13" ht="21" thickBot="1" x14ac:dyDescent="0.35">
      <c r="A50" s="78" t="s">
        <v>7</v>
      </c>
      <c r="B50" s="44">
        <v>42500</v>
      </c>
      <c r="C50" s="44">
        <v>41630</v>
      </c>
      <c r="D50" s="44">
        <v>31500</v>
      </c>
      <c r="E50" s="44">
        <v>58403</v>
      </c>
      <c r="F50" s="44">
        <v>49250</v>
      </c>
      <c r="G50" s="44">
        <v>54708</v>
      </c>
      <c r="H50" s="44">
        <v>57275</v>
      </c>
      <c r="I50" s="44">
        <v>56555</v>
      </c>
      <c r="J50" s="44">
        <v>62500</v>
      </c>
      <c r="K50" s="44">
        <v>66500</v>
      </c>
      <c r="L50" s="44">
        <v>69250</v>
      </c>
      <c r="M50" s="44">
        <v>74850</v>
      </c>
    </row>
    <row r="51" spans="1:13" ht="21" thickBot="1" x14ac:dyDescent="0.35">
      <c r="A51" s="78" t="s">
        <v>111</v>
      </c>
      <c r="B51" s="45">
        <f t="shared" ref="B51:M51" si="8">B49-B50</f>
        <v>-95</v>
      </c>
      <c r="C51" s="46">
        <f t="shared" si="8"/>
        <v>0</v>
      </c>
      <c r="D51" s="46">
        <f t="shared" si="8"/>
        <v>11000</v>
      </c>
      <c r="E51" s="46">
        <f t="shared" si="8"/>
        <v>0</v>
      </c>
      <c r="F51" s="46">
        <f t="shared" si="8"/>
        <v>3</v>
      </c>
      <c r="G51" s="46">
        <f t="shared" si="8"/>
        <v>0</v>
      </c>
      <c r="H51" s="46">
        <f t="shared" si="8"/>
        <v>0</v>
      </c>
      <c r="I51" s="46">
        <f t="shared" si="8"/>
        <v>0</v>
      </c>
      <c r="J51" s="46">
        <f t="shared" si="8"/>
        <v>0</v>
      </c>
      <c r="K51" s="46">
        <f t="shared" si="8"/>
        <v>0</v>
      </c>
      <c r="L51" s="46"/>
      <c r="M51" s="47">
        <f t="shared" si="8"/>
        <v>0</v>
      </c>
    </row>
  </sheetData>
  <mergeCells count="1">
    <mergeCell ref="B2:G2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/>
  <dimension ref="A3:M31"/>
  <sheetViews>
    <sheetView workbookViewId="0">
      <selection activeCell="F9" sqref="F9"/>
    </sheetView>
  </sheetViews>
  <sheetFormatPr baseColWidth="10" defaultRowHeight="12.75" x14ac:dyDescent="0.2"/>
  <cols>
    <col min="1" max="1" width="30.42578125" customWidth="1"/>
    <col min="3" max="3" width="12.7109375" customWidth="1"/>
    <col min="4" max="5" width="12.5703125" customWidth="1"/>
    <col min="6" max="6" width="13" customWidth="1"/>
    <col min="7" max="7" width="15.42578125" customWidth="1"/>
    <col min="8" max="8" width="12.85546875" customWidth="1"/>
    <col min="9" max="9" width="14.28515625" customWidth="1"/>
    <col min="10" max="10" width="14.140625" customWidth="1"/>
    <col min="11" max="11" width="13.28515625" customWidth="1"/>
    <col min="12" max="12" width="12.85546875" bestFit="1" customWidth="1"/>
    <col min="13" max="13" width="12.8554687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>
        <v>264188</v>
      </c>
      <c r="C5" s="42">
        <f t="shared" ref="C5:M5" si="0">B16</f>
        <v>0</v>
      </c>
      <c r="D5" s="42">
        <f t="shared" si="0"/>
        <v>209000</v>
      </c>
      <c r="E5" s="42">
        <f t="shared" si="0"/>
        <v>419000</v>
      </c>
      <c r="F5" s="42">
        <f t="shared" si="0"/>
        <v>0</v>
      </c>
      <c r="G5" s="42">
        <f t="shared" si="0"/>
        <v>246000</v>
      </c>
      <c r="H5" s="42">
        <f t="shared" si="0"/>
        <v>246000</v>
      </c>
      <c r="I5" s="42">
        <f t="shared" si="0"/>
        <v>246000</v>
      </c>
      <c r="J5" s="42">
        <f t="shared" si="0"/>
        <v>246000</v>
      </c>
      <c r="K5" s="42">
        <f t="shared" si="0"/>
        <v>246000</v>
      </c>
      <c r="L5" s="42">
        <f t="shared" si="0"/>
        <v>246000</v>
      </c>
      <c r="M5" s="42">
        <f t="shared" si="0"/>
        <v>246000</v>
      </c>
    </row>
    <row r="6" spans="1:13" x14ac:dyDescent="0.2">
      <c r="A6" s="78" t="s">
        <v>144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84000</v>
      </c>
      <c r="C8" s="42">
        <v>29000</v>
      </c>
      <c r="D8" s="42">
        <v>30000</v>
      </c>
      <c r="E8" s="42">
        <v>30000</v>
      </c>
      <c r="F8" s="42">
        <v>66000</v>
      </c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302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180000</v>
      </c>
      <c r="C13" s="42">
        <v>180000</v>
      </c>
      <c r="D13" s="42">
        <v>180000</v>
      </c>
      <c r="E13" s="42">
        <v>180000</v>
      </c>
      <c r="F13" s="42">
        <v>180000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528188</v>
      </c>
      <c r="C14" s="43">
        <f t="shared" si="1"/>
        <v>209000</v>
      </c>
      <c r="D14" s="43">
        <f t="shared" si="1"/>
        <v>419000</v>
      </c>
      <c r="E14" s="43">
        <f t="shared" si="1"/>
        <v>629000</v>
      </c>
      <c r="F14" s="43">
        <f t="shared" si="1"/>
        <v>246000</v>
      </c>
      <c r="G14" s="43">
        <f t="shared" si="1"/>
        <v>246000</v>
      </c>
      <c r="H14" s="43">
        <f t="shared" si="1"/>
        <v>246000</v>
      </c>
      <c r="I14" s="43">
        <f t="shared" si="1"/>
        <v>246000</v>
      </c>
      <c r="J14" s="43">
        <f t="shared" si="1"/>
        <v>246000</v>
      </c>
      <c r="K14" s="43">
        <f t="shared" si="1"/>
        <v>246000</v>
      </c>
      <c r="L14" s="43">
        <f t="shared" si="1"/>
        <v>246000</v>
      </c>
      <c r="M14" s="43">
        <f t="shared" si="1"/>
        <v>246000</v>
      </c>
    </row>
    <row r="15" spans="1:13" ht="13.5" thickBot="1" x14ac:dyDescent="0.25">
      <c r="A15" s="78" t="s">
        <v>7</v>
      </c>
      <c r="B15" s="44">
        <v>528188</v>
      </c>
      <c r="C15" s="44"/>
      <c r="D15" s="44"/>
      <c r="E15" s="44">
        <v>629000</v>
      </c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209000</v>
      </c>
      <c r="D16" s="46">
        <f t="shared" si="2"/>
        <v>419000</v>
      </c>
      <c r="E16" s="46">
        <f t="shared" si="2"/>
        <v>0</v>
      </c>
      <c r="F16" s="46">
        <f t="shared" si="2"/>
        <v>246000</v>
      </c>
      <c r="G16" s="46">
        <f t="shared" si="2"/>
        <v>246000</v>
      </c>
      <c r="H16" s="46">
        <f t="shared" si="2"/>
        <v>246000</v>
      </c>
      <c r="I16" s="46">
        <f t="shared" si="2"/>
        <v>246000</v>
      </c>
      <c r="J16" s="46">
        <f t="shared" si="2"/>
        <v>246000</v>
      </c>
      <c r="K16" s="46">
        <f t="shared" si="2"/>
        <v>246000</v>
      </c>
      <c r="L16" s="46">
        <f t="shared" si="2"/>
        <v>246000</v>
      </c>
      <c r="M16" s="46">
        <f t="shared" si="2"/>
        <v>246000</v>
      </c>
    </row>
    <row r="19" spans="1:13" x14ac:dyDescent="0.2">
      <c r="A19" s="81"/>
      <c r="B19" s="82">
        <v>45658</v>
      </c>
      <c r="C19" s="82">
        <v>45689</v>
      </c>
      <c r="D19" s="82">
        <v>45717</v>
      </c>
      <c r="E19" s="82">
        <v>45748</v>
      </c>
      <c r="F19" s="82">
        <v>45778</v>
      </c>
      <c r="G19" s="82">
        <v>45809</v>
      </c>
      <c r="H19" s="82">
        <v>45839</v>
      </c>
      <c r="I19" s="82">
        <v>45870</v>
      </c>
      <c r="J19" s="82">
        <v>45901</v>
      </c>
      <c r="K19" s="82">
        <v>45931</v>
      </c>
      <c r="L19" s="82">
        <v>45962</v>
      </c>
      <c r="M19" s="82">
        <v>45992</v>
      </c>
    </row>
    <row r="20" spans="1:13" x14ac:dyDescent="0.2">
      <c r="A20" s="78" t="s">
        <v>110</v>
      </c>
      <c r="B20" s="42"/>
      <c r="C20" s="42">
        <f t="shared" ref="C20:M20" si="3">B31</f>
        <v>148650</v>
      </c>
      <c r="D20" s="42">
        <f t="shared" si="3"/>
        <v>-54350</v>
      </c>
      <c r="E20" s="42">
        <f t="shared" si="3"/>
        <v>0</v>
      </c>
      <c r="F20" s="42">
        <f t="shared" si="3"/>
        <v>1125000</v>
      </c>
      <c r="G20" s="42">
        <f t="shared" si="3"/>
        <v>1450000</v>
      </c>
      <c r="H20" s="42">
        <f t="shared" si="3"/>
        <v>-1300</v>
      </c>
      <c r="I20" s="42">
        <f t="shared" si="3"/>
        <v>177120</v>
      </c>
      <c r="J20" s="42">
        <f t="shared" si="3"/>
        <v>345120</v>
      </c>
      <c r="K20" s="42">
        <f t="shared" si="3"/>
        <v>0</v>
      </c>
      <c r="L20" s="42">
        <f t="shared" si="3"/>
        <v>213318</v>
      </c>
      <c r="M20" s="42">
        <f t="shared" si="3"/>
        <v>-812</v>
      </c>
    </row>
    <row r="21" spans="1:13" x14ac:dyDescent="0.2">
      <c r="A21" s="78" t="s">
        <v>144</v>
      </c>
      <c r="B21" s="42"/>
      <c r="C21" s="42">
        <v>580000</v>
      </c>
      <c r="D21" s="42"/>
      <c r="E21" s="42">
        <v>800000</v>
      </c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>
        <v>6350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</v>
      </c>
      <c r="B23" s="42">
        <v>22300</v>
      </c>
      <c r="C23" s="42">
        <v>54000</v>
      </c>
      <c r="D23" s="42">
        <v>192000</v>
      </c>
      <c r="E23" s="42">
        <v>195000</v>
      </c>
      <c r="F23" s="42">
        <v>195000</v>
      </c>
      <c r="G23" s="42">
        <v>48700</v>
      </c>
      <c r="H23" s="42">
        <v>38420</v>
      </c>
      <c r="I23" s="42">
        <v>28000</v>
      </c>
      <c r="J23" s="42">
        <v>91850</v>
      </c>
      <c r="K23" s="42">
        <v>53318</v>
      </c>
      <c r="L23" s="42">
        <v>35870</v>
      </c>
      <c r="M23" s="42">
        <v>85000</v>
      </c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302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120000</v>
      </c>
      <c r="C28" s="42">
        <v>120000</v>
      </c>
      <c r="D28" s="42">
        <v>120000</v>
      </c>
      <c r="E28" s="42">
        <v>130000</v>
      </c>
      <c r="F28" s="42">
        <v>130000</v>
      </c>
      <c r="G28" s="42">
        <v>130000</v>
      </c>
      <c r="H28" s="42">
        <v>140000</v>
      </c>
      <c r="I28" s="42">
        <v>140000</v>
      </c>
      <c r="J28" s="42">
        <v>150000</v>
      </c>
      <c r="K28" s="42">
        <v>160000</v>
      </c>
      <c r="L28" s="42">
        <v>160000</v>
      </c>
      <c r="M28" s="42">
        <v>180000</v>
      </c>
    </row>
    <row r="29" spans="1:13" x14ac:dyDescent="0.2">
      <c r="A29" s="78" t="s">
        <v>6</v>
      </c>
      <c r="B29" s="43">
        <f t="shared" ref="B29:M29" si="4">SUM(B20:B28)</f>
        <v>148650</v>
      </c>
      <c r="C29" s="43">
        <f t="shared" si="4"/>
        <v>902650</v>
      </c>
      <c r="D29" s="43">
        <f t="shared" si="4"/>
        <v>257650</v>
      </c>
      <c r="E29" s="43">
        <f t="shared" si="4"/>
        <v>1125000</v>
      </c>
      <c r="F29" s="43">
        <f t="shared" si="4"/>
        <v>1450000</v>
      </c>
      <c r="G29" s="43">
        <f t="shared" si="4"/>
        <v>1628700</v>
      </c>
      <c r="H29" s="43">
        <f t="shared" si="4"/>
        <v>177120</v>
      </c>
      <c r="I29" s="43">
        <f t="shared" si="4"/>
        <v>345120</v>
      </c>
      <c r="J29" s="43">
        <f t="shared" si="4"/>
        <v>586970</v>
      </c>
      <c r="K29" s="43">
        <f t="shared" si="4"/>
        <v>213318</v>
      </c>
      <c r="L29" s="43">
        <f t="shared" si="4"/>
        <v>409188</v>
      </c>
      <c r="M29" s="43">
        <f t="shared" si="4"/>
        <v>264188</v>
      </c>
    </row>
    <row r="30" spans="1:13" ht="13.5" thickBot="1" x14ac:dyDescent="0.25">
      <c r="A30" s="78" t="s">
        <v>7</v>
      </c>
      <c r="B30" s="44"/>
      <c r="C30" s="44">
        <f>500000+457000</f>
        <v>957000</v>
      </c>
      <c r="D30" s="44">
        <v>257650</v>
      </c>
      <c r="E30" s="44"/>
      <c r="F30" s="44"/>
      <c r="G30" s="44">
        <v>1630000</v>
      </c>
      <c r="H30" s="44"/>
      <c r="I30" s="44"/>
      <c r="J30" s="44">
        <v>586970</v>
      </c>
      <c r="K30" s="44"/>
      <c r="L30" s="44">
        <v>410000</v>
      </c>
      <c r="M30" s="44"/>
    </row>
    <row r="31" spans="1:13" ht="13.5" thickBot="1" x14ac:dyDescent="0.25">
      <c r="A31" s="78" t="s">
        <v>111</v>
      </c>
      <c r="B31" s="45">
        <f t="shared" ref="B31:M31" si="5">B29-B30</f>
        <v>148650</v>
      </c>
      <c r="C31" s="46">
        <f t="shared" si="5"/>
        <v>-54350</v>
      </c>
      <c r="D31" s="46">
        <f t="shared" si="5"/>
        <v>0</v>
      </c>
      <c r="E31" s="46">
        <f t="shared" si="5"/>
        <v>1125000</v>
      </c>
      <c r="F31" s="46">
        <f t="shared" si="5"/>
        <v>1450000</v>
      </c>
      <c r="G31" s="46">
        <f t="shared" si="5"/>
        <v>-1300</v>
      </c>
      <c r="H31" s="46">
        <f t="shared" si="5"/>
        <v>177120</v>
      </c>
      <c r="I31" s="46">
        <f t="shared" si="5"/>
        <v>345120</v>
      </c>
      <c r="J31" s="46">
        <f t="shared" si="5"/>
        <v>0</v>
      </c>
      <c r="K31" s="46">
        <f t="shared" si="5"/>
        <v>213318</v>
      </c>
      <c r="L31" s="46">
        <f t="shared" si="5"/>
        <v>-812</v>
      </c>
      <c r="M31" s="46">
        <f t="shared" si="5"/>
        <v>264188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2"/>
  <dimension ref="A2:N51"/>
  <sheetViews>
    <sheetView topLeftCell="A19" zoomScale="90" zoomScaleNormal="90" workbookViewId="0">
      <selection activeCell="F35" sqref="F35"/>
    </sheetView>
  </sheetViews>
  <sheetFormatPr baseColWidth="10" defaultRowHeight="12.75" x14ac:dyDescent="0.2"/>
  <cols>
    <col min="1" max="1" width="32.28515625" customWidth="1"/>
    <col min="2" max="2" width="15.7109375" bestFit="1" customWidth="1"/>
    <col min="3" max="3" width="13.85546875" customWidth="1"/>
    <col min="4" max="4" width="13.7109375" customWidth="1"/>
    <col min="5" max="5" width="13.42578125" customWidth="1"/>
    <col min="6" max="6" width="16" customWidth="1"/>
    <col min="7" max="7" width="15" customWidth="1"/>
    <col min="8" max="9" width="14" customWidth="1"/>
    <col min="10" max="11" width="13.85546875" customWidth="1"/>
    <col min="12" max="12" width="13.5703125" customWidth="1"/>
    <col min="13" max="13" width="13.7109375" customWidth="1"/>
  </cols>
  <sheetData>
    <row r="2" spans="1:14" ht="20.25" x14ac:dyDescent="0.3">
      <c r="A2" s="11" t="s">
        <v>11</v>
      </c>
      <c r="B2" s="216" t="s">
        <v>117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4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15.75" x14ac:dyDescent="0.25">
      <c r="A4" s="31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4" ht="15" x14ac:dyDescent="0.2">
      <c r="A5" s="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  <c r="N5" s="79"/>
    </row>
    <row r="6" spans="1:14" ht="15" x14ac:dyDescent="0.2">
      <c r="A6" s="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100</v>
      </c>
      <c r="G6" s="42">
        <f t="shared" si="0"/>
        <v>0</v>
      </c>
      <c r="H6" s="42">
        <f t="shared" si="0"/>
        <v>100</v>
      </c>
      <c r="I6" s="42">
        <f t="shared" si="0"/>
        <v>0</v>
      </c>
      <c r="J6" s="42">
        <f t="shared" si="0"/>
        <v>0</v>
      </c>
      <c r="K6" s="42">
        <f>J17</f>
        <v>24000</v>
      </c>
      <c r="L6" s="42">
        <f t="shared" si="0"/>
        <v>8400</v>
      </c>
      <c r="M6" s="42">
        <f t="shared" si="0"/>
        <v>100</v>
      </c>
    </row>
    <row r="7" spans="1:14" ht="15" x14ac:dyDescent="0.2">
      <c r="A7" s="8" t="s">
        <v>76</v>
      </c>
      <c r="B7" s="42"/>
      <c r="C7" s="42"/>
      <c r="D7" s="42"/>
      <c r="E7" s="42"/>
      <c r="F7" s="42"/>
      <c r="G7" s="42"/>
      <c r="H7" s="42"/>
      <c r="I7" s="42"/>
      <c r="J7" s="42" t="s">
        <v>745</v>
      </c>
      <c r="K7" s="42"/>
      <c r="L7" s="42"/>
      <c r="M7" s="42"/>
    </row>
    <row r="8" spans="1:14" ht="15" x14ac:dyDescent="0.2">
      <c r="A8" s="8" t="s">
        <v>105</v>
      </c>
      <c r="B8" s="42">
        <v>6220</v>
      </c>
      <c r="C8" s="42">
        <v>8000</v>
      </c>
      <c r="D8" s="42"/>
      <c r="E8" s="42"/>
      <c r="F8" s="42">
        <v>7000</v>
      </c>
      <c r="G8" s="42">
        <v>32100</v>
      </c>
      <c r="H8" s="42">
        <v>30000</v>
      </c>
      <c r="I8" s="42">
        <v>25000</v>
      </c>
      <c r="J8" s="42">
        <v>400</v>
      </c>
      <c r="K8" s="42">
        <v>8900</v>
      </c>
      <c r="L8" s="42">
        <v>9200</v>
      </c>
      <c r="M8" s="42">
        <v>5500</v>
      </c>
    </row>
    <row r="9" spans="1:14" ht="15" x14ac:dyDescent="0.2">
      <c r="A9" s="8" t="s">
        <v>4</v>
      </c>
      <c r="B9" s="42">
        <v>5510</v>
      </c>
      <c r="C9" s="42">
        <v>4500</v>
      </c>
      <c r="D9" s="42">
        <v>15690</v>
      </c>
      <c r="E9" s="42">
        <v>3100</v>
      </c>
      <c r="F9" s="42">
        <v>3200</v>
      </c>
      <c r="G9" s="42">
        <v>6000</v>
      </c>
      <c r="H9" s="42">
        <v>6530</v>
      </c>
      <c r="I9" s="42">
        <v>8500</v>
      </c>
      <c r="J9" s="42">
        <v>13600</v>
      </c>
      <c r="K9" s="42">
        <v>25500</v>
      </c>
      <c r="L9" s="42">
        <v>25500</v>
      </c>
      <c r="M9" s="42">
        <v>21000</v>
      </c>
    </row>
    <row r="10" spans="1:14" ht="15" x14ac:dyDescent="0.2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ht="15" x14ac:dyDescent="0.2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ht="15" x14ac:dyDescent="0.2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ht="15" x14ac:dyDescent="0.2">
      <c r="A13" s="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t="s">
        <v>261</v>
      </c>
    </row>
    <row r="14" spans="1:14" ht="15" x14ac:dyDescent="0.2">
      <c r="A14" s="8" t="s">
        <v>5</v>
      </c>
      <c r="B14" s="42">
        <v>90000</v>
      </c>
      <c r="C14" s="42">
        <v>90000</v>
      </c>
      <c r="D14" s="42">
        <v>90000</v>
      </c>
      <c r="E14" s="42">
        <v>100000</v>
      </c>
      <c r="F14" s="42">
        <v>100000</v>
      </c>
      <c r="G14" s="42">
        <v>100000</v>
      </c>
      <c r="H14" s="42">
        <v>100000</v>
      </c>
      <c r="I14" s="42">
        <v>110000</v>
      </c>
      <c r="J14" s="42">
        <v>110000</v>
      </c>
      <c r="K14" s="42">
        <v>110000</v>
      </c>
      <c r="L14" s="42">
        <v>110000</v>
      </c>
      <c r="M14" s="42">
        <v>130000</v>
      </c>
    </row>
    <row r="15" spans="1:14" ht="15" x14ac:dyDescent="0.2">
      <c r="A15" s="8" t="s">
        <v>6</v>
      </c>
      <c r="B15" s="43">
        <f>SUM(B6:B14)</f>
        <v>101730</v>
      </c>
      <c r="C15" s="43">
        <f t="shared" ref="C15:M15" si="1">SUM(C6:C14)</f>
        <v>102500</v>
      </c>
      <c r="D15" s="43">
        <f t="shared" si="1"/>
        <v>105690</v>
      </c>
      <c r="E15" s="43">
        <f t="shared" si="1"/>
        <v>103100</v>
      </c>
      <c r="F15" s="43">
        <f t="shared" si="1"/>
        <v>110300</v>
      </c>
      <c r="G15" s="43">
        <f t="shared" si="1"/>
        <v>138100</v>
      </c>
      <c r="H15" s="43">
        <f t="shared" si="1"/>
        <v>136630</v>
      </c>
      <c r="I15" s="43">
        <f t="shared" si="1"/>
        <v>143500</v>
      </c>
      <c r="J15" s="43">
        <f t="shared" si="1"/>
        <v>124000</v>
      </c>
      <c r="K15" s="43">
        <f t="shared" si="1"/>
        <v>168400</v>
      </c>
      <c r="L15" s="43">
        <f t="shared" si="1"/>
        <v>153100</v>
      </c>
      <c r="M15" s="43">
        <f t="shared" si="1"/>
        <v>156600</v>
      </c>
    </row>
    <row r="16" spans="1:14" ht="15" x14ac:dyDescent="0.2">
      <c r="A16" s="8" t="s">
        <v>7</v>
      </c>
      <c r="B16" s="44">
        <v>101730</v>
      </c>
      <c r="C16" s="44">
        <v>102500</v>
      </c>
      <c r="D16" s="44">
        <v>105690</v>
      </c>
      <c r="E16" s="44">
        <v>103000</v>
      </c>
      <c r="F16" s="44">
        <v>110300</v>
      </c>
      <c r="G16" s="44">
        <v>138000</v>
      </c>
      <c r="H16" s="44">
        <v>136630</v>
      </c>
      <c r="I16" s="44">
        <v>143500</v>
      </c>
      <c r="J16" s="44">
        <v>100000</v>
      </c>
      <c r="K16" s="44">
        <v>160000</v>
      </c>
      <c r="L16" s="44">
        <v>153000</v>
      </c>
      <c r="M16" s="44">
        <v>156600</v>
      </c>
    </row>
    <row r="17" spans="1:13" ht="15" x14ac:dyDescent="0.2">
      <c r="A17" s="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100</v>
      </c>
      <c r="F17" s="43">
        <f t="shared" si="2"/>
        <v>0</v>
      </c>
      <c r="G17" s="43">
        <f t="shared" si="2"/>
        <v>100</v>
      </c>
      <c r="H17" s="43">
        <f t="shared" si="2"/>
        <v>0</v>
      </c>
      <c r="I17" s="43">
        <f t="shared" si="2"/>
        <v>0</v>
      </c>
      <c r="J17" s="43">
        <f t="shared" si="2"/>
        <v>24000</v>
      </c>
      <c r="K17" s="43">
        <f t="shared" si="2"/>
        <v>8400</v>
      </c>
      <c r="L17" s="43">
        <f t="shared" si="2"/>
        <v>100</v>
      </c>
      <c r="M17" s="43">
        <f t="shared" si="2"/>
        <v>0</v>
      </c>
    </row>
    <row r="18" spans="1:13" x14ac:dyDescent="0.2">
      <c r="J18" s="128">
        <v>45957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5.75" x14ac:dyDescent="0.25">
      <c r="A23" s="33"/>
      <c r="B23" s="34">
        <v>46023</v>
      </c>
      <c r="C23" s="34">
        <v>46054</v>
      </c>
      <c r="D23" s="34">
        <v>46082</v>
      </c>
      <c r="E23" s="34">
        <v>46113</v>
      </c>
      <c r="F23" s="34">
        <v>46143</v>
      </c>
      <c r="G23" s="34">
        <v>46174</v>
      </c>
      <c r="H23" s="34">
        <v>46204</v>
      </c>
      <c r="I23" s="34">
        <v>46235</v>
      </c>
      <c r="J23" s="34">
        <v>46266</v>
      </c>
      <c r="K23" s="34">
        <v>46296</v>
      </c>
      <c r="L23" s="34">
        <v>46327</v>
      </c>
      <c r="M23" s="34">
        <v>46357</v>
      </c>
    </row>
    <row r="24" spans="1:13" ht="15" x14ac:dyDescent="0.2">
      <c r="A24" s="8" t="s">
        <v>110</v>
      </c>
      <c r="B24" s="28"/>
      <c r="C24" s="28">
        <f t="shared" ref="C24:M24" si="3">B35</f>
        <v>0</v>
      </c>
      <c r="D24" s="28">
        <f t="shared" si="3"/>
        <v>0</v>
      </c>
      <c r="E24" s="28">
        <f t="shared" si="3"/>
        <v>0</v>
      </c>
      <c r="F24" s="28">
        <f t="shared" si="3"/>
        <v>0</v>
      </c>
      <c r="G24" s="28">
        <f t="shared" si="3"/>
        <v>0</v>
      </c>
      <c r="H24" s="28">
        <f t="shared" si="3"/>
        <v>0</v>
      </c>
      <c r="I24" s="28">
        <f t="shared" si="3"/>
        <v>0</v>
      </c>
      <c r="J24" s="28">
        <f t="shared" si="3"/>
        <v>0</v>
      </c>
      <c r="K24" s="28">
        <f t="shared" si="3"/>
        <v>0</v>
      </c>
      <c r="L24" s="28">
        <f t="shared" si="3"/>
        <v>0</v>
      </c>
      <c r="M24" s="28">
        <f t="shared" si="3"/>
        <v>0</v>
      </c>
    </row>
    <row r="25" spans="1:13" ht="15" x14ac:dyDescent="0.2">
      <c r="A25" s="8" t="s">
        <v>76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5" x14ac:dyDescent="0.2">
      <c r="A26" s="8" t="s">
        <v>3</v>
      </c>
      <c r="B26" s="28">
        <v>43000</v>
      </c>
      <c r="C26" s="28">
        <v>12000</v>
      </c>
      <c r="D26" s="28">
        <v>7000</v>
      </c>
      <c r="E26" s="28">
        <v>3500</v>
      </c>
      <c r="F26" s="28">
        <v>20350</v>
      </c>
      <c r="G26" s="28"/>
      <c r="H26" s="28"/>
      <c r="I26" s="22"/>
      <c r="J26" s="22"/>
      <c r="K26" s="28"/>
      <c r="L26" s="28"/>
      <c r="M26" s="28"/>
    </row>
    <row r="27" spans="1:13" ht="15" x14ac:dyDescent="0.2">
      <c r="A27" s="8" t="s">
        <v>4</v>
      </c>
      <c r="B27" s="28">
        <v>5000</v>
      </c>
      <c r="C27" s="28">
        <v>5320</v>
      </c>
      <c r="D27" s="28">
        <v>14600</v>
      </c>
      <c r="E27" s="28">
        <v>15000</v>
      </c>
      <c r="F27" s="28"/>
      <c r="G27" s="28"/>
      <c r="H27" s="28"/>
      <c r="I27" s="22"/>
      <c r="J27" s="22"/>
      <c r="K27" s="28"/>
      <c r="L27" s="28"/>
      <c r="M27" s="28"/>
    </row>
    <row r="28" spans="1:13" ht="15" x14ac:dyDescent="0.2">
      <c r="A28" s="8" t="s">
        <v>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15" x14ac:dyDescent="0.2">
      <c r="A29" s="8" t="s">
        <v>73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ht="15" x14ac:dyDescent="0.2">
      <c r="A30" s="8" t="s">
        <v>364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ht="15" x14ac:dyDescent="0.2">
      <c r="A31" s="8" t="s">
        <v>75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ht="15" x14ac:dyDescent="0.2">
      <c r="A32" s="8" t="s">
        <v>5</v>
      </c>
      <c r="B32" s="28">
        <v>130000</v>
      </c>
      <c r="C32" s="28">
        <v>150000</v>
      </c>
      <c r="D32" s="28">
        <v>150000</v>
      </c>
      <c r="E32" s="28">
        <v>150000</v>
      </c>
      <c r="F32" s="28">
        <v>150000</v>
      </c>
      <c r="G32" s="28"/>
      <c r="H32" s="28"/>
      <c r="I32" s="28"/>
      <c r="J32" s="28"/>
      <c r="K32" s="28"/>
      <c r="L32" s="28"/>
      <c r="M32" s="28"/>
    </row>
    <row r="33" spans="1:13" ht="15" x14ac:dyDescent="0.2">
      <c r="A33" s="8" t="s">
        <v>6</v>
      </c>
      <c r="B33" s="29">
        <f t="shared" ref="B33:M33" si="4">SUM(B24:B32)</f>
        <v>178000</v>
      </c>
      <c r="C33" s="29">
        <f t="shared" si="4"/>
        <v>167320</v>
      </c>
      <c r="D33" s="29">
        <f t="shared" si="4"/>
        <v>171600</v>
      </c>
      <c r="E33" s="29">
        <f t="shared" si="4"/>
        <v>168500</v>
      </c>
      <c r="F33" s="29">
        <f t="shared" si="4"/>
        <v>170350</v>
      </c>
      <c r="G33" s="29">
        <f t="shared" si="4"/>
        <v>0</v>
      </c>
      <c r="H33" s="29">
        <f t="shared" si="4"/>
        <v>0</v>
      </c>
      <c r="I33" s="29">
        <f t="shared" si="4"/>
        <v>0</v>
      </c>
      <c r="J33" s="29">
        <f t="shared" si="4"/>
        <v>0</v>
      </c>
      <c r="K33" s="29">
        <f t="shared" si="4"/>
        <v>0</v>
      </c>
      <c r="L33" s="29">
        <f t="shared" si="4"/>
        <v>0</v>
      </c>
      <c r="M33" s="29">
        <f t="shared" si="4"/>
        <v>0</v>
      </c>
    </row>
    <row r="34" spans="1:13" ht="15.75" thickBot="1" x14ac:dyDescent="0.25">
      <c r="A34" s="8" t="s">
        <v>7</v>
      </c>
      <c r="B34" s="30">
        <v>178000</v>
      </c>
      <c r="C34" s="30">
        <v>167320</v>
      </c>
      <c r="D34" s="30">
        <v>171600</v>
      </c>
      <c r="E34" s="30">
        <v>168500</v>
      </c>
      <c r="F34" s="30">
        <v>170350</v>
      </c>
      <c r="G34" s="30"/>
      <c r="H34" s="30"/>
      <c r="I34" s="30"/>
      <c r="J34" s="30"/>
      <c r="K34" s="30"/>
      <c r="L34" s="30"/>
      <c r="M34" s="30"/>
    </row>
    <row r="35" spans="1:13" ht="15.75" thickBot="1" x14ac:dyDescent="0.25">
      <c r="A35" s="8" t="s">
        <v>111</v>
      </c>
      <c r="B35" s="35">
        <f t="shared" ref="B35:M35" si="5">B33-B34</f>
        <v>0</v>
      </c>
      <c r="C35" s="36">
        <f t="shared" si="5"/>
        <v>0</v>
      </c>
      <c r="D35" s="36">
        <f t="shared" si="5"/>
        <v>0</v>
      </c>
      <c r="E35" s="36">
        <f t="shared" si="5"/>
        <v>0</v>
      </c>
      <c r="F35" s="36">
        <f t="shared" si="5"/>
        <v>0</v>
      </c>
      <c r="G35" s="36">
        <f t="shared" si="5"/>
        <v>0</v>
      </c>
      <c r="H35" s="36">
        <f t="shared" si="5"/>
        <v>0</v>
      </c>
      <c r="I35" s="36">
        <f t="shared" si="5"/>
        <v>0</v>
      </c>
      <c r="J35" s="36">
        <f t="shared" si="5"/>
        <v>0</v>
      </c>
      <c r="K35" s="36">
        <f t="shared" si="5"/>
        <v>0</v>
      </c>
      <c r="L35" s="36">
        <f t="shared" si="5"/>
        <v>0</v>
      </c>
      <c r="M35" s="37">
        <f t="shared" si="5"/>
        <v>0</v>
      </c>
    </row>
    <row r="38" spans="1:13" ht="15.75" x14ac:dyDescent="0.25">
      <c r="A38" s="32" t="s">
        <v>0</v>
      </c>
      <c r="B38" s="32" t="s">
        <v>1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ht="15.75" x14ac:dyDescent="0.25">
      <c r="A39" s="33"/>
      <c r="B39" s="34">
        <v>43101</v>
      </c>
      <c r="C39" s="34">
        <v>43132</v>
      </c>
      <c r="D39" s="34">
        <v>43160</v>
      </c>
      <c r="E39" s="34">
        <v>43191</v>
      </c>
      <c r="F39" s="34">
        <v>43221</v>
      </c>
      <c r="G39" s="34">
        <v>43252</v>
      </c>
      <c r="H39" s="34">
        <v>43282</v>
      </c>
      <c r="I39" s="34">
        <v>43313</v>
      </c>
      <c r="J39" s="34">
        <v>43344</v>
      </c>
      <c r="K39" s="34">
        <v>43374</v>
      </c>
      <c r="L39" s="34">
        <v>43405</v>
      </c>
      <c r="M39" s="34">
        <v>43435</v>
      </c>
    </row>
    <row r="40" spans="1:13" ht="15" x14ac:dyDescent="0.2">
      <c r="A40" s="8" t="s">
        <v>110</v>
      </c>
      <c r="B40" s="28">
        <v>2000</v>
      </c>
      <c r="C40" s="28">
        <f>B51</f>
        <v>0</v>
      </c>
      <c r="D40" s="28">
        <f t="shared" ref="D40:M40" si="6">C51</f>
        <v>2548</v>
      </c>
      <c r="E40" s="28">
        <f t="shared" si="6"/>
        <v>528</v>
      </c>
      <c r="F40" s="28">
        <f t="shared" si="6"/>
        <v>3036</v>
      </c>
      <c r="G40" s="28">
        <f t="shared" si="6"/>
        <v>0</v>
      </c>
      <c r="H40" s="28">
        <f t="shared" si="6"/>
        <v>2300</v>
      </c>
      <c r="I40" s="28">
        <f t="shared" si="6"/>
        <v>5013</v>
      </c>
      <c r="J40" s="28">
        <f t="shared" si="6"/>
        <v>7448</v>
      </c>
      <c r="K40" s="28">
        <f t="shared" si="6"/>
        <v>6835</v>
      </c>
      <c r="L40" s="28">
        <f t="shared" si="6"/>
        <v>9705</v>
      </c>
      <c r="M40" s="28">
        <f t="shared" si="6"/>
        <v>-44.549999999999272</v>
      </c>
    </row>
    <row r="41" spans="1:13" ht="15" x14ac:dyDescent="0.2">
      <c r="A41" s="8" t="s">
        <v>76</v>
      </c>
      <c r="B41" s="28"/>
      <c r="C41" s="28"/>
      <c r="D41" s="28"/>
      <c r="E41" s="28"/>
      <c r="F41" s="28"/>
      <c r="G41" s="28"/>
      <c r="H41" s="28"/>
      <c r="I41" s="28"/>
      <c r="J41" s="28">
        <v>442</v>
      </c>
      <c r="K41" s="28"/>
      <c r="L41" s="28"/>
      <c r="M41" s="28"/>
    </row>
    <row r="42" spans="1:13" ht="15" x14ac:dyDescent="0.2">
      <c r="A42" s="8" t="s">
        <v>3</v>
      </c>
      <c r="B42" s="28">
        <v>530</v>
      </c>
      <c r="C42" s="28">
        <v>350</v>
      </c>
      <c r="D42" s="28">
        <v>980</v>
      </c>
      <c r="E42" s="28">
        <v>508</v>
      </c>
      <c r="F42" s="28">
        <v>930</v>
      </c>
      <c r="G42" s="28">
        <v>300</v>
      </c>
      <c r="H42" s="28">
        <v>713</v>
      </c>
      <c r="I42" s="28">
        <v>435</v>
      </c>
      <c r="J42" s="28">
        <v>168</v>
      </c>
      <c r="K42" s="28">
        <v>500</v>
      </c>
      <c r="L42" s="28">
        <v>387</v>
      </c>
      <c r="M42" s="28">
        <v>503.4</v>
      </c>
    </row>
    <row r="43" spans="1:13" ht="15" x14ac:dyDescent="0.2">
      <c r="A43" s="8" t="s">
        <v>4</v>
      </c>
      <c r="B43" s="28">
        <v>12</v>
      </c>
      <c r="C43" s="28">
        <v>198</v>
      </c>
      <c r="D43" s="28"/>
      <c r="E43" s="28"/>
      <c r="F43" s="28"/>
      <c r="G43" s="28"/>
      <c r="H43" s="28"/>
      <c r="I43" s="28"/>
      <c r="J43" s="28">
        <v>277</v>
      </c>
      <c r="K43" s="28">
        <v>370</v>
      </c>
      <c r="L43" s="28">
        <v>63.45</v>
      </c>
      <c r="M43" s="28">
        <v>285</v>
      </c>
    </row>
    <row r="44" spans="1:13" ht="15" x14ac:dyDescent="0.2">
      <c r="A44" s="8" t="s">
        <v>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15" x14ac:dyDescent="0.2">
      <c r="A45" s="8" t="s">
        <v>73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ht="15" x14ac:dyDescent="0.2">
      <c r="A46" s="8" t="s">
        <v>74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ht="15" x14ac:dyDescent="0.2">
      <c r="A47" s="8" t="s">
        <v>75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15" x14ac:dyDescent="0.2">
      <c r="A48" s="8" t="s">
        <v>5</v>
      </c>
      <c r="B48" s="28">
        <v>2000</v>
      </c>
      <c r="C48" s="28">
        <v>2000</v>
      </c>
      <c r="D48" s="28">
        <v>2000</v>
      </c>
      <c r="E48" s="28">
        <v>2000</v>
      </c>
      <c r="F48" s="28">
        <v>2000</v>
      </c>
      <c r="G48" s="28">
        <v>2000</v>
      </c>
      <c r="H48" s="28">
        <v>2000</v>
      </c>
      <c r="I48" s="28">
        <v>2000</v>
      </c>
      <c r="J48" s="28">
        <v>2000</v>
      </c>
      <c r="K48" s="28">
        <v>2000</v>
      </c>
      <c r="L48" s="28">
        <v>2000</v>
      </c>
      <c r="M48" s="28">
        <v>2000</v>
      </c>
    </row>
    <row r="49" spans="1:13" ht="15" x14ac:dyDescent="0.2">
      <c r="A49" s="8" t="s">
        <v>6</v>
      </c>
      <c r="B49" s="29">
        <f>SUM(B40:B48)</f>
        <v>4542</v>
      </c>
      <c r="C49" s="29">
        <f t="shared" ref="C49:M49" si="7">SUM(C40:C48)</f>
        <v>2548</v>
      </c>
      <c r="D49" s="29">
        <f t="shared" si="7"/>
        <v>5528</v>
      </c>
      <c r="E49" s="29">
        <f t="shared" si="7"/>
        <v>3036</v>
      </c>
      <c r="F49" s="29">
        <f t="shared" si="7"/>
        <v>5966</v>
      </c>
      <c r="G49" s="29">
        <f t="shared" si="7"/>
        <v>2300</v>
      </c>
      <c r="H49" s="29">
        <f t="shared" si="7"/>
        <v>5013</v>
      </c>
      <c r="I49" s="29">
        <f t="shared" si="7"/>
        <v>7448</v>
      </c>
      <c r="J49" s="29">
        <f t="shared" si="7"/>
        <v>10335</v>
      </c>
      <c r="K49" s="29">
        <f t="shared" si="7"/>
        <v>9705</v>
      </c>
      <c r="L49" s="29">
        <f t="shared" si="7"/>
        <v>12155.45</v>
      </c>
      <c r="M49" s="29">
        <f t="shared" si="7"/>
        <v>2743.8500000000008</v>
      </c>
    </row>
    <row r="50" spans="1:13" ht="15.75" thickBot="1" x14ac:dyDescent="0.25">
      <c r="A50" s="8" t="s">
        <v>7</v>
      </c>
      <c r="B50" s="30">
        <f>3000+1542</f>
        <v>4542</v>
      </c>
      <c r="C50" s="30"/>
      <c r="D50" s="30">
        <v>5000</v>
      </c>
      <c r="E50" s="30"/>
      <c r="F50" s="30">
        <v>5966</v>
      </c>
      <c r="G50" s="30"/>
      <c r="H50" s="30"/>
      <c r="I50" s="30"/>
      <c r="J50" s="30">
        <v>3500</v>
      </c>
      <c r="K50" s="30"/>
      <c r="L50" s="30">
        <v>12200</v>
      </c>
      <c r="M50" s="30"/>
    </row>
    <row r="51" spans="1:13" ht="15.75" thickBot="1" x14ac:dyDescent="0.25">
      <c r="A51" s="8" t="s">
        <v>111</v>
      </c>
      <c r="B51" s="35">
        <f>B49-B50</f>
        <v>0</v>
      </c>
      <c r="C51" s="35">
        <f t="shared" ref="C51:M51" si="8">C49-C50</f>
        <v>2548</v>
      </c>
      <c r="D51" s="35">
        <f t="shared" si="8"/>
        <v>528</v>
      </c>
      <c r="E51" s="35">
        <f t="shared" si="8"/>
        <v>3036</v>
      </c>
      <c r="F51" s="35">
        <f t="shared" si="8"/>
        <v>0</v>
      </c>
      <c r="G51" s="35">
        <f t="shared" si="8"/>
        <v>2300</v>
      </c>
      <c r="H51" s="35">
        <f t="shared" si="8"/>
        <v>5013</v>
      </c>
      <c r="I51" s="35">
        <f t="shared" si="8"/>
        <v>7448</v>
      </c>
      <c r="J51" s="35">
        <f t="shared" si="8"/>
        <v>6835</v>
      </c>
      <c r="K51" s="35">
        <f t="shared" si="8"/>
        <v>9705</v>
      </c>
      <c r="L51" s="35">
        <f t="shared" si="8"/>
        <v>-44.549999999999272</v>
      </c>
      <c r="M51" s="35">
        <f t="shared" si="8"/>
        <v>2743.8500000000008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3"/>
  <dimension ref="A3:M30"/>
  <sheetViews>
    <sheetView topLeftCell="A13" workbookViewId="0">
      <selection activeCell="F28" sqref="F28"/>
    </sheetView>
  </sheetViews>
  <sheetFormatPr baseColWidth="10" defaultRowHeight="12.75" x14ac:dyDescent="0.2"/>
  <cols>
    <col min="1" max="1" width="32.5703125" customWidth="1"/>
    <col min="9" max="9" width="12.5703125" customWidth="1"/>
    <col min="10" max="10" width="13.140625" customWidth="1"/>
    <col min="11" max="12" width="13.28515625" customWidth="1"/>
    <col min="13" max="13" width="12.5703125" customWidth="1"/>
  </cols>
  <sheetData>
    <row r="3" spans="1:13" x14ac:dyDescent="0.2">
      <c r="A3" s="81"/>
      <c r="B3" s="82">
        <v>45658</v>
      </c>
      <c r="C3" s="82">
        <v>45689</v>
      </c>
      <c r="D3" s="82">
        <v>45717</v>
      </c>
      <c r="E3" s="82">
        <v>45748</v>
      </c>
      <c r="F3" s="82">
        <v>45778</v>
      </c>
      <c r="G3" s="82">
        <v>45809</v>
      </c>
      <c r="H3" s="82">
        <v>45839</v>
      </c>
      <c r="I3" s="82">
        <v>45870</v>
      </c>
      <c r="J3" s="82">
        <v>45901</v>
      </c>
      <c r="K3" s="82">
        <v>45931</v>
      </c>
      <c r="L3" s="82">
        <v>45962</v>
      </c>
      <c r="M3" s="82">
        <v>45992</v>
      </c>
    </row>
    <row r="4" spans="1:13" x14ac:dyDescent="0.2">
      <c r="A4" s="78" t="s">
        <v>110</v>
      </c>
      <c r="B4" s="42">
        <v>94650</v>
      </c>
      <c r="C4" s="42">
        <f t="shared" ref="C4:M4" si="0">B15</f>
        <v>226908</v>
      </c>
      <c r="D4" s="42">
        <f t="shared" si="0"/>
        <v>9508</v>
      </c>
      <c r="E4" s="42">
        <f t="shared" si="0"/>
        <v>180728</v>
      </c>
      <c r="F4" s="42">
        <f t="shared" si="0"/>
        <v>351948</v>
      </c>
      <c r="G4" s="42">
        <f t="shared" si="0"/>
        <v>523168</v>
      </c>
      <c r="H4" s="42">
        <f t="shared" si="0"/>
        <v>694388</v>
      </c>
      <c r="I4" s="42">
        <f t="shared" si="0"/>
        <v>871108</v>
      </c>
      <c r="J4" s="42">
        <f t="shared" si="0"/>
        <v>1056838</v>
      </c>
      <c r="K4" s="42">
        <f t="shared" si="0"/>
        <v>1252568</v>
      </c>
      <c r="L4" s="42">
        <f t="shared" si="0"/>
        <v>1048298</v>
      </c>
      <c r="M4" s="42">
        <f t="shared" si="0"/>
        <v>184028</v>
      </c>
    </row>
    <row r="5" spans="1:13" x14ac:dyDescent="0.2">
      <c r="A5" s="78" t="s">
        <v>289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>
        <v>40758</v>
      </c>
      <c r="C6" s="42">
        <v>58100</v>
      </c>
      <c r="D6" s="42">
        <v>74720</v>
      </c>
      <c r="E6" s="42">
        <v>74720</v>
      </c>
      <c r="F6" s="42">
        <v>74720</v>
      </c>
      <c r="G6" s="42">
        <v>74720</v>
      </c>
      <c r="H6" s="42">
        <v>74720</v>
      </c>
      <c r="I6" s="42">
        <v>83730</v>
      </c>
      <c r="J6" s="42">
        <v>83730</v>
      </c>
      <c r="K6" s="42">
        <v>83730</v>
      </c>
      <c r="L6" s="42">
        <v>83730</v>
      </c>
      <c r="M6" s="42">
        <v>83730</v>
      </c>
    </row>
    <row r="7" spans="1:13" x14ac:dyDescent="0.2">
      <c r="A7" s="78" t="s">
        <v>4</v>
      </c>
      <c r="B7" s="42">
        <v>46500</v>
      </c>
      <c r="C7" s="42">
        <v>46500</v>
      </c>
      <c r="D7" s="42">
        <v>46500</v>
      </c>
      <c r="E7" s="42">
        <v>46500</v>
      </c>
      <c r="F7" s="42">
        <v>46500</v>
      </c>
      <c r="G7" s="42">
        <v>46500</v>
      </c>
      <c r="H7" s="42">
        <v>52000</v>
      </c>
      <c r="I7" s="42">
        <v>52000</v>
      </c>
      <c r="J7" s="42">
        <v>52000</v>
      </c>
      <c r="K7" s="42">
        <v>52000</v>
      </c>
      <c r="L7" s="42">
        <v>52000</v>
      </c>
      <c r="M7" s="42">
        <v>52000</v>
      </c>
    </row>
    <row r="8" spans="1:13" x14ac:dyDescent="0.2">
      <c r="A8" s="78" t="s">
        <v>74</v>
      </c>
      <c r="B8" s="42"/>
      <c r="C8" s="42"/>
      <c r="D8" s="42"/>
      <c r="E8" s="42"/>
      <c r="F8" s="42"/>
      <c r="G8" s="42"/>
      <c r="H8" s="42"/>
      <c r="I8" s="42"/>
      <c r="J8" s="42">
        <v>10000</v>
      </c>
      <c r="K8" s="42">
        <v>10000</v>
      </c>
      <c r="L8" s="42">
        <v>10000</v>
      </c>
      <c r="M8" s="42">
        <v>10000</v>
      </c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450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442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45000</v>
      </c>
      <c r="C12" s="42">
        <v>45000</v>
      </c>
      <c r="D12" s="42">
        <v>50000</v>
      </c>
      <c r="E12" s="42">
        <v>50000</v>
      </c>
      <c r="F12" s="42">
        <v>50000</v>
      </c>
      <c r="G12" s="42">
        <v>50000</v>
      </c>
      <c r="H12" s="42">
        <v>50000</v>
      </c>
      <c r="I12" s="42">
        <v>50000</v>
      </c>
      <c r="J12" s="42">
        <v>50000</v>
      </c>
      <c r="K12" s="42">
        <v>50000</v>
      </c>
      <c r="L12" s="42">
        <v>50000</v>
      </c>
      <c r="M12" s="42">
        <v>50000</v>
      </c>
    </row>
    <row r="13" spans="1:13" x14ac:dyDescent="0.2">
      <c r="A13" s="78" t="s">
        <v>6</v>
      </c>
      <c r="B13" s="43">
        <f t="shared" ref="B13:M13" si="1">SUM(B4:B12)</f>
        <v>226908</v>
      </c>
      <c r="C13" s="43">
        <f t="shared" si="1"/>
        <v>376508</v>
      </c>
      <c r="D13" s="43">
        <f t="shared" si="1"/>
        <v>180728</v>
      </c>
      <c r="E13" s="43">
        <f t="shared" si="1"/>
        <v>351948</v>
      </c>
      <c r="F13" s="43">
        <f t="shared" si="1"/>
        <v>523168</v>
      </c>
      <c r="G13" s="43">
        <f t="shared" si="1"/>
        <v>694388</v>
      </c>
      <c r="H13" s="43">
        <f t="shared" si="1"/>
        <v>871108</v>
      </c>
      <c r="I13" s="43">
        <f t="shared" si="1"/>
        <v>1056838</v>
      </c>
      <c r="J13" s="43">
        <f t="shared" si="1"/>
        <v>1252568</v>
      </c>
      <c r="K13" s="43">
        <f t="shared" si="1"/>
        <v>1448298</v>
      </c>
      <c r="L13" s="43">
        <f t="shared" si="1"/>
        <v>1244028</v>
      </c>
      <c r="M13" s="43">
        <f t="shared" si="1"/>
        <v>379758</v>
      </c>
    </row>
    <row r="14" spans="1:13" ht="13.5" thickBot="1" x14ac:dyDescent="0.25">
      <c r="A14" s="78" t="s">
        <v>7</v>
      </c>
      <c r="B14" s="44"/>
      <c r="C14" s="44">
        <v>367000</v>
      </c>
      <c r="D14" s="44"/>
      <c r="E14" s="44"/>
      <c r="F14" s="44"/>
      <c r="G14" s="44"/>
      <c r="H14" s="44"/>
      <c r="I14" s="44"/>
      <c r="J14" s="44"/>
      <c r="K14" s="44">
        <v>400000</v>
      </c>
      <c r="L14" s="44">
        <f>500000+560000</f>
        <v>1060000</v>
      </c>
      <c r="M14" s="44">
        <v>380000</v>
      </c>
    </row>
    <row r="15" spans="1:13" ht="13.5" thickBot="1" x14ac:dyDescent="0.25">
      <c r="A15" s="78" t="s">
        <v>111</v>
      </c>
      <c r="B15" s="45">
        <f t="shared" ref="B15:M15" si="2">B13-B14</f>
        <v>226908</v>
      </c>
      <c r="C15" s="46">
        <f t="shared" si="2"/>
        <v>9508</v>
      </c>
      <c r="D15" s="46">
        <f t="shared" si="2"/>
        <v>180728</v>
      </c>
      <c r="E15" s="46">
        <f t="shared" si="2"/>
        <v>351948</v>
      </c>
      <c r="F15" s="46">
        <f t="shared" si="2"/>
        <v>523168</v>
      </c>
      <c r="G15" s="46">
        <f t="shared" si="2"/>
        <v>694388</v>
      </c>
      <c r="H15" s="46">
        <f t="shared" si="2"/>
        <v>871108</v>
      </c>
      <c r="I15" s="46">
        <f t="shared" si="2"/>
        <v>1056838</v>
      </c>
      <c r="J15" s="46">
        <f t="shared" si="2"/>
        <v>1252568</v>
      </c>
      <c r="K15" s="46">
        <f t="shared" si="2"/>
        <v>1048298</v>
      </c>
      <c r="L15" s="46">
        <f t="shared" si="2"/>
        <v>184028</v>
      </c>
      <c r="M15" s="47">
        <f t="shared" si="2"/>
        <v>-242</v>
      </c>
    </row>
    <row r="16" spans="1:13" x14ac:dyDescent="0.2">
      <c r="M16" s="179">
        <v>46027</v>
      </c>
    </row>
    <row r="17" spans="1:13" x14ac:dyDescent="0.2">
      <c r="G17" t="s">
        <v>543</v>
      </c>
    </row>
    <row r="18" spans="1:13" x14ac:dyDescent="0.2">
      <c r="A18" s="81"/>
      <c r="B18" s="82">
        <v>46023</v>
      </c>
      <c r="C18" s="82">
        <v>46054</v>
      </c>
      <c r="D18" s="82">
        <v>46082</v>
      </c>
      <c r="E18" s="82">
        <v>46113</v>
      </c>
      <c r="F18" s="82">
        <v>46143</v>
      </c>
      <c r="G18" s="82">
        <v>46174</v>
      </c>
      <c r="H18" s="82">
        <v>46204</v>
      </c>
      <c r="I18" s="82">
        <v>46235</v>
      </c>
      <c r="J18" s="82">
        <v>46266</v>
      </c>
      <c r="K18" s="82">
        <v>46296</v>
      </c>
      <c r="L18" s="82">
        <v>46327</v>
      </c>
      <c r="M18" s="82">
        <v>46357</v>
      </c>
    </row>
    <row r="19" spans="1:13" x14ac:dyDescent="0.2">
      <c r="A19" s="78" t="s">
        <v>110</v>
      </c>
      <c r="B19" s="42">
        <v>-242</v>
      </c>
      <c r="C19" s="42">
        <f t="shared" ref="C19:M19" si="3">B30</f>
        <v>204758</v>
      </c>
      <c r="D19" s="42">
        <f t="shared" si="3"/>
        <v>-242</v>
      </c>
      <c r="E19" s="42">
        <f t="shared" si="3"/>
        <v>312758</v>
      </c>
      <c r="F19" s="42">
        <f t="shared" si="3"/>
        <v>229758</v>
      </c>
      <c r="G19" s="42">
        <f t="shared" si="3"/>
        <v>486758</v>
      </c>
      <c r="H19" s="42">
        <f t="shared" si="3"/>
        <v>486758</v>
      </c>
      <c r="I19" s="42">
        <f t="shared" si="3"/>
        <v>486758</v>
      </c>
      <c r="J19" s="42">
        <f t="shared" si="3"/>
        <v>486758</v>
      </c>
      <c r="K19" s="42">
        <f t="shared" si="3"/>
        <v>486758</v>
      </c>
      <c r="L19" s="42">
        <f t="shared" si="3"/>
        <v>486758</v>
      </c>
      <c r="M19" s="42">
        <f t="shared" si="3"/>
        <v>486758</v>
      </c>
    </row>
    <row r="20" spans="1:13" x14ac:dyDescent="0.2">
      <c r="A20" s="78" t="s">
        <v>289</v>
      </c>
      <c r="B20" s="42">
        <v>98000</v>
      </c>
      <c r="C20" s="42">
        <v>98000</v>
      </c>
      <c r="D20" s="42">
        <v>98000</v>
      </c>
      <c r="E20" s="42">
        <v>98000</v>
      </c>
      <c r="F20" s="42">
        <v>98000</v>
      </c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4</v>
      </c>
      <c r="B22" s="42">
        <v>57000</v>
      </c>
      <c r="C22" s="42">
        <v>57000</v>
      </c>
      <c r="D22" s="42">
        <v>57000</v>
      </c>
      <c r="E22" s="42">
        <v>57000</v>
      </c>
      <c r="F22" s="42">
        <v>57000</v>
      </c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74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794</v>
      </c>
      <c r="B24" s="42"/>
      <c r="C24" s="42"/>
      <c r="D24" s="42">
        <v>52000</v>
      </c>
      <c r="E24" s="42">
        <v>52000</v>
      </c>
      <c r="F24" s="42">
        <v>52000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655</v>
      </c>
      <c r="B25" s="42"/>
      <c r="C25" s="42"/>
      <c r="D25" s="42">
        <v>56000</v>
      </c>
      <c r="E25" s="42">
        <v>10000</v>
      </c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442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5</v>
      </c>
      <c r="B27" s="42">
        <v>50000</v>
      </c>
      <c r="C27" s="42">
        <v>50000</v>
      </c>
      <c r="D27" s="42">
        <v>50000</v>
      </c>
      <c r="E27" s="42">
        <v>50000</v>
      </c>
      <c r="F27" s="42">
        <v>50000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6</v>
      </c>
      <c r="B28" s="43">
        <f t="shared" ref="B28:M28" si="4">SUM(B19:B27)</f>
        <v>204758</v>
      </c>
      <c r="C28" s="43">
        <f t="shared" si="4"/>
        <v>409758</v>
      </c>
      <c r="D28" s="43">
        <f t="shared" si="4"/>
        <v>312758</v>
      </c>
      <c r="E28" s="43">
        <f t="shared" si="4"/>
        <v>579758</v>
      </c>
      <c r="F28" s="43">
        <f t="shared" si="4"/>
        <v>486758</v>
      </c>
      <c r="G28" s="43">
        <f t="shared" si="4"/>
        <v>486758</v>
      </c>
      <c r="H28" s="43">
        <f t="shared" si="4"/>
        <v>486758</v>
      </c>
      <c r="I28" s="43">
        <f t="shared" si="4"/>
        <v>486758</v>
      </c>
      <c r="J28" s="43">
        <f t="shared" si="4"/>
        <v>486758</v>
      </c>
      <c r="K28" s="43">
        <f t="shared" si="4"/>
        <v>486758</v>
      </c>
      <c r="L28" s="43">
        <f t="shared" si="4"/>
        <v>486758</v>
      </c>
      <c r="M28" s="43">
        <f t="shared" si="4"/>
        <v>486758</v>
      </c>
    </row>
    <row r="29" spans="1:13" ht="13.5" thickBot="1" x14ac:dyDescent="0.25">
      <c r="A29" s="78" t="s">
        <v>7</v>
      </c>
      <c r="B29" s="44"/>
      <c r="C29" s="44">
        <f>300000+110000</f>
        <v>410000</v>
      </c>
      <c r="D29" s="44"/>
      <c r="E29" s="44">
        <v>350000</v>
      </c>
      <c r="F29" s="44"/>
      <c r="G29" s="44"/>
      <c r="H29" s="44"/>
      <c r="I29" s="44"/>
      <c r="J29" s="44"/>
      <c r="K29" s="44"/>
      <c r="L29" s="44"/>
      <c r="M29" s="44"/>
    </row>
    <row r="30" spans="1:13" ht="13.5" thickBot="1" x14ac:dyDescent="0.25">
      <c r="A30" s="78" t="s">
        <v>111</v>
      </c>
      <c r="B30" s="45">
        <f t="shared" ref="B30:M30" si="5">B28-B29</f>
        <v>204758</v>
      </c>
      <c r="C30" s="46">
        <f t="shared" si="5"/>
        <v>-242</v>
      </c>
      <c r="D30" s="46">
        <f t="shared" si="5"/>
        <v>312758</v>
      </c>
      <c r="E30" s="46">
        <f t="shared" si="5"/>
        <v>229758</v>
      </c>
      <c r="F30" s="46">
        <f t="shared" si="5"/>
        <v>486758</v>
      </c>
      <c r="G30" s="46">
        <f t="shared" si="5"/>
        <v>486758</v>
      </c>
      <c r="H30" s="46">
        <f t="shared" si="5"/>
        <v>486758</v>
      </c>
      <c r="I30" s="46">
        <f t="shared" si="5"/>
        <v>486758</v>
      </c>
      <c r="J30" s="46">
        <f t="shared" si="5"/>
        <v>486758</v>
      </c>
      <c r="K30" s="46">
        <f t="shared" si="5"/>
        <v>486758</v>
      </c>
      <c r="L30" s="46">
        <f t="shared" si="5"/>
        <v>486758</v>
      </c>
      <c r="M30" s="47">
        <f t="shared" si="5"/>
        <v>486758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4"/>
  <dimension ref="A4:M32"/>
  <sheetViews>
    <sheetView workbookViewId="0">
      <selection activeCell="F16" sqref="F16"/>
    </sheetView>
  </sheetViews>
  <sheetFormatPr baseColWidth="10" defaultRowHeight="12.75" x14ac:dyDescent="0.2"/>
  <cols>
    <col min="1" max="1" width="29.42578125" customWidth="1"/>
    <col min="3" max="3" width="12.85546875" bestFit="1" customWidth="1"/>
    <col min="4" max="4" width="12.28515625" customWidth="1"/>
    <col min="5" max="5" width="13" customWidth="1"/>
    <col min="6" max="6" width="11.85546875" bestFit="1" customWidth="1"/>
    <col min="7" max="7" width="13.28515625" customWidth="1"/>
    <col min="8" max="8" width="13.42578125" customWidth="1"/>
    <col min="9" max="9" width="12.7109375" customWidth="1"/>
    <col min="10" max="10" width="13.42578125" customWidth="1"/>
    <col min="11" max="11" width="14" customWidth="1"/>
    <col min="12" max="13" width="12.7109375" customWidth="1"/>
  </cols>
  <sheetData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>
        <v>350870</v>
      </c>
      <c r="C5" s="42">
        <f t="shared" ref="C5:M5" si="0">B16</f>
        <v>605870</v>
      </c>
      <c r="D5" s="42">
        <f t="shared" si="0"/>
        <v>-234130</v>
      </c>
      <c r="E5" s="42">
        <f t="shared" si="0"/>
        <v>99870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289</v>
      </c>
      <c r="B6" s="42"/>
      <c r="C6" s="42"/>
      <c r="D6" s="42">
        <v>70000</v>
      </c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>
        <v>25000</v>
      </c>
      <c r="C7" s="42"/>
      <c r="D7" s="42">
        <v>34000</v>
      </c>
      <c r="E7" s="42"/>
      <c r="F7" s="42">
        <v>50000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30000</v>
      </c>
      <c r="C8" s="42">
        <v>30000</v>
      </c>
      <c r="D8" s="42">
        <v>30000</v>
      </c>
      <c r="E8" s="42">
        <v>30000</v>
      </c>
      <c r="F8" s="42">
        <v>30000</v>
      </c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442</v>
      </c>
      <c r="B12" s="42"/>
      <c r="C12" s="42"/>
      <c r="D12" s="42"/>
      <c r="E12" s="42">
        <v>130</v>
      </c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200000</v>
      </c>
      <c r="C13" s="42">
        <v>200000</v>
      </c>
      <c r="D13" s="42">
        <v>200000</v>
      </c>
      <c r="E13" s="42">
        <v>200000</v>
      </c>
      <c r="F13" s="42">
        <v>200000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</v>
      </c>
      <c r="B14" s="43">
        <f t="shared" ref="B14:M14" si="1">SUM(B5:B13)</f>
        <v>605870</v>
      </c>
      <c r="C14" s="43">
        <f t="shared" si="1"/>
        <v>835870</v>
      </c>
      <c r="D14" s="43">
        <f t="shared" si="1"/>
        <v>99870</v>
      </c>
      <c r="E14" s="43">
        <f t="shared" si="1"/>
        <v>330000</v>
      </c>
      <c r="F14" s="43">
        <f t="shared" si="1"/>
        <v>280000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ht="13.5" thickBot="1" x14ac:dyDescent="0.25">
      <c r="A15" s="78" t="s">
        <v>111</v>
      </c>
      <c r="B15" s="44"/>
      <c r="C15" s="44">
        <v>1070000</v>
      </c>
      <c r="D15" s="44"/>
      <c r="E15" s="44">
        <v>330000</v>
      </c>
      <c r="F15" s="44">
        <v>280000</v>
      </c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B16" s="45">
        <f t="shared" ref="B16:M16" si="2">B14-B15</f>
        <v>605870</v>
      </c>
      <c r="C16" s="46">
        <f t="shared" si="2"/>
        <v>-234130</v>
      </c>
      <c r="D16" s="46">
        <f t="shared" si="2"/>
        <v>99870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7">
        <f t="shared" si="2"/>
        <v>0</v>
      </c>
    </row>
    <row r="17" spans="1:13" x14ac:dyDescent="0.2">
      <c r="H17" s="128">
        <v>44771</v>
      </c>
    </row>
    <row r="18" spans="1:13" x14ac:dyDescent="0.2">
      <c r="A18" s="81"/>
    </row>
    <row r="19" spans="1:13" x14ac:dyDescent="0.2">
      <c r="B19" s="82">
        <v>45658</v>
      </c>
      <c r="C19" s="82">
        <v>45689</v>
      </c>
      <c r="D19" s="82">
        <v>45717</v>
      </c>
      <c r="E19" s="82">
        <v>45748</v>
      </c>
      <c r="F19" s="82">
        <v>45778</v>
      </c>
      <c r="G19" s="82">
        <v>45809</v>
      </c>
      <c r="H19" s="82">
        <v>45839</v>
      </c>
      <c r="I19" s="82">
        <v>45870</v>
      </c>
      <c r="J19" s="82">
        <v>45901</v>
      </c>
      <c r="K19" s="82">
        <v>45931</v>
      </c>
      <c r="L19" s="82">
        <v>45962</v>
      </c>
      <c r="M19" s="82">
        <v>45992</v>
      </c>
    </row>
    <row r="20" spans="1:13" x14ac:dyDescent="0.2">
      <c r="A20" s="78" t="s">
        <v>110</v>
      </c>
      <c r="B20" s="42"/>
      <c r="C20" s="42">
        <f t="shared" ref="C20:M20" si="3">B31</f>
        <v>0</v>
      </c>
      <c r="D20" s="42">
        <f t="shared" si="3"/>
        <v>0</v>
      </c>
      <c r="E20" s="42">
        <f t="shared" si="3"/>
        <v>0</v>
      </c>
      <c r="F20" s="42">
        <f t="shared" si="3"/>
        <v>0</v>
      </c>
      <c r="G20" s="42">
        <f t="shared" si="3"/>
        <v>202300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-5130</v>
      </c>
      <c r="M20" s="42">
        <f t="shared" si="3"/>
        <v>172870</v>
      </c>
    </row>
    <row r="21" spans="1:13" x14ac:dyDescent="0.2">
      <c r="A21" s="78" t="s">
        <v>289</v>
      </c>
      <c r="B21" s="42">
        <v>30000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>
        <v>14610</v>
      </c>
      <c r="C22" s="42">
        <v>22500</v>
      </c>
      <c r="D22" s="42"/>
      <c r="E22" s="42">
        <v>21340</v>
      </c>
      <c r="F22" s="42">
        <v>60000</v>
      </c>
      <c r="G22" s="42">
        <v>25000</v>
      </c>
      <c r="H22" s="42">
        <v>30000</v>
      </c>
      <c r="I22" s="42">
        <v>19180</v>
      </c>
      <c r="J22" s="42">
        <v>15250</v>
      </c>
      <c r="K22" s="42">
        <v>26870</v>
      </c>
      <c r="L22" s="42"/>
      <c r="M22" s="42"/>
    </row>
    <row r="23" spans="1:13" x14ac:dyDescent="0.2">
      <c r="A23" s="78" t="s">
        <v>4</v>
      </c>
      <c r="B23" s="42">
        <v>22300</v>
      </c>
      <c r="C23" s="42">
        <v>22300</v>
      </c>
      <c r="D23" s="42">
        <v>22300</v>
      </c>
      <c r="E23" s="42">
        <v>22300</v>
      </c>
      <c r="F23" s="42">
        <v>22300</v>
      </c>
      <c r="G23" s="42">
        <v>22300</v>
      </c>
      <c r="H23" s="42">
        <v>28630</v>
      </c>
      <c r="I23" s="42">
        <v>28000</v>
      </c>
      <c r="J23" s="42">
        <v>28000</v>
      </c>
      <c r="K23" s="42">
        <v>28000</v>
      </c>
      <c r="L23" s="42">
        <v>28000</v>
      </c>
      <c r="M23" s="42">
        <v>28000</v>
      </c>
    </row>
    <row r="24" spans="1:13" x14ac:dyDescent="0.2">
      <c r="A24" s="78" t="s">
        <v>74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450</v>
      </c>
      <c r="B26" s="42"/>
      <c r="C26" s="42">
        <v>22200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442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100000</v>
      </c>
      <c r="C28" s="42">
        <v>100000</v>
      </c>
      <c r="D28" s="42">
        <v>100000</v>
      </c>
      <c r="E28" s="42">
        <v>100000</v>
      </c>
      <c r="F28" s="42">
        <v>120000</v>
      </c>
      <c r="G28" s="42">
        <v>120000</v>
      </c>
      <c r="H28" s="42">
        <v>120000</v>
      </c>
      <c r="I28" s="42">
        <v>130000</v>
      </c>
      <c r="J28" s="42">
        <v>150000</v>
      </c>
      <c r="K28" s="42">
        <v>150000</v>
      </c>
      <c r="L28" s="42">
        <v>150000</v>
      </c>
      <c r="M28" s="42">
        <v>150000</v>
      </c>
    </row>
    <row r="29" spans="1:13" x14ac:dyDescent="0.2">
      <c r="A29" s="78" t="s">
        <v>6</v>
      </c>
      <c r="B29" s="43">
        <f t="shared" ref="B29:M29" si="4">SUM(B20:B28)</f>
        <v>166910</v>
      </c>
      <c r="C29" s="43">
        <f t="shared" si="4"/>
        <v>167000</v>
      </c>
      <c r="D29" s="43">
        <f t="shared" si="4"/>
        <v>122300</v>
      </c>
      <c r="E29" s="43">
        <f t="shared" si="4"/>
        <v>143640</v>
      </c>
      <c r="F29" s="43">
        <f t="shared" si="4"/>
        <v>202300</v>
      </c>
      <c r="G29" s="43">
        <f t="shared" si="4"/>
        <v>369600</v>
      </c>
      <c r="H29" s="43">
        <f t="shared" si="4"/>
        <v>178630</v>
      </c>
      <c r="I29" s="43">
        <f t="shared" si="4"/>
        <v>177180</v>
      </c>
      <c r="J29" s="43">
        <f t="shared" si="4"/>
        <v>193250</v>
      </c>
      <c r="K29" s="43">
        <f t="shared" si="4"/>
        <v>204870</v>
      </c>
      <c r="L29" s="43">
        <f t="shared" si="4"/>
        <v>172870</v>
      </c>
      <c r="M29" s="43">
        <f t="shared" si="4"/>
        <v>350870</v>
      </c>
    </row>
    <row r="30" spans="1:13" ht="13.5" thickBot="1" x14ac:dyDescent="0.25">
      <c r="A30" s="78" t="s">
        <v>7</v>
      </c>
      <c r="B30" s="44">
        <v>166910</v>
      </c>
      <c r="C30" s="44">
        <f>130000+37000</f>
        <v>167000</v>
      </c>
      <c r="D30" s="44">
        <v>122300</v>
      </c>
      <c r="E30" s="44">
        <v>143640</v>
      </c>
      <c r="F30" s="44"/>
      <c r="G30" s="44">
        <v>369600</v>
      </c>
      <c r="H30" s="44">
        <v>178630</v>
      </c>
      <c r="I30" s="44">
        <v>177180</v>
      </c>
      <c r="J30" s="44">
        <v>193250</v>
      </c>
      <c r="K30" s="44">
        <v>210000</v>
      </c>
      <c r="L30" s="44"/>
      <c r="M30" s="44"/>
    </row>
    <row r="31" spans="1:13" ht="13.5" thickBot="1" x14ac:dyDescent="0.25">
      <c r="A31" s="78" t="s">
        <v>111</v>
      </c>
      <c r="B31" s="45">
        <f t="shared" ref="B31:M31" si="5">B29-B30</f>
        <v>0</v>
      </c>
      <c r="C31" s="46">
        <f t="shared" si="5"/>
        <v>0</v>
      </c>
      <c r="D31" s="46">
        <f t="shared" si="5"/>
        <v>0</v>
      </c>
      <c r="E31" s="46">
        <f t="shared" si="5"/>
        <v>0</v>
      </c>
      <c r="F31" s="46">
        <f t="shared" si="5"/>
        <v>202300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-5130</v>
      </c>
      <c r="L31" s="46">
        <f t="shared" si="5"/>
        <v>172870</v>
      </c>
      <c r="M31" s="47">
        <f t="shared" si="5"/>
        <v>350870</v>
      </c>
    </row>
    <row r="32" spans="1:13" x14ac:dyDescent="0.2">
      <c r="B32" s="128">
        <v>45687</v>
      </c>
      <c r="E32" s="128">
        <v>45779</v>
      </c>
      <c r="K32" s="128">
        <v>44502</v>
      </c>
    </row>
  </sheetData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5"/>
  <dimension ref="A3:M31"/>
  <sheetViews>
    <sheetView workbookViewId="0">
      <selection activeCell="F16" sqref="F16"/>
    </sheetView>
  </sheetViews>
  <sheetFormatPr baseColWidth="10" defaultRowHeight="12.75" x14ac:dyDescent="0.2"/>
  <cols>
    <col min="1" max="1" width="33.8554687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608</v>
      </c>
      <c r="B6" s="42">
        <v>20000</v>
      </c>
      <c r="C6" s="42">
        <v>20000</v>
      </c>
      <c r="D6" s="42">
        <v>20000</v>
      </c>
      <c r="E6" s="42">
        <v>20000</v>
      </c>
      <c r="F6" s="42">
        <v>20000</v>
      </c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609</v>
      </c>
      <c r="B7" s="42">
        <v>20000</v>
      </c>
      <c r="C7" s="42">
        <v>20000</v>
      </c>
      <c r="D7" s="42">
        <v>20000</v>
      </c>
      <c r="E7" s="42">
        <v>20000</v>
      </c>
      <c r="F7" s="42">
        <v>20000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610</v>
      </c>
      <c r="B8" s="42">
        <v>20000</v>
      </c>
      <c r="C8" s="42">
        <v>20000</v>
      </c>
      <c r="D8" s="42">
        <v>20000</v>
      </c>
      <c r="E8" s="42">
        <v>20000</v>
      </c>
      <c r="F8" s="42">
        <v>20000</v>
      </c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769</v>
      </c>
      <c r="B9" s="42">
        <v>20000</v>
      </c>
      <c r="C9" s="42">
        <v>20000</v>
      </c>
      <c r="D9" s="42">
        <v>20000</v>
      </c>
      <c r="E9" s="42">
        <v>20000</v>
      </c>
      <c r="F9" s="42">
        <v>20000</v>
      </c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611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55000</v>
      </c>
      <c r="C13" s="42">
        <v>55000</v>
      </c>
      <c r="D13" s="42">
        <v>55000</v>
      </c>
      <c r="E13" s="42">
        <v>55000</v>
      </c>
      <c r="F13" s="42">
        <v>55000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135000</v>
      </c>
      <c r="C14" s="43">
        <f t="shared" si="1"/>
        <v>135000</v>
      </c>
      <c r="D14" s="43">
        <f t="shared" si="1"/>
        <v>135000</v>
      </c>
      <c r="E14" s="43">
        <f t="shared" si="1"/>
        <v>135000</v>
      </c>
      <c r="F14" s="43">
        <f t="shared" si="1"/>
        <v>135000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ht="13.5" thickBot="1" x14ac:dyDescent="0.25">
      <c r="A15" s="78" t="s">
        <v>7</v>
      </c>
      <c r="B15" s="44">
        <v>135000</v>
      </c>
      <c r="C15" s="44">
        <v>135000</v>
      </c>
      <c r="D15" s="44">
        <v>135000</v>
      </c>
      <c r="E15" s="44">
        <v>135000</v>
      </c>
      <c r="F15" s="44">
        <v>135000</v>
      </c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</row>
    <row r="19" spans="1:13" x14ac:dyDescent="0.2">
      <c r="A19" s="81"/>
      <c r="B19" s="82">
        <v>45658</v>
      </c>
      <c r="C19" s="82">
        <v>45689</v>
      </c>
      <c r="D19" s="82">
        <v>45717</v>
      </c>
      <c r="E19" s="82">
        <v>45748</v>
      </c>
      <c r="F19" s="82">
        <v>45778</v>
      </c>
      <c r="G19" s="82">
        <v>45809</v>
      </c>
      <c r="H19" s="82">
        <v>45839</v>
      </c>
      <c r="I19" s="82">
        <v>45870</v>
      </c>
      <c r="J19" s="82">
        <v>45901</v>
      </c>
      <c r="K19" s="82">
        <v>45931</v>
      </c>
      <c r="L19" s="82">
        <v>45962</v>
      </c>
      <c r="M19" s="82">
        <v>45992</v>
      </c>
    </row>
    <row r="20" spans="1:13" x14ac:dyDescent="0.2">
      <c r="A20" s="78" t="s">
        <v>110</v>
      </c>
      <c r="B20" s="42"/>
      <c r="C20" s="42">
        <f t="shared" ref="C20:M20" si="3">B31</f>
        <v>0</v>
      </c>
      <c r="D20" s="42">
        <f t="shared" si="3"/>
        <v>0</v>
      </c>
      <c r="E20" s="42">
        <f t="shared" si="3"/>
        <v>20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608</v>
      </c>
      <c r="B21" s="42">
        <v>10700</v>
      </c>
      <c r="C21" s="42">
        <v>14460</v>
      </c>
      <c r="D21" s="42">
        <v>14460</v>
      </c>
      <c r="E21" s="42">
        <v>14460</v>
      </c>
      <c r="F21" s="42">
        <v>14460</v>
      </c>
      <c r="G21" s="42">
        <v>14460</v>
      </c>
      <c r="H21" s="42">
        <v>14460</v>
      </c>
      <c r="I21" s="42">
        <v>16500</v>
      </c>
      <c r="J21" s="42">
        <v>16500</v>
      </c>
      <c r="K21" s="42">
        <v>16500</v>
      </c>
      <c r="L21" s="42">
        <v>16500</v>
      </c>
      <c r="M21" s="42">
        <v>16500</v>
      </c>
    </row>
    <row r="22" spans="1:13" x14ac:dyDescent="0.2">
      <c r="A22" s="78" t="s">
        <v>609</v>
      </c>
      <c r="B22" s="42">
        <v>10700</v>
      </c>
      <c r="C22" s="42">
        <v>14460</v>
      </c>
      <c r="D22" s="42">
        <v>14460</v>
      </c>
      <c r="E22" s="42">
        <v>14460</v>
      </c>
      <c r="F22" s="42">
        <v>14460</v>
      </c>
      <c r="G22" s="42">
        <v>14460</v>
      </c>
      <c r="H22" s="42">
        <v>14460</v>
      </c>
      <c r="I22" s="42">
        <v>16500</v>
      </c>
      <c r="J22" s="42">
        <v>16500</v>
      </c>
      <c r="K22" s="42">
        <v>16500</v>
      </c>
      <c r="L22" s="42">
        <v>16500</v>
      </c>
      <c r="M22" s="42">
        <v>16500</v>
      </c>
    </row>
    <row r="23" spans="1:13" x14ac:dyDescent="0.2">
      <c r="A23" s="78" t="s">
        <v>610</v>
      </c>
      <c r="B23" s="42"/>
      <c r="C23" s="42"/>
      <c r="D23" s="42"/>
      <c r="E23" s="42"/>
      <c r="F23" s="42"/>
      <c r="G23" s="42"/>
      <c r="H23" s="42"/>
      <c r="I23" s="42"/>
      <c r="J23" s="42"/>
      <c r="K23" s="42">
        <v>16500</v>
      </c>
      <c r="L23" s="42">
        <v>16500</v>
      </c>
      <c r="M23" s="42">
        <v>16500</v>
      </c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725</v>
      </c>
      <c r="B25" s="42"/>
      <c r="C25" s="42"/>
      <c r="D25" s="42">
        <v>14400</v>
      </c>
      <c r="E25" s="42">
        <v>14400</v>
      </c>
      <c r="F25" s="42">
        <v>14400</v>
      </c>
      <c r="G25" s="42">
        <v>14400</v>
      </c>
      <c r="H25" s="42">
        <v>14400</v>
      </c>
      <c r="I25" s="42">
        <v>16500</v>
      </c>
      <c r="J25" s="42">
        <v>16500</v>
      </c>
      <c r="K25" s="42">
        <v>16500</v>
      </c>
      <c r="L25" s="42">
        <v>16500</v>
      </c>
      <c r="M25" s="42">
        <v>16500</v>
      </c>
    </row>
    <row r="26" spans="1:13" x14ac:dyDescent="0.2">
      <c r="A26" s="78" t="s">
        <v>611</v>
      </c>
      <c r="B26" s="42">
        <v>17800</v>
      </c>
      <c r="C26" s="42">
        <v>28700</v>
      </c>
      <c r="D26" s="42">
        <v>28700</v>
      </c>
      <c r="E26" s="42"/>
      <c r="F26" s="42">
        <v>20</v>
      </c>
      <c r="G26" s="42">
        <v>20</v>
      </c>
      <c r="H26" s="42">
        <v>20</v>
      </c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40000</v>
      </c>
      <c r="C28" s="42">
        <v>52000</v>
      </c>
      <c r="D28" s="42">
        <v>52000</v>
      </c>
      <c r="E28" s="42">
        <v>52000</v>
      </c>
      <c r="F28" s="42">
        <v>52000</v>
      </c>
      <c r="G28" s="42">
        <v>52000</v>
      </c>
      <c r="H28" s="42">
        <v>52000</v>
      </c>
      <c r="I28" s="42">
        <v>55000</v>
      </c>
      <c r="J28" s="42">
        <v>55000</v>
      </c>
      <c r="K28" s="42">
        <v>55000</v>
      </c>
      <c r="L28" s="42">
        <v>55000</v>
      </c>
      <c r="M28" s="42">
        <v>55000</v>
      </c>
    </row>
    <row r="29" spans="1:13" x14ac:dyDescent="0.2">
      <c r="A29" s="78" t="s">
        <v>6</v>
      </c>
      <c r="B29" s="43">
        <f t="shared" ref="B29:M29" si="4">SUM(B20:B28)</f>
        <v>79200</v>
      </c>
      <c r="C29" s="43">
        <f t="shared" si="4"/>
        <v>109620</v>
      </c>
      <c r="D29" s="43">
        <f t="shared" si="4"/>
        <v>124020</v>
      </c>
      <c r="E29" s="43">
        <f t="shared" si="4"/>
        <v>95340</v>
      </c>
      <c r="F29" s="43">
        <f t="shared" si="4"/>
        <v>95340</v>
      </c>
      <c r="G29" s="43">
        <f t="shared" si="4"/>
        <v>95340</v>
      </c>
      <c r="H29" s="43">
        <f t="shared" si="4"/>
        <v>95340</v>
      </c>
      <c r="I29" s="43">
        <f t="shared" si="4"/>
        <v>104500</v>
      </c>
      <c r="J29" s="43">
        <f t="shared" si="4"/>
        <v>104500</v>
      </c>
      <c r="K29" s="43">
        <f t="shared" si="4"/>
        <v>121000</v>
      </c>
      <c r="L29" s="43">
        <f t="shared" si="4"/>
        <v>121000</v>
      </c>
      <c r="M29" s="43">
        <f t="shared" si="4"/>
        <v>121000</v>
      </c>
    </row>
    <row r="30" spans="1:13" ht="13.5" thickBot="1" x14ac:dyDescent="0.25">
      <c r="A30" s="78" t="s">
        <v>7</v>
      </c>
      <c r="B30" s="44">
        <v>79200</v>
      </c>
      <c r="C30" s="44">
        <v>109620</v>
      </c>
      <c r="D30" s="44">
        <v>124000</v>
      </c>
      <c r="E30" s="44">
        <v>95340</v>
      </c>
      <c r="F30" s="44">
        <v>95340</v>
      </c>
      <c r="G30" s="44">
        <v>95340</v>
      </c>
      <c r="H30" s="44">
        <v>95340</v>
      </c>
      <c r="I30" s="44">
        <v>104500</v>
      </c>
      <c r="J30" s="44">
        <v>104500</v>
      </c>
      <c r="K30" s="44">
        <v>121000</v>
      </c>
      <c r="L30" s="44">
        <v>121000</v>
      </c>
      <c r="M30" s="44">
        <v>121000</v>
      </c>
    </row>
    <row r="31" spans="1:13" ht="13.5" thickBot="1" x14ac:dyDescent="0.25">
      <c r="A31" s="78" t="s">
        <v>111</v>
      </c>
      <c r="B31" s="45">
        <f t="shared" ref="B31:M31" si="5">B29-B30</f>
        <v>0</v>
      </c>
      <c r="C31" s="46">
        <f t="shared" si="5"/>
        <v>0</v>
      </c>
      <c r="D31" s="46">
        <f t="shared" si="5"/>
        <v>20</v>
      </c>
      <c r="E31" s="46">
        <f t="shared" si="5"/>
        <v>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6">
        <f t="shared" si="5"/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6"/>
  <dimension ref="A3:M33"/>
  <sheetViews>
    <sheetView topLeftCell="A13" workbookViewId="0">
      <selection activeCell="F32" sqref="F32"/>
    </sheetView>
  </sheetViews>
  <sheetFormatPr baseColWidth="10" defaultRowHeight="12.75" x14ac:dyDescent="0.2"/>
  <cols>
    <col min="1" max="1" width="25.5703125" customWidth="1"/>
    <col min="4" max="4" width="12.85546875" bestFit="1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59910</v>
      </c>
      <c r="E5" s="42">
        <f t="shared" si="0"/>
        <v>0</v>
      </c>
      <c r="F5" s="42">
        <f t="shared" si="0"/>
        <v>0</v>
      </c>
      <c r="G5" s="42">
        <f t="shared" si="0"/>
        <v>10</v>
      </c>
      <c r="H5" s="42">
        <f t="shared" si="0"/>
        <v>56420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2</v>
      </c>
      <c r="B6" s="42">
        <v>5700</v>
      </c>
      <c r="C6" s="42">
        <v>6910</v>
      </c>
      <c r="D6" s="42">
        <v>6910</v>
      </c>
      <c r="E6" s="42">
        <v>6910</v>
      </c>
      <c r="F6" s="42">
        <v>6910</v>
      </c>
      <c r="G6" s="42">
        <v>6910</v>
      </c>
      <c r="H6" s="42">
        <v>6910</v>
      </c>
      <c r="I6" s="42">
        <v>6910</v>
      </c>
      <c r="J6" s="42">
        <v>6910</v>
      </c>
      <c r="K6" s="42">
        <v>6910</v>
      </c>
      <c r="L6" s="42">
        <v>6910</v>
      </c>
      <c r="M6" s="42">
        <v>6910</v>
      </c>
    </row>
    <row r="7" spans="1:13" x14ac:dyDescent="0.2">
      <c r="A7" s="78" t="s">
        <v>315</v>
      </c>
      <c r="B7" s="42">
        <v>5800</v>
      </c>
      <c r="C7" s="42">
        <v>13000</v>
      </c>
      <c r="D7" s="42">
        <v>13000</v>
      </c>
      <c r="E7" s="42">
        <v>9500</v>
      </c>
      <c r="F7" s="42">
        <v>9500</v>
      </c>
      <c r="G7" s="42">
        <v>9500</v>
      </c>
      <c r="H7" s="42">
        <v>9500</v>
      </c>
      <c r="I7" s="42">
        <v>9500</v>
      </c>
      <c r="J7" s="42">
        <v>9500</v>
      </c>
      <c r="K7" s="42">
        <v>9500</v>
      </c>
      <c r="L7" s="42">
        <v>9500</v>
      </c>
      <c r="M7" s="42">
        <v>9500</v>
      </c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30000</v>
      </c>
      <c r="C13" s="42">
        <v>40000</v>
      </c>
      <c r="D13" s="42">
        <v>40000</v>
      </c>
      <c r="E13" s="42">
        <v>40000</v>
      </c>
      <c r="F13" s="42">
        <v>40000</v>
      </c>
      <c r="G13" s="42">
        <v>40000</v>
      </c>
      <c r="H13" s="42">
        <v>40000</v>
      </c>
      <c r="I13" s="42">
        <v>40000</v>
      </c>
      <c r="J13" s="42">
        <v>40000</v>
      </c>
      <c r="K13" s="42">
        <v>40590</v>
      </c>
      <c r="L13" s="42">
        <v>40590</v>
      </c>
      <c r="M13" s="42">
        <v>40590</v>
      </c>
    </row>
    <row r="14" spans="1:13" x14ac:dyDescent="0.2">
      <c r="A14" s="78" t="s">
        <v>6</v>
      </c>
      <c r="B14" s="43">
        <f t="shared" ref="B14:M14" si="1">SUM(B5:B13)</f>
        <v>41500</v>
      </c>
      <c r="C14" s="43">
        <f t="shared" si="1"/>
        <v>59910</v>
      </c>
      <c r="D14" s="43">
        <f t="shared" si="1"/>
        <v>119820</v>
      </c>
      <c r="E14" s="43">
        <f t="shared" si="1"/>
        <v>56410</v>
      </c>
      <c r="F14" s="43">
        <f t="shared" si="1"/>
        <v>56410</v>
      </c>
      <c r="G14" s="43">
        <f t="shared" si="1"/>
        <v>56420</v>
      </c>
      <c r="H14" s="43">
        <f t="shared" si="1"/>
        <v>112830</v>
      </c>
      <c r="I14" s="43">
        <f t="shared" si="1"/>
        <v>56410</v>
      </c>
      <c r="J14" s="43">
        <f t="shared" si="1"/>
        <v>56410</v>
      </c>
      <c r="K14" s="43">
        <f t="shared" si="1"/>
        <v>57000</v>
      </c>
      <c r="L14" s="43">
        <f t="shared" si="1"/>
        <v>57000</v>
      </c>
      <c r="M14" s="43">
        <f t="shared" si="1"/>
        <v>57000</v>
      </c>
    </row>
    <row r="15" spans="1:13" ht="13.5" thickBot="1" x14ac:dyDescent="0.25">
      <c r="A15" s="78" t="s">
        <v>7</v>
      </c>
      <c r="B15" s="44">
        <v>41500</v>
      </c>
      <c r="C15" s="44"/>
      <c r="D15" s="44">
        <v>119820</v>
      </c>
      <c r="E15" s="44">
        <v>56410</v>
      </c>
      <c r="F15" s="44">
        <v>56400</v>
      </c>
      <c r="G15" s="44"/>
      <c r="H15" s="44">
        <v>112830</v>
      </c>
      <c r="I15" s="44">
        <v>56410</v>
      </c>
      <c r="J15" s="44">
        <v>56410</v>
      </c>
      <c r="K15" s="44">
        <v>57000</v>
      </c>
      <c r="L15" s="44">
        <v>57000</v>
      </c>
      <c r="M15" s="44">
        <v>57000</v>
      </c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59910</v>
      </c>
      <c r="D16" s="46">
        <f t="shared" si="2"/>
        <v>0</v>
      </c>
      <c r="E16" s="46">
        <f t="shared" si="2"/>
        <v>0</v>
      </c>
      <c r="F16" s="46">
        <f t="shared" si="2"/>
        <v>10</v>
      </c>
      <c r="G16" s="46">
        <f t="shared" si="2"/>
        <v>56420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</row>
    <row r="20" spans="1:13" x14ac:dyDescent="0.2">
      <c r="A20" s="81"/>
      <c r="B20" s="82">
        <v>46023</v>
      </c>
      <c r="C20" s="82">
        <v>46054</v>
      </c>
      <c r="D20" s="82">
        <v>46082</v>
      </c>
      <c r="E20" s="82">
        <v>46113</v>
      </c>
      <c r="F20" s="82">
        <v>46143</v>
      </c>
      <c r="G20" s="82">
        <v>46174</v>
      </c>
      <c r="H20" s="82">
        <v>46204</v>
      </c>
      <c r="I20" s="82">
        <v>46235</v>
      </c>
      <c r="J20" s="82">
        <v>46266</v>
      </c>
      <c r="K20" s="82">
        <v>46296</v>
      </c>
      <c r="L20" s="82">
        <v>46327</v>
      </c>
      <c r="M20" s="82">
        <v>46357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0</v>
      </c>
      <c r="M21" s="42">
        <f t="shared" si="3"/>
        <v>0</v>
      </c>
    </row>
    <row r="22" spans="1:13" x14ac:dyDescent="0.2">
      <c r="A22" s="78" t="s">
        <v>144</v>
      </c>
      <c r="B22" s="42">
        <v>25500</v>
      </c>
      <c r="C22" s="42">
        <v>25500</v>
      </c>
      <c r="D22" s="42">
        <v>25500</v>
      </c>
      <c r="E22" s="42">
        <v>25500</v>
      </c>
      <c r="F22" s="42">
        <v>25500</v>
      </c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315</v>
      </c>
      <c r="B23" s="42">
        <v>10000</v>
      </c>
      <c r="C23" s="42">
        <v>10000</v>
      </c>
      <c r="D23" s="42">
        <v>12000</v>
      </c>
      <c r="E23" s="42">
        <v>12000</v>
      </c>
      <c r="F23" s="42">
        <v>29400</v>
      </c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50000</v>
      </c>
      <c r="C29" s="42">
        <v>50000</v>
      </c>
      <c r="D29" s="42">
        <v>50000</v>
      </c>
      <c r="E29" s="42">
        <v>50000</v>
      </c>
      <c r="F29" s="42">
        <v>50000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85500</v>
      </c>
      <c r="C30" s="43">
        <f t="shared" si="4"/>
        <v>85500</v>
      </c>
      <c r="D30" s="43">
        <f t="shared" si="4"/>
        <v>87500</v>
      </c>
      <c r="E30" s="43">
        <f t="shared" si="4"/>
        <v>87500</v>
      </c>
      <c r="F30" s="43">
        <f t="shared" si="4"/>
        <v>104900</v>
      </c>
      <c r="G30" s="43">
        <f t="shared" si="4"/>
        <v>0</v>
      </c>
      <c r="H30" s="43">
        <f t="shared" si="4"/>
        <v>0</v>
      </c>
      <c r="I30" s="43">
        <f t="shared" si="4"/>
        <v>0</v>
      </c>
      <c r="J30" s="43">
        <f t="shared" si="4"/>
        <v>0</v>
      </c>
      <c r="K30" s="43">
        <f t="shared" si="4"/>
        <v>0</v>
      </c>
      <c r="L30" s="43">
        <f t="shared" si="4"/>
        <v>0</v>
      </c>
      <c r="M30" s="43">
        <f t="shared" si="4"/>
        <v>0</v>
      </c>
    </row>
    <row r="31" spans="1:13" ht="13.5" thickBot="1" x14ac:dyDescent="0.25">
      <c r="A31" s="78" t="s">
        <v>7</v>
      </c>
      <c r="B31" s="44">
        <v>85500</v>
      </c>
      <c r="C31" s="44">
        <v>85500</v>
      </c>
      <c r="D31" s="44">
        <v>87500</v>
      </c>
      <c r="E31" s="44">
        <v>87500</v>
      </c>
      <c r="F31" s="44">
        <v>104900</v>
      </c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M32" si="5">B30-B31</f>
        <v>0</v>
      </c>
      <c r="C32" s="46">
        <f t="shared" si="5"/>
        <v>0</v>
      </c>
      <c r="D32" s="46">
        <f t="shared" si="5"/>
        <v>0</v>
      </c>
      <c r="E32" s="46">
        <f t="shared" si="5"/>
        <v>0</v>
      </c>
      <c r="F32" s="46">
        <f t="shared" si="5"/>
        <v>0</v>
      </c>
      <c r="G32" s="46">
        <f t="shared" si="5"/>
        <v>0</v>
      </c>
      <c r="H32" s="46">
        <f t="shared" si="5"/>
        <v>0</v>
      </c>
      <c r="I32" s="46">
        <f t="shared" si="5"/>
        <v>0</v>
      </c>
      <c r="J32" s="46">
        <f t="shared" si="5"/>
        <v>0</v>
      </c>
      <c r="K32" s="46">
        <f t="shared" si="5"/>
        <v>0</v>
      </c>
      <c r="L32" s="46">
        <f t="shared" si="5"/>
        <v>0</v>
      </c>
      <c r="M32" s="46">
        <f t="shared" si="5"/>
        <v>0</v>
      </c>
    </row>
    <row r="33" spans="2:2" x14ac:dyDescent="0.2">
      <c r="B33" s="128">
        <v>45323</v>
      </c>
    </row>
  </sheetData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7"/>
  <dimension ref="A4:M32"/>
  <sheetViews>
    <sheetView zoomScaleNormal="100" workbookViewId="0">
      <selection activeCell="A4" sqref="A4:M17"/>
    </sheetView>
  </sheetViews>
  <sheetFormatPr baseColWidth="10" defaultRowHeight="12.75" x14ac:dyDescent="0.2"/>
  <cols>
    <col min="1" max="1" width="32.140625" customWidth="1"/>
  </cols>
  <sheetData>
    <row r="4" spans="1:13" x14ac:dyDescent="0.2">
      <c r="A4" s="80" t="s">
        <v>0</v>
      </c>
      <c r="B4" s="80" t="s">
        <v>1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x14ac:dyDescent="0.2">
      <c r="A5" s="81"/>
      <c r="B5" s="82">
        <v>45292</v>
      </c>
      <c r="C5" s="82">
        <v>45323</v>
      </c>
      <c r="D5" s="82">
        <v>45352</v>
      </c>
      <c r="E5" s="82">
        <v>45383</v>
      </c>
      <c r="F5" s="82">
        <v>45413</v>
      </c>
      <c r="G5" s="82">
        <v>45444</v>
      </c>
      <c r="H5" s="82">
        <v>45474</v>
      </c>
      <c r="I5" s="82">
        <v>45505</v>
      </c>
      <c r="J5" s="82">
        <v>45536</v>
      </c>
      <c r="K5" s="82">
        <v>45566</v>
      </c>
      <c r="L5" s="82">
        <v>45597</v>
      </c>
      <c r="M5" s="82">
        <v>45627</v>
      </c>
    </row>
    <row r="6" spans="1:13" x14ac:dyDescent="0.2">
      <c r="A6" s="78" t="s">
        <v>110</v>
      </c>
      <c r="B6" s="42"/>
      <c r="C6" s="42">
        <f t="shared" ref="C6:M6" si="0">B17</f>
        <v>16000</v>
      </c>
      <c r="D6" s="42">
        <f t="shared" si="0"/>
        <v>10000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18000</v>
      </c>
      <c r="J6" s="42">
        <f>I17</f>
        <v>0</v>
      </c>
      <c r="K6" s="42">
        <f t="shared" si="0"/>
        <v>0</v>
      </c>
      <c r="L6" s="42">
        <f t="shared" si="0"/>
        <v>20000</v>
      </c>
      <c r="M6" s="42">
        <f t="shared" si="0"/>
        <v>0</v>
      </c>
    </row>
    <row r="7" spans="1:13" x14ac:dyDescent="0.2">
      <c r="A7" s="78" t="s">
        <v>144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575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>
        <v>15000</v>
      </c>
      <c r="M12" s="42"/>
    </row>
    <row r="13" spans="1:13" x14ac:dyDescent="0.2">
      <c r="A13" s="78" t="s">
        <v>707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>
        <v>35000</v>
      </c>
      <c r="M13" s="42"/>
    </row>
    <row r="14" spans="1:13" x14ac:dyDescent="0.2">
      <c r="A14" s="78" t="s">
        <v>5</v>
      </c>
      <c r="B14" s="42">
        <v>16000</v>
      </c>
      <c r="C14" s="42">
        <v>16000</v>
      </c>
      <c r="D14" s="42">
        <v>18000</v>
      </c>
      <c r="E14" s="42">
        <v>18000</v>
      </c>
      <c r="F14" s="42">
        <v>18000</v>
      </c>
      <c r="G14" s="42">
        <v>18000</v>
      </c>
      <c r="H14" s="42">
        <v>18000</v>
      </c>
      <c r="I14" s="42">
        <v>18000</v>
      </c>
      <c r="J14" s="126">
        <v>20000</v>
      </c>
      <c r="K14" s="42">
        <v>20000</v>
      </c>
      <c r="L14" s="42">
        <v>20000</v>
      </c>
      <c r="M14" s="42">
        <v>95000</v>
      </c>
    </row>
    <row r="15" spans="1:13" x14ac:dyDescent="0.2">
      <c r="A15" s="78" t="s">
        <v>6</v>
      </c>
      <c r="B15" s="43">
        <f t="shared" ref="B15:M15" si="1">SUM(B6:B14)</f>
        <v>16000</v>
      </c>
      <c r="C15" s="43">
        <f t="shared" si="1"/>
        <v>32000</v>
      </c>
      <c r="D15" s="43">
        <f t="shared" si="1"/>
        <v>28000</v>
      </c>
      <c r="E15" s="43">
        <f t="shared" si="1"/>
        <v>18000</v>
      </c>
      <c r="F15" s="43">
        <f t="shared" si="1"/>
        <v>18000</v>
      </c>
      <c r="G15" s="43">
        <f t="shared" si="1"/>
        <v>18000</v>
      </c>
      <c r="H15" s="43">
        <f t="shared" si="1"/>
        <v>18000</v>
      </c>
      <c r="I15" s="43">
        <f t="shared" si="1"/>
        <v>36000</v>
      </c>
      <c r="J15" s="43">
        <f>SUM(J6:J14)</f>
        <v>20000</v>
      </c>
      <c r="K15" s="43">
        <f t="shared" si="1"/>
        <v>20000</v>
      </c>
      <c r="L15" s="43">
        <f t="shared" si="1"/>
        <v>90000</v>
      </c>
      <c r="M15" s="43">
        <f t="shared" si="1"/>
        <v>95000</v>
      </c>
    </row>
    <row r="16" spans="1:13" ht="13.5" thickBot="1" x14ac:dyDescent="0.25">
      <c r="A16" s="78" t="s">
        <v>7</v>
      </c>
      <c r="B16" s="44"/>
      <c r="C16" s="44">
        <v>22000</v>
      </c>
      <c r="D16" s="44">
        <v>28000</v>
      </c>
      <c r="E16" s="44">
        <v>18000</v>
      </c>
      <c r="F16" s="44">
        <v>18000</v>
      </c>
      <c r="G16" s="44">
        <v>18000</v>
      </c>
      <c r="H16" s="44"/>
      <c r="I16" s="44">
        <v>36000</v>
      </c>
      <c r="J16" s="44">
        <v>20000</v>
      </c>
      <c r="K16" s="44"/>
      <c r="L16" s="44">
        <v>90000</v>
      </c>
      <c r="M16" s="44">
        <v>95000</v>
      </c>
    </row>
    <row r="17" spans="1:13" ht="13.5" thickBot="1" x14ac:dyDescent="0.25">
      <c r="A17" s="78" t="s">
        <v>111</v>
      </c>
      <c r="B17" s="45">
        <f t="shared" ref="B17:M17" si="2">B15-B16</f>
        <v>16000</v>
      </c>
      <c r="C17" s="46">
        <f t="shared" si="2"/>
        <v>10000</v>
      </c>
      <c r="D17" s="46">
        <f t="shared" si="2"/>
        <v>0</v>
      </c>
      <c r="E17" s="46">
        <f t="shared" si="2"/>
        <v>0</v>
      </c>
      <c r="F17" s="46">
        <f t="shared" si="2"/>
        <v>0</v>
      </c>
      <c r="G17" s="46">
        <f t="shared" si="2"/>
        <v>0</v>
      </c>
      <c r="H17" s="46">
        <f t="shared" si="2"/>
        <v>18000</v>
      </c>
      <c r="I17" s="46">
        <f>I15-I16</f>
        <v>0</v>
      </c>
      <c r="J17" s="46">
        <f>J15-J16</f>
        <v>0</v>
      </c>
      <c r="K17" s="46">
        <f t="shared" si="2"/>
        <v>20000</v>
      </c>
      <c r="L17" s="46">
        <f t="shared" si="2"/>
        <v>0</v>
      </c>
      <c r="M17" s="46">
        <f t="shared" si="2"/>
        <v>0</v>
      </c>
    </row>
    <row r="20" spans="1:13" x14ac:dyDescent="0.2">
      <c r="A20" s="81"/>
      <c r="B20" s="82">
        <v>45658</v>
      </c>
      <c r="C20" s="82">
        <v>45689</v>
      </c>
      <c r="D20" s="82">
        <v>45717</v>
      </c>
      <c r="E20" s="82">
        <v>45748</v>
      </c>
      <c r="F20" s="82">
        <v>45778</v>
      </c>
      <c r="G20" s="82">
        <v>45809</v>
      </c>
      <c r="H20" s="82">
        <v>45839</v>
      </c>
      <c r="I20" s="82">
        <v>45870</v>
      </c>
      <c r="J20" s="82">
        <v>45901</v>
      </c>
      <c r="K20" s="82">
        <v>45931</v>
      </c>
      <c r="L20" s="82">
        <v>45962</v>
      </c>
      <c r="M20" s="82">
        <v>45992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0</v>
      </c>
      <c r="M21" s="42">
        <f t="shared" si="3"/>
        <v>0</v>
      </c>
    </row>
    <row r="22" spans="1:13" x14ac:dyDescent="0.2">
      <c r="A22" s="78" t="s">
        <v>144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575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/>
      <c r="C29" s="42">
        <v>10000</v>
      </c>
      <c r="D29" s="42">
        <v>54460</v>
      </c>
      <c r="E29" s="42"/>
      <c r="F29" s="42"/>
      <c r="G29" s="42"/>
      <c r="H29" s="42"/>
      <c r="I29" s="42"/>
      <c r="J29" s="126"/>
      <c r="K29" s="42"/>
      <c r="L29" s="42"/>
      <c r="M29" s="42"/>
    </row>
    <row r="30" spans="1:13" x14ac:dyDescent="0.2">
      <c r="A30" s="78" t="s">
        <v>6</v>
      </c>
      <c r="B30" s="43">
        <f t="shared" ref="B30:I30" si="4">SUM(B21:B29)</f>
        <v>0</v>
      </c>
      <c r="C30" s="43">
        <f t="shared" si="4"/>
        <v>10000</v>
      </c>
      <c r="D30" s="43">
        <f t="shared" si="4"/>
        <v>54460</v>
      </c>
      <c r="E30" s="43">
        <f t="shared" si="4"/>
        <v>0</v>
      </c>
      <c r="F30" s="43">
        <f t="shared" si="4"/>
        <v>0</v>
      </c>
      <c r="G30" s="43">
        <f t="shared" si="4"/>
        <v>0</v>
      </c>
      <c r="H30" s="43">
        <f t="shared" si="4"/>
        <v>0</v>
      </c>
      <c r="I30" s="43">
        <f t="shared" si="4"/>
        <v>0</v>
      </c>
      <c r="J30" s="43">
        <f>SUM(J21:J29)</f>
        <v>0</v>
      </c>
      <c r="K30" s="43">
        <f>SUM(K21:K29)</f>
        <v>0</v>
      </c>
      <c r="L30" s="43">
        <f>SUM(L21:L29)</f>
        <v>0</v>
      </c>
      <c r="M30" s="43">
        <f>SUM(M21:M29)</f>
        <v>0</v>
      </c>
    </row>
    <row r="31" spans="1:13" ht="13.5" thickBot="1" x14ac:dyDescent="0.25">
      <c r="A31" s="78" t="s">
        <v>7</v>
      </c>
      <c r="B31" s="44"/>
      <c r="C31" s="44">
        <v>10000</v>
      </c>
      <c r="D31" s="44">
        <v>54460</v>
      </c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H32" si="5">B30-B31</f>
        <v>0</v>
      </c>
      <c r="C32" s="46">
        <f t="shared" si="5"/>
        <v>0</v>
      </c>
      <c r="D32" s="46">
        <f t="shared" si="5"/>
        <v>0</v>
      </c>
      <c r="E32" s="46">
        <f t="shared" si="5"/>
        <v>0</v>
      </c>
      <c r="F32" s="46">
        <f t="shared" si="5"/>
        <v>0</v>
      </c>
      <c r="G32" s="46">
        <f t="shared" si="5"/>
        <v>0</v>
      </c>
      <c r="H32" s="46">
        <f t="shared" si="5"/>
        <v>0</v>
      </c>
      <c r="I32" s="46">
        <f>I30-I31</f>
        <v>0</v>
      </c>
      <c r="J32" s="46">
        <f>J30-J31</f>
        <v>0</v>
      </c>
      <c r="K32" s="46">
        <f>K30-K31</f>
        <v>0</v>
      </c>
      <c r="L32" s="46">
        <f>L30-L31</f>
        <v>0</v>
      </c>
      <c r="M32" s="46">
        <f>M30-M31</f>
        <v>0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9"/>
  <dimension ref="A2:M15"/>
  <sheetViews>
    <sheetView workbookViewId="0">
      <selection activeCell="F15" sqref="F15"/>
    </sheetView>
  </sheetViews>
  <sheetFormatPr baseColWidth="10" defaultRowHeight="12.75" x14ac:dyDescent="0.2"/>
  <cols>
    <col min="1" max="1" width="34.28515625" customWidth="1"/>
    <col min="5" max="5" width="12.85546875" bestFit="1" customWidth="1"/>
  </cols>
  <sheetData>
    <row r="2" spans="1:13" x14ac:dyDescent="0.2">
      <c r="A2" s="80" t="s">
        <v>0</v>
      </c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x14ac:dyDescent="0.2">
      <c r="A3" s="81"/>
      <c r="B3" s="82">
        <v>46023</v>
      </c>
      <c r="C3" s="82">
        <v>46054</v>
      </c>
      <c r="D3" s="82">
        <v>46082</v>
      </c>
      <c r="E3" s="82">
        <v>46113</v>
      </c>
      <c r="F3" s="82">
        <v>46143</v>
      </c>
      <c r="G3" s="82">
        <v>46174</v>
      </c>
      <c r="H3" s="82">
        <v>46204</v>
      </c>
      <c r="I3" s="82">
        <v>46235</v>
      </c>
      <c r="J3" s="82">
        <v>46266</v>
      </c>
      <c r="K3" s="82">
        <v>46296</v>
      </c>
      <c r="L3" s="82">
        <v>46327</v>
      </c>
      <c r="M3" s="82">
        <v>46357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>I15</f>
        <v>0</v>
      </c>
      <c r="K4" s="42">
        <f t="shared" si="0"/>
        <v>0</v>
      </c>
      <c r="L4" s="42">
        <f t="shared" si="0"/>
        <v>0</v>
      </c>
      <c r="M4" s="42">
        <f t="shared" si="0"/>
        <v>0</v>
      </c>
    </row>
    <row r="5" spans="1:13" x14ac:dyDescent="0.2">
      <c r="A5" s="78" t="s">
        <v>144</v>
      </c>
      <c r="B5" s="42"/>
      <c r="C5" s="42"/>
      <c r="D5" s="42"/>
      <c r="E5" s="42">
        <v>323000</v>
      </c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575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707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>
        <v>100000</v>
      </c>
      <c r="D12" s="42">
        <v>100000</v>
      </c>
      <c r="E12" s="42">
        <v>120000</v>
      </c>
      <c r="F12" s="42">
        <v>120000</v>
      </c>
      <c r="G12" s="42"/>
      <c r="H12" s="42"/>
      <c r="I12" s="42"/>
      <c r="J12" s="126"/>
      <c r="K12" s="42"/>
      <c r="L12" s="42"/>
      <c r="M12" s="42"/>
    </row>
    <row r="13" spans="1:13" x14ac:dyDescent="0.2">
      <c r="A13" s="78" t="s">
        <v>6</v>
      </c>
      <c r="B13" s="43">
        <f t="shared" ref="B13:M13" si="1">SUM(B4:B12)</f>
        <v>0</v>
      </c>
      <c r="C13" s="43">
        <f t="shared" si="1"/>
        <v>100000</v>
      </c>
      <c r="D13" s="43">
        <f t="shared" si="1"/>
        <v>100000</v>
      </c>
      <c r="E13" s="43">
        <f t="shared" si="1"/>
        <v>443000</v>
      </c>
      <c r="F13" s="43">
        <f t="shared" si="1"/>
        <v>120000</v>
      </c>
      <c r="G13" s="43">
        <f t="shared" si="1"/>
        <v>0</v>
      </c>
      <c r="H13" s="43">
        <f t="shared" si="1"/>
        <v>0</v>
      </c>
      <c r="I13" s="43">
        <f t="shared" si="1"/>
        <v>0</v>
      </c>
      <c r="J13" s="43">
        <f>SUM(J4:J12)</f>
        <v>0</v>
      </c>
      <c r="K13" s="43">
        <f t="shared" si="1"/>
        <v>0</v>
      </c>
      <c r="L13" s="43">
        <f t="shared" si="1"/>
        <v>0</v>
      </c>
      <c r="M13" s="43">
        <f t="shared" si="1"/>
        <v>0</v>
      </c>
    </row>
    <row r="14" spans="1:13" ht="13.5" thickBot="1" x14ac:dyDescent="0.25">
      <c r="A14" s="78" t="s">
        <v>7</v>
      </c>
      <c r="B14" s="44"/>
      <c r="C14" s="44">
        <v>100000</v>
      </c>
      <c r="D14" s="44">
        <v>100000</v>
      </c>
      <c r="E14" s="44">
        <v>443000</v>
      </c>
      <c r="F14" s="44">
        <v>120000</v>
      </c>
      <c r="G14" s="44"/>
      <c r="H14" s="44"/>
      <c r="I14" s="44"/>
      <c r="J14" s="44"/>
      <c r="K14" s="44"/>
      <c r="L14" s="44"/>
      <c r="M14" s="44"/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0</v>
      </c>
      <c r="D15" s="46">
        <f t="shared" si="2"/>
        <v>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>I13-I14</f>
        <v>0</v>
      </c>
      <c r="J15" s="46">
        <f>J13-J14</f>
        <v>0</v>
      </c>
      <c r="K15" s="46">
        <f t="shared" si="2"/>
        <v>0</v>
      </c>
      <c r="L15" s="46">
        <f t="shared" si="2"/>
        <v>0</v>
      </c>
      <c r="M15" s="46">
        <f t="shared" si="2"/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8"/>
  <dimension ref="A2:M30"/>
  <sheetViews>
    <sheetView topLeftCell="A16" workbookViewId="0">
      <selection activeCell="C30" sqref="C30"/>
    </sheetView>
  </sheetViews>
  <sheetFormatPr baseColWidth="10" defaultRowHeight="12.75" x14ac:dyDescent="0.2"/>
  <cols>
    <col min="1" max="1" width="34.7109375" customWidth="1"/>
  </cols>
  <sheetData>
    <row r="2" spans="1:13" ht="15.75" x14ac:dyDescent="0.25">
      <c r="A2" s="32" t="s">
        <v>0</v>
      </c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2">
      <c r="A3" s="81"/>
      <c r="B3" s="82">
        <v>44562</v>
      </c>
      <c r="C3" s="82">
        <v>44593</v>
      </c>
      <c r="D3" s="82">
        <v>44621</v>
      </c>
      <c r="E3" s="82">
        <v>44652</v>
      </c>
      <c r="F3" s="82">
        <v>44682</v>
      </c>
      <c r="G3" s="82">
        <v>44713</v>
      </c>
      <c r="H3" s="82">
        <v>44743</v>
      </c>
      <c r="I3" s="82">
        <v>44774</v>
      </c>
      <c r="J3" s="82">
        <v>44805</v>
      </c>
      <c r="K3" s="82">
        <v>44835</v>
      </c>
      <c r="L3" s="82">
        <v>44866</v>
      </c>
      <c r="M3" s="82">
        <v>44896</v>
      </c>
    </row>
    <row r="4" spans="1:13" x14ac:dyDescent="0.2">
      <c r="A4" s="78" t="s">
        <v>110</v>
      </c>
      <c r="B4" s="42"/>
      <c r="C4" s="42">
        <f t="shared" ref="C4:M4" si="0">B15</f>
        <v>2280</v>
      </c>
      <c r="D4" s="42">
        <f t="shared" si="0"/>
        <v>4560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2280</v>
      </c>
      <c r="J4" s="42">
        <f t="shared" si="0"/>
        <v>4560</v>
      </c>
      <c r="K4" s="42">
        <f t="shared" si="0"/>
        <v>6840</v>
      </c>
      <c r="L4" s="42">
        <f t="shared" si="0"/>
        <v>0</v>
      </c>
      <c r="M4" s="42">
        <f t="shared" si="0"/>
        <v>2280</v>
      </c>
    </row>
    <row r="5" spans="1:13" x14ac:dyDescent="0.2">
      <c r="A5" s="78" t="s">
        <v>2</v>
      </c>
      <c r="B5" s="42">
        <v>1271</v>
      </c>
      <c r="C5" s="42">
        <v>1271</v>
      </c>
      <c r="D5" s="42">
        <v>1271</v>
      </c>
      <c r="E5" s="42">
        <v>1271</v>
      </c>
      <c r="F5" s="42">
        <v>1271</v>
      </c>
      <c r="G5" s="42">
        <v>1271</v>
      </c>
      <c r="H5" s="42">
        <v>1271</v>
      </c>
      <c r="I5" s="42">
        <v>1271</v>
      </c>
      <c r="J5" s="42">
        <v>1271</v>
      </c>
      <c r="K5" s="42">
        <v>1271</v>
      </c>
      <c r="L5" s="42">
        <v>1271</v>
      </c>
      <c r="M5" s="42">
        <v>1271</v>
      </c>
    </row>
    <row r="6" spans="1:13" x14ac:dyDescent="0.2">
      <c r="A6" s="78" t="s">
        <v>315</v>
      </c>
      <c r="B6" s="42">
        <v>9</v>
      </c>
      <c r="C6" s="42">
        <v>9</v>
      </c>
      <c r="D6" s="42">
        <v>9</v>
      </c>
      <c r="E6" s="42">
        <v>9</v>
      </c>
      <c r="F6" s="42">
        <v>9</v>
      </c>
      <c r="G6" s="42">
        <v>9</v>
      </c>
      <c r="H6" s="42">
        <v>9</v>
      </c>
      <c r="I6" s="42">
        <v>9</v>
      </c>
      <c r="J6" s="42">
        <v>9</v>
      </c>
      <c r="K6" s="42">
        <v>9</v>
      </c>
      <c r="L6" s="42">
        <v>9</v>
      </c>
      <c r="M6" s="42">
        <v>9</v>
      </c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1000</v>
      </c>
      <c r="C12" s="42">
        <v>1000</v>
      </c>
      <c r="D12" s="42">
        <v>1000</v>
      </c>
      <c r="E12" s="42">
        <v>1000</v>
      </c>
      <c r="F12" s="42">
        <v>1000</v>
      </c>
      <c r="G12" s="42">
        <v>1000</v>
      </c>
      <c r="H12" s="42">
        <v>1000</v>
      </c>
      <c r="I12" s="42">
        <v>1000</v>
      </c>
      <c r="J12" s="42">
        <v>1000</v>
      </c>
      <c r="K12" s="42">
        <v>1000</v>
      </c>
      <c r="L12" s="42">
        <v>1000</v>
      </c>
      <c r="M12" s="42">
        <v>1000</v>
      </c>
    </row>
    <row r="13" spans="1:13" x14ac:dyDescent="0.2">
      <c r="A13" s="78" t="s">
        <v>6</v>
      </c>
      <c r="B13" s="43">
        <f t="shared" ref="B13:M13" si="1">SUM(B4:B12)</f>
        <v>2280</v>
      </c>
      <c r="C13" s="43">
        <f t="shared" si="1"/>
        <v>4560</v>
      </c>
      <c r="D13" s="43">
        <f t="shared" si="1"/>
        <v>6840</v>
      </c>
      <c r="E13" s="43">
        <f t="shared" si="1"/>
        <v>2280</v>
      </c>
      <c r="F13" s="43">
        <f t="shared" si="1"/>
        <v>2280</v>
      </c>
      <c r="G13" s="43">
        <f t="shared" si="1"/>
        <v>2280</v>
      </c>
      <c r="H13" s="43">
        <f t="shared" si="1"/>
        <v>2280</v>
      </c>
      <c r="I13" s="43">
        <f t="shared" si="1"/>
        <v>4560</v>
      </c>
      <c r="J13" s="43">
        <f t="shared" si="1"/>
        <v>6840</v>
      </c>
      <c r="K13" s="43">
        <f t="shared" si="1"/>
        <v>9120</v>
      </c>
      <c r="L13" s="43">
        <f t="shared" si="1"/>
        <v>2280</v>
      </c>
      <c r="M13" s="43">
        <f t="shared" si="1"/>
        <v>4560</v>
      </c>
    </row>
    <row r="14" spans="1:13" ht="13.5" thickBot="1" x14ac:dyDescent="0.25">
      <c r="A14" s="78" t="s">
        <v>7</v>
      </c>
      <c r="B14" s="44"/>
      <c r="C14" s="44"/>
      <c r="D14" s="44">
        <v>6840</v>
      </c>
      <c r="E14" s="44">
        <v>2280</v>
      </c>
      <c r="F14" s="44">
        <v>2280</v>
      </c>
      <c r="G14" s="44">
        <v>2280</v>
      </c>
      <c r="H14" s="44"/>
      <c r="I14" s="44"/>
      <c r="J14" s="44"/>
      <c r="K14" s="44">
        <v>9120</v>
      </c>
      <c r="L14" s="44"/>
      <c r="M14" s="44"/>
    </row>
    <row r="15" spans="1:13" ht="13.5" thickBot="1" x14ac:dyDescent="0.25">
      <c r="A15" s="78" t="s">
        <v>111</v>
      </c>
      <c r="B15" s="45">
        <f t="shared" ref="B15:M15" si="2">B13-B14</f>
        <v>2280</v>
      </c>
      <c r="C15" s="46">
        <f t="shared" si="2"/>
        <v>4560</v>
      </c>
      <c r="D15" s="46">
        <f t="shared" si="2"/>
        <v>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2280</v>
      </c>
      <c r="I15" s="46">
        <f t="shared" si="2"/>
        <v>4560</v>
      </c>
      <c r="J15" s="46">
        <f t="shared" si="2"/>
        <v>6840</v>
      </c>
      <c r="K15" s="46">
        <f t="shared" si="2"/>
        <v>0</v>
      </c>
      <c r="L15" s="46">
        <f t="shared" si="2"/>
        <v>2280</v>
      </c>
      <c r="M15" s="46">
        <f t="shared" si="2"/>
        <v>4560</v>
      </c>
    </row>
    <row r="18" spans="1:13" x14ac:dyDescent="0.2">
      <c r="A18" s="81"/>
      <c r="B18" s="82">
        <v>44927</v>
      </c>
      <c r="C18" s="82">
        <v>44958</v>
      </c>
      <c r="D18" s="82">
        <v>44986</v>
      </c>
      <c r="E18" s="82">
        <v>45017</v>
      </c>
      <c r="F18" s="82">
        <v>45047</v>
      </c>
      <c r="G18" s="82">
        <v>45078</v>
      </c>
      <c r="H18" s="82">
        <v>45108</v>
      </c>
      <c r="I18" s="82">
        <v>45139</v>
      </c>
      <c r="J18" s="82">
        <v>45170</v>
      </c>
      <c r="K18" s="82">
        <v>45200</v>
      </c>
      <c r="L18" s="82">
        <v>45231</v>
      </c>
      <c r="M18" s="82">
        <v>45261</v>
      </c>
    </row>
    <row r="19" spans="1:13" x14ac:dyDescent="0.2">
      <c r="A19" s="78" t="s">
        <v>110</v>
      </c>
      <c r="B19" s="42">
        <v>4560</v>
      </c>
      <c r="C19" s="42">
        <f t="shared" ref="C19:M19" si="3">B30</f>
        <v>8760</v>
      </c>
      <c r="D19" s="42">
        <f t="shared" si="3"/>
        <v>0</v>
      </c>
      <c r="E19" s="42">
        <f t="shared" si="3"/>
        <v>0</v>
      </c>
      <c r="F19" s="42">
        <f t="shared" si="3"/>
        <v>0</v>
      </c>
      <c r="G19" s="42">
        <f t="shared" si="3"/>
        <v>0</v>
      </c>
      <c r="H19" s="42">
        <f t="shared" si="3"/>
        <v>0</v>
      </c>
      <c r="I19" s="42">
        <f t="shared" si="3"/>
        <v>0</v>
      </c>
      <c r="J19" s="42">
        <f t="shared" si="3"/>
        <v>0</v>
      </c>
      <c r="K19" s="42">
        <f t="shared" si="3"/>
        <v>0</v>
      </c>
      <c r="L19" s="42">
        <f t="shared" si="3"/>
        <v>0</v>
      </c>
      <c r="M19" s="42">
        <f t="shared" si="3"/>
        <v>0</v>
      </c>
    </row>
    <row r="20" spans="1:13" x14ac:dyDescent="0.2">
      <c r="A20" s="78" t="s">
        <v>2</v>
      </c>
      <c r="B20" s="42">
        <v>2200</v>
      </c>
      <c r="C20" s="42">
        <v>2200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315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5</v>
      </c>
      <c r="B27" s="42">
        <v>2000</v>
      </c>
      <c r="C27" s="42">
        <v>2000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6</v>
      </c>
      <c r="B28" s="43">
        <f t="shared" ref="B28:M28" si="4">SUM(B19:B27)</f>
        <v>8760</v>
      </c>
      <c r="C28" s="43">
        <f t="shared" si="4"/>
        <v>12960</v>
      </c>
      <c r="D28" s="43">
        <f t="shared" si="4"/>
        <v>0</v>
      </c>
      <c r="E28" s="43">
        <f t="shared" si="4"/>
        <v>0</v>
      </c>
      <c r="F28" s="43">
        <f t="shared" si="4"/>
        <v>0</v>
      </c>
      <c r="G28" s="43">
        <f t="shared" si="4"/>
        <v>0</v>
      </c>
      <c r="H28" s="43">
        <f t="shared" si="4"/>
        <v>0</v>
      </c>
      <c r="I28" s="43">
        <f t="shared" si="4"/>
        <v>0</v>
      </c>
      <c r="J28" s="43">
        <f t="shared" si="4"/>
        <v>0</v>
      </c>
      <c r="K28" s="43">
        <f t="shared" si="4"/>
        <v>0</v>
      </c>
      <c r="L28" s="43">
        <f t="shared" si="4"/>
        <v>0</v>
      </c>
      <c r="M28" s="43">
        <f t="shared" si="4"/>
        <v>0</v>
      </c>
    </row>
    <row r="29" spans="1:13" ht="13.5" thickBot="1" x14ac:dyDescent="0.25">
      <c r="A29" s="78" t="s">
        <v>7</v>
      </c>
      <c r="B29" s="44"/>
      <c r="C29" s="44">
        <v>12960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1:13" ht="13.5" thickBot="1" x14ac:dyDescent="0.25">
      <c r="A30" s="78" t="s">
        <v>111</v>
      </c>
      <c r="B30" s="45">
        <f t="shared" ref="B30:M30" si="5">B28-B29</f>
        <v>8760</v>
      </c>
      <c r="C30" s="46">
        <f t="shared" si="5"/>
        <v>0</v>
      </c>
      <c r="D30" s="46">
        <f t="shared" si="5"/>
        <v>0</v>
      </c>
      <c r="E30" s="46">
        <f t="shared" si="5"/>
        <v>0</v>
      </c>
      <c r="F30" s="46">
        <f t="shared" si="5"/>
        <v>0</v>
      </c>
      <c r="G30" s="46">
        <f t="shared" si="5"/>
        <v>0</v>
      </c>
      <c r="H30" s="46">
        <f t="shared" si="5"/>
        <v>0</v>
      </c>
      <c r="I30" s="46">
        <f t="shared" si="5"/>
        <v>0</v>
      </c>
      <c r="J30" s="46">
        <f t="shared" si="5"/>
        <v>0</v>
      </c>
      <c r="K30" s="46">
        <f t="shared" si="5"/>
        <v>0</v>
      </c>
      <c r="L30" s="46">
        <f t="shared" si="5"/>
        <v>0</v>
      </c>
      <c r="M30" s="46">
        <f t="shared" si="5"/>
        <v>0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9"/>
  <dimension ref="A1:M35"/>
  <sheetViews>
    <sheetView topLeftCell="A16" workbookViewId="0">
      <selection activeCell="M35" sqref="M35"/>
    </sheetView>
  </sheetViews>
  <sheetFormatPr baseColWidth="10" defaultRowHeight="12.75" x14ac:dyDescent="0.2"/>
  <cols>
    <col min="1" max="1" width="28.85546875" customWidth="1"/>
    <col min="5" max="5" width="13.140625" customWidth="1"/>
    <col min="6" max="6" width="11.7109375" customWidth="1"/>
    <col min="13" max="13" width="12.7109375" customWidth="1"/>
  </cols>
  <sheetData>
    <row r="1" spans="1:13" ht="18" x14ac:dyDescent="0.25">
      <c r="A1" s="17" t="s">
        <v>200</v>
      </c>
    </row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5" x14ac:dyDescent="0.2">
      <c r="A5" s="33"/>
      <c r="B5" s="82">
        <v>42736</v>
      </c>
      <c r="C5" s="82">
        <v>42767</v>
      </c>
      <c r="D5" s="82">
        <v>42795</v>
      </c>
      <c r="E5" s="82">
        <v>42826</v>
      </c>
      <c r="F5" s="82">
        <v>42125</v>
      </c>
      <c r="G5" s="82">
        <v>42156</v>
      </c>
      <c r="H5" s="82">
        <v>42186</v>
      </c>
      <c r="I5" s="82">
        <v>42217</v>
      </c>
      <c r="J5" s="82">
        <v>42248</v>
      </c>
      <c r="K5" s="82">
        <v>42278</v>
      </c>
      <c r="L5" s="82">
        <v>42309</v>
      </c>
      <c r="M5" s="82">
        <v>42339</v>
      </c>
    </row>
    <row r="6" spans="1:13" ht="15" x14ac:dyDescent="0.2">
      <c r="A6" s="8" t="s">
        <v>110</v>
      </c>
      <c r="B6" s="42">
        <v>5200</v>
      </c>
      <c r="C6" s="42">
        <f t="shared" ref="C6:M6" si="0">B17</f>
        <v>6000</v>
      </c>
      <c r="D6" s="42">
        <f t="shared" si="0"/>
        <v>6800</v>
      </c>
      <c r="E6" s="42">
        <f t="shared" si="0"/>
        <v>7600</v>
      </c>
      <c r="F6" s="42">
        <f t="shared" si="0"/>
        <v>5400</v>
      </c>
      <c r="G6" s="42">
        <f t="shared" si="0"/>
        <v>6200</v>
      </c>
      <c r="H6" s="42">
        <f t="shared" si="0"/>
        <v>7000</v>
      </c>
      <c r="I6" s="42">
        <f t="shared" si="0"/>
        <v>7800</v>
      </c>
      <c r="J6" s="42">
        <f t="shared" si="0"/>
        <v>8600</v>
      </c>
      <c r="K6" s="42">
        <f t="shared" si="0"/>
        <v>9400</v>
      </c>
      <c r="L6" s="42">
        <f t="shared" si="0"/>
        <v>10200</v>
      </c>
      <c r="M6" s="42">
        <f t="shared" si="0"/>
        <v>11000</v>
      </c>
    </row>
    <row r="7" spans="1:13" ht="15" x14ac:dyDescent="0.2">
      <c r="A7" s="8" t="s">
        <v>144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201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ht="15" x14ac:dyDescent="0.2">
      <c r="A14" s="8" t="s">
        <v>5</v>
      </c>
      <c r="B14" s="42">
        <v>800</v>
      </c>
      <c r="C14" s="42">
        <v>800</v>
      </c>
      <c r="D14" s="42">
        <v>800</v>
      </c>
      <c r="E14" s="42">
        <v>800</v>
      </c>
      <c r="F14" s="42">
        <v>800</v>
      </c>
      <c r="G14" s="42">
        <v>800</v>
      </c>
      <c r="H14" s="42">
        <v>800</v>
      </c>
      <c r="I14" s="42">
        <v>800</v>
      </c>
      <c r="J14" s="42">
        <v>800</v>
      </c>
      <c r="K14" s="42">
        <v>800</v>
      </c>
      <c r="L14" s="42">
        <v>800</v>
      </c>
      <c r="M14" s="42">
        <v>800</v>
      </c>
    </row>
    <row r="15" spans="1:13" ht="15" x14ac:dyDescent="0.2">
      <c r="A15" s="8" t="s">
        <v>6</v>
      </c>
      <c r="B15" s="43">
        <f t="shared" ref="B15:M15" si="1">SUM(B6:B14)</f>
        <v>6000</v>
      </c>
      <c r="C15" s="43">
        <f t="shared" si="1"/>
        <v>6800</v>
      </c>
      <c r="D15" s="43">
        <f t="shared" si="1"/>
        <v>7600</v>
      </c>
      <c r="E15" s="43">
        <f t="shared" si="1"/>
        <v>8400</v>
      </c>
      <c r="F15" s="43">
        <f t="shared" si="1"/>
        <v>6200</v>
      </c>
      <c r="G15" s="43">
        <f t="shared" si="1"/>
        <v>7000</v>
      </c>
      <c r="H15" s="43">
        <f t="shared" si="1"/>
        <v>7800</v>
      </c>
      <c r="I15" s="43">
        <f t="shared" si="1"/>
        <v>8600</v>
      </c>
      <c r="J15" s="43">
        <f t="shared" si="1"/>
        <v>9400</v>
      </c>
      <c r="K15" s="43">
        <f t="shared" si="1"/>
        <v>10200</v>
      </c>
      <c r="L15" s="43">
        <f t="shared" si="1"/>
        <v>11000</v>
      </c>
      <c r="M15" s="43">
        <f t="shared" si="1"/>
        <v>11800</v>
      </c>
    </row>
    <row r="16" spans="1:13" ht="15.75" thickBot="1" x14ac:dyDescent="0.25">
      <c r="A16" s="8" t="s">
        <v>7</v>
      </c>
      <c r="B16" s="44"/>
      <c r="C16" s="44"/>
      <c r="D16" s="44"/>
      <c r="E16" s="44">
        <v>3000</v>
      </c>
      <c r="F16" s="44"/>
      <c r="G16" s="44"/>
      <c r="H16" s="44"/>
      <c r="I16" s="44"/>
      <c r="J16" s="44"/>
      <c r="K16" s="44"/>
      <c r="L16" s="44"/>
      <c r="M16" s="44"/>
    </row>
    <row r="17" spans="1:13" ht="15.75" thickBot="1" x14ac:dyDescent="0.25">
      <c r="A17" s="8" t="s">
        <v>111</v>
      </c>
      <c r="B17" s="45">
        <f t="shared" ref="B17:M17" si="2">B15-B16</f>
        <v>6000</v>
      </c>
      <c r="C17" s="46">
        <f t="shared" si="2"/>
        <v>6800</v>
      </c>
      <c r="D17" s="46">
        <f t="shared" si="2"/>
        <v>7600</v>
      </c>
      <c r="E17" s="46">
        <f t="shared" si="2"/>
        <v>5400</v>
      </c>
      <c r="F17" s="46">
        <f t="shared" si="2"/>
        <v>6200</v>
      </c>
      <c r="G17" s="46">
        <f t="shared" si="2"/>
        <v>7000</v>
      </c>
      <c r="H17" s="46">
        <f t="shared" si="2"/>
        <v>7800</v>
      </c>
      <c r="I17" s="46">
        <f t="shared" si="2"/>
        <v>8600</v>
      </c>
      <c r="J17" s="46">
        <f t="shared" si="2"/>
        <v>9400</v>
      </c>
      <c r="K17" s="46">
        <f t="shared" si="2"/>
        <v>10200</v>
      </c>
      <c r="L17" s="46">
        <f t="shared" si="2"/>
        <v>11000</v>
      </c>
      <c r="M17" s="47">
        <f t="shared" si="2"/>
        <v>11800</v>
      </c>
    </row>
    <row r="22" spans="1:13" ht="15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33"/>
    </row>
    <row r="23" spans="1:13" x14ac:dyDescent="0.2">
      <c r="A23" s="81"/>
      <c r="B23" s="82">
        <v>43101</v>
      </c>
      <c r="C23" s="82">
        <v>43132</v>
      </c>
      <c r="D23" s="82">
        <v>43160</v>
      </c>
      <c r="E23" s="82">
        <v>43191</v>
      </c>
      <c r="F23" s="82">
        <v>43221</v>
      </c>
      <c r="G23" s="82">
        <v>43252</v>
      </c>
      <c r="H23" s="82">
        <v>43282</v>
      </c>
      <c r="I23" s="82">
        <v>43313</v>
      </c>
      <c r="J23" s="82">
        <v>43344</v>
      </c>
      <c r="K23" s="82">
        <v>43374</v>
      </c>
      <c r="L23" s="82">
        <v>43405</v>
      </c>
      <c r="M23" s="82">
        <v>43435</v>
      </c>
    </row>
    <row r="24" spans="1:13" x14ac:dyDescent="0.2">
      <c r="A24" s="78" t="s">
        <v>110</v>
      </c>
      <c r="B24" s="42">
        <v>11800</v>
      </c>
      <c r="C24" s="42">
        <f t="shared" ref="C24:M24" si="3">B35</f>
        <v>12600</v>
      </c>
      <c r="D24" s="42">
        <f t="shared" si="3"/>
        <v>13400</v>
      </c>
      <c r="E24" s="42">
        <f t="shared" si="3"/>
        <v>14200</v>
      </c>
      <c r="F24" s="42">
        <f t="shared" si="3"/>
        <v>10000</v>
      </c>
      <c r="G24" s="42">
        <f t="shared" si="3"/>
        <v>11000</v>
      </c>
      <c r="H24" s="42">
        <f t="shared" si="3"/>
        <v>12000</v>
      </c>
      <c r="I24" s="42">
        <f t="shared" si="3"/>
        <v>13000</v>
      </c>
      <c r="J24" s="42">
        <f t="shared" si="3"/>
        <v>14000</v>
      </c>
      <c r="K24" s="42">
        <f t="shared" si="3"/>
        <v>15000</v>
      </c>
      <c r="L24" s="42">
        <f t="shared" si="3"/>
        <v>16000</v>
      </c>
      <c r="M24" s="42">
        <f t="shared" si="3"/>
        <v>17000</v>
      </c>
    </row>
    <row r="25" spans="1:13" x14ac:dyDescent="0.2">
      <c r="A25" s="78" t="s">
        <v>144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315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800</v>
      </c>
      <c r="C32" s="42">
        <v>800</v>
      </c>
      <c r="D32" s="42">
        <v>800</v>
      </c>
      <c r="E32" s="42">
        <v>800</v>
      </c>
      <c r="F32" s="42">
        <v>1000</v>
      </c>
      <c r="G32" s="42">
        <v>1000</v>
      </c>
      <c r="H32" s="42">
        <v>1000</v>
      </c>
      <c r="I32" s="42">
        <v>1000</v>
      </c>
      <c r="J32" s="42">
        <v>1000</v>
      </c>
      <c r="K32" s="42">
        <v>1000</v>
      </c>
      <c r="L32" s="42">
        <v>1000</v>
      </c>
      <c r="M32" s="42">
        <v>1000</v>
      </c>
    </row>
    <row r="33" spans="1:13" x14ac:dyDescent="0.2">
      <c r="A33" s="78" t="s">
        <v>6</v>
      </c>
      <c r="B33" s="43">
        <f t="shared" ref="B33:M33" si="4">SUM(B24:B32)</f>
        <v>12600</v>
      </c>
      <c r="C33" s="43">
        <f t="shared" si="4"/>
        <v>13400</v>
      </c>
      <c r="D33" s="43">
        <f t="shared" si="4"/>
        <v>14200</v>
      </c>
      <c r="E33" s="43">
        <f t="shared" si="4"/>
        <v>15000</v>
      </c>
      <c r="F33" s="43">
        <f t="shared" si="4"/>
        <v>11000</v>
      </c>
      <c r="G33" s="43">
        <f t="shared" si="4"/>
        <v>12000</v>
      </c>
      <c r="H33" s="43">
        <f t="shared" si="4"/>
        <v>13000</v>
      </c>
      <c r="I33" s="43">
        <f t="shared" si="4"/>
        <v>14000</v>
      </c>
      <c r="J33" s="43">
        <f t="shared" si="4"/>
        <v>15000</v>
      </c>
      <c r="K33" s="43">
        <f t="shared" si="4"/>
        <v>16000</v>
      </c>
      <c r="L33" s="43">
        <f t="shared" si="4"/>
        <v>17000</v>
      </c>
      <c r="M33" s="43">
        <f t="shared" si="4"/>
        <v>18000</v>
      </c>
    </row>
    <row r="34" spans="1:13" ht="13.5" thickBot="1" x14ac:dyDescent="0.25">
      <c r="A34" s="78" t="s">
        <v>7</v>
      </c>
      <c r="B34" s="44"/>
      <c r="C34" s="44"/>
      <c r="D34" s="44"/>
      <c r="E34" s="44">
        <v>5000</v>
      </c>
      <c r="F34" s="44"/>
      <c r="G34" s="44"/>
      <c r="H34" s="44"/>
      <c r="I34" s="44"/>
      <c r="J34" s="44"/>
      <c r="K34" s="44"/>
      <c r="L34" s="44"/>
      <c r="M34" s="44">
        <v>7000</v>
      </c>
    </row>
    <row r="35" spans="1:13" ht="13.5" thickBot="1" x14ac:dyDescent="0.25">
      <c r="A35" s="78" t="s">
        <v>111</v>
      </c>
      <c r="B35" s="45">
        <f t="shared" ref="B35:M35" si="5">B33-B34</f>
        <v>12600</v>
      </c>
      <c r="C35" s="46">
        <f t="shared" si="5"/>
        <v>13400</v>
      </c>
      <c r="D35" s="46">
        <f t="shared" si="5"/>
        <v>14200</v>
      </c>
      <c r="E35" s="46">
        <f t="shared" si="5"/>
        <v>10000</v>
      </c>
      <c r="F35" s="46">
        <f t="shared" si="5"/>
        <v>11000</v>
      </c>
      <c r="G35" s="46">
        <f t="shared" si="5"/>
        <v>12000</v>
      </c>
      <c r="H35" s="46">
        <f t="shared" si="5"/>
        <v>13000</v>
      </c>
      <c r="I35" s="46">
        <f t="shared" si="5"/>
        <v>14000</v>
      </c>
      <c r="J35" s="46">
        <f t="shared" si="5"/>
        <v>15000</v>
      </c>
      <c r="K35" s="46">
        <f t="shared" si="5"/>
        <v>16000</v>
      </c>
      <c r="L35" s="46">
        <f t="shared" si="5"/>
        <v>17000</v>
      </c>
      <c r="M35" s="46">
        <f t="shared" si="5"/>
        <v>11000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0"/>
  <dimension ref="A1:N62"/>
  <sheetViews>
    <sheetView showGridLines="0" topLeftCell="A7" workbookViewId="0">
      <selection activeCell="F17" sqref="F17"/>
    </sheetView>
  </sheetViews>
  <sheetFormatPr baseColWidth="10" defaultRowHeight="20.25" x14ac:dyDescent="0.3"/>
  <cols>
    <col min="1" max="1" width="28" style="2" customWidth="1"/>
    <col min="2" max="2" width="13.28515625" style="2" customWidth="1"/>
    <col min="3" max="3" width="12.7109375" style="2" customWidth="1"/>
    <col min="4" max="5" width="12.5703125" style="2" customWidth="1"/>
    <col min="6" max="6" width="13.28515625" style="2" customWidth="1"/>
    <col min="7" max="7" width="12.85546875" style="2" customWidth="1"/>
    <col min="8" max="9" width="12.7109375" style="2" customWidth="1"/>
    <col min="10" max="10" width="13.28515625" style="2" customWidth="1"/>
    <col min="11" max="11" width="12.5703125" style="2" customWidth="1"/>
    <col min="12" max="12" width="13" style="2" customWidth="1"/>
    <col min="13" max="13" width="12.5703125" style="2" customWidth="1"/>
    <col min="14" max="16384" width="11.42578125" style="2"/>
  </cols>
  <sheetData>
    <row r="1" spans="1:14" ht="33" x14ac:dyDescent="0.45">
      <c r="A1" s="14" t="s">
        <v>102</v>
      </c>
    </row>
    <row r="2" spans="1:14" ht="23.25" x14ac:dyDescent="0.35">
      <c r="A2" s="11" t="s">
        <v>11</v>
      </c>
      <c r="B2" s="218" t="s">
        <v>116</v>
      </c>
      <c r="C2" s="218"/>
      <c r="D2" s="218"/>
      <c r="E2" s="218"/>
      <c r="F2" s="218"/>
      <c r="G2" s="218"/>
    </row>
    <row r="4" spans="1:14" x14ac:dyDescent="0.3">
      <c r="A4" s="80" t="s">
        <v>0</v>
      </c>
      <c r="B4" s="80" t="s">
        <v>1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4" x14ac:dyDescent="0.3">
      <c r="A5" s="81"/>
      <c r="B5" s="82">
        <v>46023</v>
      </c>
      <c r="C5" s="82">
        <v>46054</v>
      </c>
      <c r="D5" s="82">
        <v>46082</v>
      </c>
      <c r="E5" s="82">
        <v>46113</v>
      </c>
      <c r="F5" s="82">
        <v>46143</v>
      </c>
      <c r="G5" s="82">
        <v>46174</v>
      </c>
      <c r="H5" s="82">
        <v>46204</v>
      </c>
      <c r="I5" s="82">
        <v>46235</v>
      </c>
      <c r="J5" s="82">
        <v>46266</v>
      </c>
      <c r="K5" s="82">
        <v>46296</v>
      </c>
      <c r="L5" s="82">
        <v>46327</v>
      </c>
      <c r="M5" s="82">
        <v>46357</v>
      </c>
    </row>
    <row r="6" spans="1:14" x14ac:dyDescent="0.3">
      <c r="A6" s="78" t="s">
        <v>110</v>
      </c>
      <c r="B6" s="42">
        <v>1070000</v>
      </c>
      <c r="C6" s="42">
        <f>B17</f>
        <v>1136000</v>
      </c>
      <c r="D6" s="42">
        <f t="shared" ref="D6:M6" si="0">C17</f>
        <v>902000</v>
      </c>
      <c r="E6" s="42">
        <f t="shared" si="0"/>
        <v>968000</v>
      </c>
      <c r="F6" s="42">
        <f t="shared" si="0"/>
        <v>1000000</v>
      </c>
      <c r="G6" s="42">
        <f t="shared" si="0"/>
        <v>1011000</v>
      </c>
      <c r="H6" s="42">
        <f t="shared" si="0"/>
        <v>1011000</v>
      </c>
      <c r="I6" s="42">
        <f t="shared" si="0"/>
        <v>1011000</v>
      </c>
      <c r="J6" s="42">
        <f t="shared" si="0"/>
        <v>1011000</v>
      </c>
      <c r="K6" s="42">
        <f t="shared" si="0"/>
        <v>1011000</v>
      </c>
      <c r="L6" s="42">
        <f t="shared" si="0"/>
        <v>1011000</v>
      </c>
      <c r="M6" s="42">
        <f t="shared" si="0"/>
        <v>1011000</v>
      </c>
    </row>
    <row r="7" spans="1:14" x14ac:dyDescent="0.3">
      <c r="A7" s="78" t="s">
        <v>2</v>
      </c>
      <c r="B7" s="42">
        <v>16000</v>
      </c>
      <c r="C7" s="42">
        <v>16000</v>
      </c>
      <c r="D7" s="42">
        <v>16000</v>
      </c>
      <c r="E7" s="42">
        <v>16000</v>
      </c>
      <c r="F7" s="42">
        <v>16000</v>
      </c>
      <c r="G7" s="42"/>
      <c r="H7" s="42"/>
      <c r="I7" s="42"/>
      <c r="J7" s="42"/>
      <c r="K7" s="42"/>
      <c r="L7" s="42"/>
      <c r="M7" s="42"/>
    </row>
    <row r="8" spans="1:14" x14ac:dyDescent="0.3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4" x14ac:dyDescent="0.3">
      <c r="A9" s="78" t="s">
        <v>4</v>
      </c>
      <c r="B9" s="42">
        <v>30000</v>
      </c>
      <c r="C9" s="42">
        <v>30000</v>
      </c>
      <c r="D9" s="42">
        <v>30000</v>
      </c>
      <c r="E9" s="42">
        <v>30000</v>
      </c>
      <c r="F9" s="42">
        <v>30000</v>
      </c>
      <c r="G9" s="42"/>
      <c r="H9" s="42"/>
      <c r="I9" s="42"/>
      <c r="J9" s="42"/>
      <c r="K9" s="42"/>
      <c r="L9" s="42"/>
      <c r="M9" s="42"/>
    </row>
    <row r="10" spans="1:14" x14ac:dyDescent="0.3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3">
      <c r="A11" s="78" t="s">
        <v>788</v>
      </c>
      <c r="B11" s="42"/>
      <c r="C11" s="42"/>
      <c r="D11" s="42"/>
      <c r="E11" s="42">
        <f>16000+50000</f>
        <v>66000</v>
      </c>
      <c r="F11" s="42">
        <v>35000</v>
      </c>
      <c r="G11" s="42"/>
      <c r="H11" s="42"/>
      <c r="I11" s="42"/>
      <c r="J11" s="42"/>
      <c r="K11" s="42"/>
      <c r="L11" s="42"/>
      <c r="M11" s="42"/>
    </row>
    <row r="12" spans="1:14" x14ac:dyDescent="0.3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3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 x14ac:dyDescent="0.3">
      <c r="A14" s="78" t="s">
        <v>5</v>
      </c>
      <c r="B14" s="42">
        <v>20000</v>
      </c>
      <c r="C14" s="42">
        <v>20000</v>
      </c>
      <c r="D14" s="42">
        <v>20000</v>
      </c>
      <c r="E14" s="42">
        <v>20000</v>
      </c>
      <c r="F14" s="42">
        <v>30000</v>
      </c>
      <c r="G14" s="42"/>
      <c r="H14" s="42"/>
      <c r="I14" s="42"/>
      <c r="J14" s="42"/>
      <c r="K14" s="42"/>
      <c r="L14" s="42"/>
      <c r="M14" s="42"/>
    </row>
    <row r="15" spans="1:14" x14ac:dyDescent="0.3">
      <c r="A15" s="78" t="s">
        <v>6</v>
      </c>
      <c r="B15" s="43">
        <f>SUM(B6:B14)</f>
        <v>1136000</v>
      </c>
      <c r="C15" s="43">
        <f t="shared" ref="C15:M15" si="1">SUM(C6:C14)</f>
        <v>1202000</v>
      </c>
      <c r="D15" s="43">
        <f t="shared" si="1"/>
        <v>968000</v>
      </c>
      <c r="E15" s="43">
        <f t="shared" si="1"/>
        <v>1100000</v>
      </c>
      <c r="F15" s="43">
        <f t="shared" si="1"/>
        <v>1111000</v>
      </c>
      <c r="G15" s="43">
        <f t="shared" si="1"/>
        <v>1011000</v>
      </c>
      <c r="H15" s="43">
        <f t="shared" si="1"/>
        <v>1011000</v>
      </c>
      <c r="I15" s="43">
        <f t="shared" si="1"/>
        <v>1011000</v>
      </c>
      <c r="J15" s="43">
        <f t="shared" si="1"/>
        <v>1011000</v>
      </c>
      <c r="K15" s="43">
        <f t="shared" si="1"/>
        <v>1011000</v>
      </c>
      <c r="L15" s="43">
        <f t="shared" si="1"/>
        <v>1011000</v>
      </c>
      <c r="M15" s="43">
        <f t="shared" si="1"/>
        <v>1011000</v>
      </c>
      <c r="N15" s="2">
        <v>1170</v>
      </c>
    </row>
    <row r="16" spans="1:14" ht="21" thickBot="1" x14ac:dyDescent="0.35">
      <c r="A16" s="78" t="s">
        <v>7</v>
      </c>
      <c r="B16" s="44"/>
      <c r="C16" s="44">
        <v>300000</v>
      </c>
      <c r="D16" s="44"/>
      <c r="E16" s="44">
        <v>100000</v>
      </c>
      <c r="F16" s="44">
        <v>100000</v>
      </c>
      <c r="G16" s="44"/>
      <c r="H16" s="44"/>
      <c r="I16" s="44"/>
      <c r="J16" s="44"/>
      <c r="K16" s="44"/>
      <c r="L16" s="44"/>
      <c r="M16" s="44"/>
    </row>
    <row r="17" spans="1:14" ht="21" thickBot="1" x14ac:dyDescent="0.35">
      <c r="A17" s="78" t="s">
        <v>111</v>
      </c>
      <c r="B17" s="45">
        <f>B15-B16</f>
        <v>1136000</v>
      </c>
      <c r="C17" s="46">
        <f>C15-C16</f>
        <v>902000</v>
      </c>
      <c r="D17" s="46">
        <f t="shared" ref="D17:M17" si="2">D15-D16</f>
        <v>968000</v>
      </c>
      <c r="E17" s="46">
        <f t="shared" si="2"/>
        <v>1000000</v>
      </c>
      <c r="F17" s="46">
        <f t="shared" si="2"/>
        <v>1011000</v>
      </c>
      <c r="G17" s="46">
        <f t="shared" si="2"/>
        <v>1011000</v>
      </c>
      <c r="H17" s="46">
        <f t="shared" si="2"/>
        <v>1011000</v>
      </c>
      <c r="I17" s="46">
        <f t="shared" si="2"/>
        <v>1011000</v>
      </c>
      <c r="J17" s="46">
        <f t="shared" si="2"/>
        <v>1011000</v>
      </c>
      <c r="K17" s="46">
        <f t="shared" si="2"/>
        <v>1011000</v>
      </c>
      <c r="L17" s="46">
        <f t="shared" si="2"/>
        <v>1011000</v>
      </c>
      <c r="M17" s="47">
        <f t="shared" si="2"/>
        <v>1011000</v>
      </c>
    </row>
    <row r="18" spans="1:14" x14ac:dyDescent="0.3">
      <c r="A18" s="78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1:14" x14ac:dyDescent="0.3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4" x14ac:dyDescent="0.3">
      <c r="A20" s="81"/>
      <c r="B20" s="82">
        <v>45292</v>
      </c>
      <c r="C20" s="82">
        <v>45323</v>
      </c>
      <c r="D20" s="82">
        <v>45352</v>
      </c>
      <c r="E20" s="82">
        <v>45383</v>
      </c>
      <c r="F20" s="82">
        <v>45413</v>
      </c>
      <c r="G20" s="82">
        <v>45444</v>
      </c>
      <c r="H20" s="82">
        <v>45474</v>
      </c>
      <c r="I20" s="82">
        <v>45505</v>
      </c>
      <c r="J20" s="82">
        <v>45536</v>
      </c>
      <c r="K20" s="82">
        <v>45566</v>
      </c>
      <c r="L20" s="82">
        <v>45597</v>
      </c>
      <c r="M20" s="82">
        <v>45627</v>
      </c>
    </row>
    <row r="21" spans="1:14" x14ac:dyDescent="0.3">
      <c r="A21" s="78" t="s">
        <v>110</v>
      </c>
      <c r="B21" s="42">
        <v>300000</v>
      </c>
      <c r="C21" s="42">
        <f>B32</f>
        <v>357100</v>
      </c>
      <c r="D21" s="42">
        <f t="shared" ref="D21:M21" si="3">C32</f>
        <v>414200</v>
      </c>
      <c r="E21" s="42">
        <f t="shared" si="3"/>
        <v>471300</v>
      </c>
      <c r="F21" s="42">
        <f t="shared" si="3"/>
        <v>528400</v>
      </c>
      <c r="G21" s="42">
        <f t="shared" si="3"/>
        <v>585500</v>
      </c>
      <c r="H21" s="42">
        <f t="shared" si="3"/>
        <v>642600</v>
      </c>
      <c r="I21" s="42">
        <f t="shared" si="3"/>
        <v>699700</v>
      </c>
      <c r="J21" s="42">
        <f t="shared" si="3"/>
        <v>756800</v>
      </c>
      <c r="K21" s="42">
        <f t="shared" si="3"/>
        <v>813900</v>
      </c>
      <c r="L21" s="42">
        <f t="shared" si="3"/>
        <v>871000</v>
      </c>
      <c r="M21" s="42">
        <f t="shared" si="3"/>
        <v>928100</v>
      </c>
    </row>
    <row r="22" spans="1:14" x14ac:dyDescent="0.3">
      <c r="A22" s="78" t="s">
        <v>2</v>
      </c>
      <c r="B22" s="42">
        <v>29100</v>
      </c>
      <c r="C22" s="42">
        <v>29100</v>
      </c>
      <c r="D22" s="42">
        <v>29100</v>
      </c>
      <c r="E22" s="42">
        <v>29100</v>
      </c>
      <c r="F22" s="42">
        <v>29100</v>
      </c>
      <c r="G22" s="42">
        <v>29100</v>
      </c>
      <c r="H22" s="42">
        <v>29100</v>
      </c>
      <c r="I22" s="42">
        <v>29100</v>
      </c>
      <c r="J22" s="42">
        <v>29100</v>
      </c>
      <c r="K22" s="42">
        <v>29100</v>
      </c>
      <c r="L22" s="42">
        <v>29100</v>
      </c>
      <c r="M22" s="42">
        <v>29100</v>
      </c>
    </row>
    <row r="23" spans="1:14" x14ac:dyDescent="0.3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4" x14ac:dyDescent="0.3">
      <c r="A24" s="78" t="s">
        <v>4</v>
      </c>
      <c r="B24" s="42">
        <v>8000</v>
      </c>
      <c r="C24" s="42">
        <v>8000</v>
      </c>
      <c r="D24" s="42">
        <v>8000</v>
      </c>
      <c r="E24" s="42">
        <v>8000</v>
      </c>
      <c r="F24" s="42">
        <v>8000</v>
      </c>
      <c r="G24" s="42">
        <v>8000</v>
      </c>
      <c r="H24" s="42">
        <v>8000</v>
      </c>
      <c r="I24" s="42">
        <v>8000</v>
      </c>
      <c r="J24" s="42">
        <v>8000</v>
      </c>
      <c r="K24" s="42">
        <v>8000</v>
      </c>
      <c r="L24" s="42">
        <v>8000</v>
      </c>
      <c r="M24" s="42">
        <v>8000</v>
      </c>
    </row>
    <row r="25" spans="1:14" x14ac:dyDescent="0.3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4" x14ac:dyDescent="0.3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x14ac:dyDescent="0.3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4" x14ac:dyDescent="0.3">
      <c r="A28" s="78" t="s">
        <v>428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4" x14ac:dyDescent="0.3">
      <c r="A29" s="78" t="s">
        <v>5</v>
      </c>
      <c r="B29" s="42">
        <v>20000</v>
      </c>
      <c r="C29" s="42">
        <v>20000</v>
      </c>
      <c r="D29" s="42">
        <v>20000</v>
      </c>
      <c r="E29" s="42">
        <v>20000</v>
      </c>
      <c r="F29" s="42">
        <v>20000</v>
      </c>
      <c r="G29" s="42">
        <v>20000</v>
      </c>
      <c r="H29" s="42">
        <v>20000</v>
      </c>
      <c r="I29" s="42">
        <v>20000</v>
      </c>
      <c r="J29" s="42">
        <v>20000</v>
      </c>
      <c r="K29" s="42">
        <v>20000</v>
      </c>
      <c r="L29" s="42">
        <v>20000</v>
      </c>
      <c r="M29" s="42">
        <v>20000</v>
      </c>
      <c r="N29" s="2">
        <v>2260</v>
      </c>
    </row>
    <row r="30" spans="1:14" x14ac:dyDescent="0.3">
      <c r="A30" s="78" t="s">
        <v>6</v>
      </c>
      <c r="B30" s="43">
        <f>SUM(B21:B29)</f>
        <v>357100</v>
      </c>
      <c r="C30" s="43">
        <f t="shared" ref="C30:M30" si="4">SUM(C21:C29)</f>
        <v>414200</v>
      </c>
      <c r="D30" s="43">
        <f t="shared" si="4"/>
        <v>471300</v>
      </c>
      <c r="E30" s="43">
        <f t="shared" si="4"/>
        <v>528400</v>
      </c>
      <c r="F30" s="43">
        <f t="shared" si="4"/>
        <v>585500</v>
      </c>
      <c r="G30" s="43">
        <f t="shared" si="4"/>
        <v>642600</v>
      </c>
      <c r="H30" s="43">
        <f t="shared" si="4"/>
        <v>699700</v>
      </c>
      <c r="I30" s="43">
        <f t="shared" si="4"/>
        <v>756800</v>
      </c>
      <c r="J30" s="43">
        <f t="shared" si="4"/>
        <v>813900</v>
      </c>
      <c r="K30" s="43">
        <f t="shared" si="4"/>
        <v>871000</v>
      </c>
      <c r="L30" s="43">
        <f t="shared" si="4"/>
        <v>928100</v>
      </c>
      <c r="M30" s="43">
        <f t="shared" si="4"/>
        <v>985200</v>
      </c>
    </row>
    <row r="31" spans="1:14" ht="21" thickBot="1" x14ac:dyDescent="0.35">
      <c r="A31" s="78" t="s">
        <v>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4" ht="21" thickBot="1" x14ac:dyDescent="0.35">
      <c r="A32" s="78" t="s">
        <v>111</v>
      </c>
      <c r="B32" s="45">
        <f t="shared" ref="B32:M32" si="5">B30-B31</f>
        <v>357100</v>
      </c>
      <c r="C32" s="46">
        <f t="shared" si="5"/>
        <v>414200</v>
      </c>
      <c r="D32" s="46">
        <f t="shared" si="5"/>
        <v>471300</v>
      </c>
      <c r="E32" s="46">
        <f t="shared" si="5"/>
        <v>528400</v>
      </c>
      <c r="F32" s="46">
        <f t="shared" si="5"/>
        <v>585500</v>
      </c>
      <c r="G32" s="46">
        <f t="shared" si="5"/>
        <v>642600</v>
      </c>
      <c r="H32" s="46">
        <f t="shared" si="5"/>
        <v>699700</v>
      </c>
      <c r="I32" s="46">
        <f t="shared" si="5"/>
        <v>756800</v>
      </c>
      <c r="J32" s="46">
        <f t="shared" si="5"/>
        <v>813900</v>
      </c>
      <c r="K32" s="46">
        <f t="shared" si="5"/>
        <v>871000</v>
      </c>
      <c r="L32" s="46">
        <f t="shared" si="5"/>
        <v>928100</v>
      </c>
      <c r="M32" s="47">
        <f t="shared" si="5"/>
        <v>985200</v>
      </c>
    </row>
    <row r="33" spans="1:13" x14ac:dyDescent="0.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</row>
    <row r="34" spans="1:13" x14ac:dyDescent="0.3">
      <c r="A34" s="78"/>
      <c r="B34" s="78">
        <v>151031.81</v>
      </c>
      <c r="C34" s="78" t="s">
        <v>340</v>
      </c>
      <c r="D34" s="78"/>
      <c r="E34" s="78"/>
      <c r="F34" s="78" t="s">
        <v>178</v>
      </c>
      <c r="G34" s="78"/>
      <c r="H34" s="78"/>
      <c r="I34" s="78"/>
      <c r="J34" s="78"/>
      <c r="K34" s="78"/>
      <c r="L34" s="78"/>
      <c r="M34" s="78"/>
    </row>
    <row r="35" spans="1:13" x14ac:dyDescent="0.3">
      <c r="A35" s="78"/>
      <c r="B35" s="78">
        <v>77000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</row>
    <row r="36" spans="1:13" x14ac:dyDescent="0.3">
      <c r="A36" s="80" t="s">
        <v>0</v>
      </c>
      <c r="B36" s="80" t="s">
        <v>1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</row>
    <row r="37" spans="1:13" x14ac:dyDescent="0.3">
      <c r="A37" s="81"/>
      <c r="B37" s="82">
        <v>45658</v>
      </c>
      <c r="C37" s="82">
        <v>45689</v>
      </c>
      <c r="D37" s="82">
        <v>45717</v>
      </c>
      <c r="E37" s="82">
        <v>45748</v>
      </c>
      <c r="F37" s="82">
        <v>45778</v>
      </c>
      <c r="G37" s="82">
        <v>45809</v>
      </c>
      <c r="H37" s="82">
        <v>45839</v>
      </c>
      <c r="I37" s="82">
        <v>45870</v>
      </c>
      <c r="J37" s="82">
        <v>45901</v>
      </c>
      <c r="K37" s="82">
        <v>45931</v>
      </c>
      <c r="L37" s="82">
        <v>45962</v>
      </c>
      <c r="M37" s="82">
        <v>45992</v>
      </c>
    </row>
    <row r="38" spans="1:13" x14ac:dyDescent="0.3">
      <c r="A38" s="78" t="s">
        <v>110</v>
      </c>
      <c r="B38" s="42">
        <v>985200</v>
      </c>
      <c r="C38" s="42">
        <f>B49</f>
        <v>1056600</v>
      </c>
      <c r="D38" s="42">
        <f t="shared" ref="D38:M38" si="6">C49</f>
        <v>738000</v>
      </c>
      <c r="E38" s="42">
        <f t="shared" si="6"/>
        <v>591500</v>
      </c>
      <c r="F38" s="42">
        <f t="shared" si="6"/>
        <v>645000</v>
      </c>
      <c r="G38" s="42">
        <f t="shared" si="6"/>
        <v>698500</v>
      </c>
      <c r="H38" s="42">
        <f t="shared" si="6"/>
        <v>752000</v>
      </c>
      <c r="I38" s="42">
        <f t="shared" si="6"/>
        <v>805500</v>
      </c>
      <c r="J38" s="42">
        <f t="shared" si="6"/>
        <v>859000</v>
      </c>
      <c r="K38" s="42">
        <f t="shared" si="6"/>
        <v>912500</v>
      </c>
      <c r="L38" s="42">
        <f t="shared" si="6"/>
        <v>966000</v>
      </c>
      <c r="M38" s="42">
        <f t="shared" si="6"/>
        <v>1019500</v>
      </c>
    </row>
    <row r="39" spans="1:13" x14ac:dyDescent="0.3">
      <c r="A39" s="78" t="s">
        <v>2</v>
      </c>
      <c r="B39" s="42">
        <v>29100</v>
      </c>
      <c r="C39" s="42">
        <v>39100</v>
      </c>
      <c r="D39" s="42">
        <v>11200</v>
      </c>
      <c r="E39" s="42">
        <v>11200</v>
      </c>
      <c r="F39" s="42">
        <v>11200</v>
      </c>
      <c r="G39" s="42">
        <v>11200</v>
      </c>
      <c r="H39" s="42">
        <v>11200</v>
      </c>
      <c r="I39" s="42">
        <v>11200</v>
      </c>
      <c r="J39" s="42">
        <v>11200</v>
      </c>
      <c r="K39" s="42">
        <v>11200</v>
      </c>
      <c r="L39" s="42">
        <v>11200</v>
      </c>
      <c r="M39" s="42">
        <v>11200</v>
      </c>
    </row>
    <row r="40" spans="1:13" x14ac:dyDescent="0.3">
      <c r="A40" s="78" t="s">
        <v>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3">
      <c r="A41" s="78" t="s">
        <v>4</v>
      </c>
      <c r="B41" s="42">
        <v>22300</v>
      </c>
      <c r="C41" s="42">
        <v>22300</v>
      </c>
      <c r="D41" s="42">
        <v>22300</v>
      </c>
      <c r="E41" s="42">
        <v>22300</v>
      </c>
      <c r="F41" s="42">
        <v>22300</v>
      </c>
      <c r="G41" s="42">
        <v>22300</v>
      </c>
      <c r="H41" s="42">
        <v>22300</v>
      </c>
      <c r="I41" s="42">
        <v>22300</v>
      </c>
      <c r="J41" s="42">
        <v>22300</v>
      </c>
      <c r="K41" s="42">
        <v>22300</v>
      </c>
      <c r="L41" s="42">
        <v>22300</v>
      </c>
      <c r="M41" s="42">
        <v>22300</v>
      </c>
    </row>
    <row r="42" spans="1:13" x14ac:dyDescent="0.3">
      <c r="A42" s="78" t="s">
        <v>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78" t="s">
        <v>365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3">
      <c r="A44" s="78" t="s">
        <v>74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78" t="s">
        <v>75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78" t="s">
        <v>5</v>
      </c>
      <c r="B46" s="42">
        <v>20000</v>
      </c>
      <c r="C46" s="42">
        <v>20000</v>
      </c>
      <c r="D46" s="42">
        <v>20000</v>
      </c>
      <c r="E46" s="42">
        <v>20000</v>
      </c>
      <c r="F46" s="42">
        <v>20000</v>
      </c>
      <c r="G46" s="42">
        <v>20000</v>
      </c>
      <c r="H46" s="42">
        <v>20000</v>
      </c>
      <c r="I46" s="42">
        <v>20000</v>
      </c>
      <c r="J46" s="42">
        <v>20000</v>
      </c>
      <c r="K46" s="42">
        <v>20000</v>
      </c>
      <c r="L46" s="42">
        <v>20000</v>
      </c>
      <c r="M46" s="42">
        <v>20000</v>
      </c>
    </row>
    <row r="47" spans="1:13" x14ac:dyDescent="0.3">
      <c r="A47" s="78" t="s">
        <v>6</v>
      </c>
      <c r="B47" s="43">
        <f t="shared" ref="B47:M47" si="7">SUM(B38:B46)</f>
        <v>1056600</v>
      </c>
      <c r="C47" s="43">
        <f t="shared" si="7"/>
        <v>1138000</v>
      </c>
      <c r="D47" s="43">
        <f t="shared" si="7"/>
        <v>791500</v>
      </c>
      <c r="E47" s="43">
        <f t="shared" si="7"/>
        <v>645000</v>
      </c>
      <c r="F47" s="43">
        <f t="shared" si="7"/>
        <v>698500</v>
      </c>
      <c r="G47" s="43">
        <f t="shared" si="7"/>
        <v>752000</v>
      </c>
      <c r="H47" s="43">
        <f t="shared" si="7"/>
        <v>805500</v>
      </c>
      <c r="I47" s="43">
        <f t="shared" si="7"/>
        <v>859000</v>
      </c>
      <c r="J47" s="43">
        <f t="shared" si="7"/>
        <v>912500</v>
      </c>
      <c r="K47" s="43">
        <f t="shared" si="7"/>
        <v>966000</v>
      </c>
      <c r="L47" s="43">
        <f t="shared" si="7"/>
        <v>1019500</v>
      </c>
      <c r="M47" s="43">
        <f t="shared" si="7"/>
        <v>1073000</v>
      </c>
    </row>
    <row r="48" spans="1:13" ht="21" thickBot="1" x14ac:dyDescent="0.35">
      <c r="A48" s="78" t="s">
        <v>7</v>
      </c>
      <c r="B48" s="44"/>
      <c r="C48" s="44">
        <v>400000</v>
      </c>
      <c r="D48" s="44">
        <v>200000</v>
      </c>
      <c r="E48" s="44"/>
      <c r="F48" s="44"/>
      <c r="G48" s="44"/>
      <c r="H48" s="44"/>
      <c r="I48" s="44"/>
      <c r="J48" s="44"/>
      <c r="K48" s="44"/>
      <c r="L48" s="44"/>
      <c r="M48" s="44"/>
    </row>
    <row r="49" spans="1:13" ht="21" thickBot="1" x14ac:dyDescent="0.35">
      <c r="A49" s="78" t="s">
        <v>111</v>
      </c>
      <c r="B49" s="45">
        <f t="shared" ref="B49:M49" si="8">B47-B48</f>
        <v>1056600</v>
      </c>
      <c r="C49" s="46">
        <f t="shared" si="8"/>
        <v>738000</v>
      </c>
      <c r="D49" s="46">
        <f t="shared" si="8"/>
        <v>591500</v>
      </c>
      <c r="E49" s="46">
        <f t="shared" si="8"/>
        <v>645000</v>
      </c>
      <c r="F49" s="46">
        <f t="shared" si="8"/>
        <v>698500</v>
      </c>
      <c r="G49" s="46">
        <f t="shared" si="8"/>
        <v>752000</v>
      </c>
      <c r="H49" s="46">
        <f t="shared" si="8"/>
        <v>805500</v>
      </c>
      <c r="I49" s="46">
        <f t="shared" si="8"/>
        <v>859000</v>
      </c>
      <c r="J49" s="46">
        <f t="shared" si="8"/>
        <v>912500</v>
      </c>
      <c r="K49" s="46">
        <f t="shared" si="8"/>
        <v>966000</v>
      </c>
      <c r="L49" s="46">
        <f t="shared" si="8"/>
        <v>1019500</v>
      </c>
      <c r="M49" s="47">
        <f t="shared" si="8"/>
        <v>1073000</v>
      </c>
    </row>
    <row r="50" spans="1:13" x14ac:dyDescent="0.3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</row>
    <row r="51" spans="1:13" x14ac:dyDescent="0.3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 t="s">
        <v>386</v>
      </c>
    </row>
    <row r="52" spans="1:13" x14ac:dyDescent="0.3">
      <c r="A52" s="78" t="s">
        <v>248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</row>
    <row r="53" spans="1:13" x14ac:dyDescent="0.3">
      <c r="A53" s="78" t="s">
        <v>252</v>
      </c>
      <c r="B53" s="91">
        <v>67261.710000000006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</row>
    <row r="54" spans="1:13" x14ac:dyDescent="0.3">
      <c r="A54" s="78" t="s">
        <v>253</v>
      </c>
      <c r="B54" s="91">
        <v>4170.2299999999996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</row>
    <row r="55" spans="1:13" x14ac:dyDescent="0.3">
      <c r="A55" s="78" t="s">
        <v>245</v>
      </c>
      <c r="B55" s="91">
        <f>2307.18+1502.35+697.52+2441.31+1636.48</f>
        <v>8584.8399999999983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</row>
    <row r="56" spans="1:13" x14ac:dyDescent="0.3">
      <c r="A56" s="78" t="s">
        <v>246</v>
      </c>
      <c r="B56" s="91">
        <f>3398.17+3398.17+3398.17+4300</f>
        <v>14494.51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</row>
    <row r="57" spans="1:13" x14ac:dyDescent="0.3">
      <c r="A57" s="78" t="s">
        <v>249</v>
      </c>
      <c r="B57" s="91">
        <v>13452.34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</row>
    <row r="58" spans="1:13" x14ac:dyDescent="0.3">
      <c r="A58" s="78" t="s">
        <v>5</v>
      </c>
      <c r="B58" s="91">
        <v>12100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</row>
    <row r="59" spans="1:13" x14ac:dyDescent="0.3">
      <c r="A59" s="78" t="s">
        <v>247</v>
      </c>
      <c r="B59" s="91">
        <f>11213.4+1705.6+1000</f>
        <v>13919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</row>
    <row r="60" spans="1:13" x14ac:dyDescent="0.3">
      <c r="A60" s="78" t="s">
        <v>6</v>
      </c>
      <c r="B60" s="91">
        <f>SUM(B53:B59)</f>
        <v>133982.63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</row>
    <row r="61" spans="1:13" x14ac:dyDescent="0.3">
      <c r="A61" s="78" t="s">
        <v>147</v>
      </c>
      <c r="B61" s="91">
        <v>130000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spans="1:13" x14ac:dyDescent="0.3">
      <c r="A62" s="78"/>
      <c r="B62" s="91">
        <f>B60-B61</f>
        <v>3982.6300000000047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</sheetData>
  <mergeCells count="1">
    <mergeCell ref="B2:G2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horizontalDpi="4294967293" verticalDpi="360" r:id="rId1"/>
  <headerFooter alignWithMargins="0"/>
  <ignoredErrors>
    <ignoredError sqref="B15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1"/>
  <dimension ref="A1:M41"/>
  <sheetViews>
    <sheetView topLeftCell="A13" workbookViewId="0">
      <selection activeCell="F32" sqref="F32"/>
    </sheetView>
  </sheetViews>
  <sheetFormatPr baseColWidth="10" defaultRowHeight="12.75" x14ac:dyDescent="0.2"/>
  <cols>
    <col min="1" max="1" width="36.5703125" customWidth="1"/>
    <col min="6" max="6" width="12.85546875" bestFit="1" customWidth="1"/>
    <col min="7" max="7" width="11.7109375" customWidth="1"/>
    <col min="10" max="10" width="12.28515625" customWidth="1"/>
    <col min="11" max="11" width="11.42578125" customWidth="1"/>
    <col min="12" max="12" width="12" bestFit="1" customWidth="1"/>
  </cols>
  <sheetData>
    <row r="1" spans="1:13" ht="20.25" x14ac:dyDescent="0.3">
      <c r="A1" s="11" t="s">
        <v>11</v>
      </c>
      <c r="B1" s="216" t="s">
        <v>195</v>
      </c>
      <c r="C1" s="216"/>
      <c r="D1" s="216"/>
      <c r="E1" s="216"/>
      <c r="F1" s="216"/>
      <c r="G1" s="216"/>
      <c r="H1" s="2"/>
      <c r="I1" s="2"/>
      <c r="J1" s="2"/>
      <c r="K1" s="2"/>
      <c r="L1" s="2"/>
      <c r="M1" s="2"/>
    </row>
    <row r="2" spans="1:13" ht="20.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x14ac:dyDescent="0.2">
      <c r="A4" s="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ht="15" x14ac:dyDescent="0.2">
      <c r="A5" s="8" t="s">
        <v>110</v>
      </c>
      <c r="B5" s="42"/>
      <c r="C5" s="42">
        <f>B16</f>
        <v>0</v>
      </c>
      <c r="D5" s="42">
        <f t="shared" ref="D5:M5" si="0">C16</f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594</v>
      </c>
      <c r="B6" s="42">
        <v>5000</v>
      </c>
      <c r="C6" s="42">
        <f>3700+5000</f>
        <v>8700</v>
      </c>
      <c r="D6" s="42">
        <v>8700</v>
      </c>
      <c r="E6" s="42">
        <v>8700</v>
      </c>
      <c r="F6" s="42">
        <v>8700</v>
      </c>
      <c r="G6" s="42">
        <v>8700</v>
      </c>
      <c r="H6" s="42">
        <v>8700</v>
      </c>
      <c r="I6" s="42">
        <f>4200+4500</f>
        <v>8700</v>
      </c>
      <c r="J6" s="42">
        <v>8700</v>
      </c>
      <c r="K6" s="42">
        <v>8700</v>
      </c>
      <c r="L6" s="42">
        <v>8700</v>
      </c>
      <c r="M6" s="42">
        <v>8700</v>
      </c>
    </row>
    <row r="7" spans="1:13" x14ac:dyDescent="0.2">
      <c r="A7" s="78" t="s">
        <v>588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4</v>
      </c>
      <c r="B8" s="42">
        <v>22800</v>
      </c>
      <c r="C8" s="42">
        <v>22800</v>
      </c>
      <c r="D8" s="42">
        <v>22800</v>
      </c>
      <c r="E8" s="42">
        <v>22800</v>
      </c>
      <c r="F8" s="42">
        <v>22800</v>
      </c>
      <c r="G8" s="42">
        <v>22800</v>
      </c>
      <c r="H8" s="42">
        <v>30000</v>
      </c>
      <c r="I8" s="42">
        <v>30000</v>
      </c>
      <c r="J8" s="42">
        <v>30000</v>
      </c>
      <c r="K8" s="42">
        <v>30000</v>
      </c>
      <c r="L8" s="42">
        <v>30000</v>
      </c>
      <c r="M8" s="42">
        <v>30000</v>
      </c>
    </row>
    <row r="9" spans="1:13" ht="15" x14ac:dyDescent="0.2">
      <c r="A9" s="8" t="s">
        <v>710</v>
      </c>
      <c r="B9" s="42">
        <v>24500</v>
      </c>
      <c r="C9" s="42">
        <v>31180</v>
      </c>
      <c r="D9" s="42">
        <v>31180</v>
      </c>
      <c r="E9" s="42">
        <v>31180</v>
      </c>
      <c r="F9" s="42">
        <v>31180</v>
      </c>
      <c r="G9" s="42">
        <v>31180</v>
      </c>
      <c r="H9" s="42">
        <v>31180</v>
      </c>
      <c r="I9" s="42">
        <v>35500</v>
      </c>
      <c r="J9" s="42"/>
      <c r="K9" s="42"/>
      <c r="L9" s="42"/>
      <c r="M9" s="42"/>
    </row>
    <row r="10" spans="1:13" ht="15" x14ac:dyDescent="0.2">
      <c r="A10" s="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74</v>
      </c>
      <c r="B11" s="42">
        <v>17800</v>
      </c>
      <c r="C11" s="42">
        <v>28700</v>
      </c>
      <c r="D11" s="42">
        <v>28700</v>
      </c>
      <c r="E11" s="42">
        <v>29600</v>
      </c>
      <c r="F11" s="42">
        <v>29700</v>
      </c>
      <c r="G11" s="42">
        <v>29700</v>
      </c>
      <c r="H11" s="42">
        <v>29700</v>
      </c>
      <c r="I11" s="42">
        <v>33200</v>
      </c>
      <c r="J11" s="42">
        <v>33200</v>
      </c>
      <c r="K11" s="42">
        <v>33500</v>
      </c>
      <c r="L11" s="42">
        <v>33500</v>
      </c>
      <c r="M11" s="42">
        <v>33500</v>
      </c>
    </row>
    <row r="12" spans="1:13" ht="15" x14ac:dyDescent="0.2">
      <c r="A12" s="8" t="s">
        <v>75</v>
      </c>
      <c r="B12" s="42"/>
      <c r="C12" s="42"/>
      <c r="D12" s="42"/>
      <c r="E12" s="42"/>
      <c r="F12" s="42"/>
      <c r="G12" s="42"/>
      <c r="H12" s="42"/>
      <c r="I12" s="42"/>
      <c r="J12" s="42">
        <v>100</v>
      </c>
      <c r="K12" s="42"/>
      <c r="L12" s="42"/>
      <c r="M12" s="42"/>
    </row>
    <row r="13" spans="1:13" ht="15" x14ac:dyDescent="0.2">
      <c r="A13" s="8" t="s">
        <v>5</v>
      </c>
      <c r="B13" s="42">
        <v>40000</v>
      </c>
      <c r="C13" s="42">
        <v>45000</v>
      </c>
      <c r="D13" s="42">
        <v>45000</v>
      </c>
      <c r="E13" s="42">
        <v>45000</v>
      </c>
      <c r="F13" s="42">
        <v>45000</v>
      </c>
      <c r="G13" s="42">
        <v>45000</v>
      </c>
      <c r="H13" s="42">
        <v>45000</v>
      </c>
      <c r="I13" s="42">
        <v>50000</v>
      </c>
      <c r="J13" s="42">
        <v>50000</v>
      </c>
      <c r="K13" s="42">
        <v>50000</v>
      </c>
      <c r="L13" s="42">
        <v>50000</v>
      </c>
      <c r="M13" s="42">
        <v>50000</v>
      </c>
    </row>
    <row r="14" spans="1:13" ht="15" x14ac:dyDescent="0.2">
      <c r="A14" s="8" t="s">
        <v>6</v>
      </c>
      <c r="B14" s="43">
        <f>SUM(B5:B13)</f>
        <v>110100</v>
      </c>
      <c r="C14" s="43">
        <f t="shared" ref="C14:M14" si="1">SUM(C5:C13)</f>
        <v>136380</v>
      </c>
      <c r="D14" s="43">
        <f t="shared" si="1"/>
        <v>136380</v>
      </c>
      <c r="E14" s="43">
        <f t="shared" si="1"/>
        <v>137280</v>
      </c>
      <c r="F14" s="43">
        <f t="shared" si="1"/>
        <v>137380</v>
      </c>
      <c r="G14" s="43">
        <f>SUM(G5:G13)</f>
        <v>137380</v>
      </c>
      <c r="H14" s="43">
        <f t="shared" si="1"/>
        <v>144580</v>
      </c>
      <c r="I14" s="43">
        <f t="shared" si="1"/>
        <v>157400</v>
      </c>
      <c r="J14" s="43">
        <f t="shared" si="1"/>
        <v>122000</v>
      </c>
      <c r="K14" s="43">
        <f t="shared" si="1"/>
        <v>122200</v>
      </c>
      <c r="L14" s="43">
        <f t="shared" si="1"/>
        <v>122200</v>
      </c>
      <c r="M14" s="43">
        <f t="shared" si="1"/>
        <v>122200</v>
      </c>
    </row>
    <row r="15" spans="1:13" ht="15" x14ac:dyDescent="0.2">
      <c r="A15" s="8" t="s">
        <v>7</v>
      </c>
      <c r="B15" s="44">
        <v>110100</v>
      </c>
      <c r="C15" s="44">
        <v>136380</v>
      </c>
      <c r="D15" s="44">
        <v>136380</v>
      </c>
      <c r="E15" s="44">
        <v>137280</v>
      </c>
      <c r="F15" s="44">
        <v>137380</v>
      </c>
      <c r="G15" s="44">
        <v>137380</v>
      </c>
      <c r="H15" s="44">
        <v>144580</v>
      </c>
      <c r="I15" s="44">
        <v>157400</v>
      </c>
      <c r="J15" s="44">
        <v>122000</v>
      </c>
      <c r="K15" s="44">
        <v>122200</v>
      </c>
      <c r="L15" s="44">
        <v>122200</v>
      </c>
      <c r="M15" s="44">
        <v>122200</v>
      </c>
    </row>
    <row r="16" spans="1:13" ht="15" x14ac:dyDescent="0.2">
      <c r="A16" s="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0</v>
      </c>
      <c r="E16" s="43">
        <f t="shared" si="2"/>
        <v>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</row>
    <row r="17" spans="1:13" x14ac:dyDescent="0.2">
      <c r="C17" s="128">
        <v>43508</v>
      </c>
    </row>
    <row r="19" spans="1:13" x14ac:dyDescent="0.2">
      <c r="A19" s="50" t="s">
        <v>0</v>
      </c>
      <c r="B19" s="50" t="s">
        <v>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9">
        <v>46023</v>
      </c>
      <c r="C20" s="79">
        <v>46054</v>
      </c>
      <c r="D20" s="79">
        <v>46082</v>
      </c>
      <c r="E20" s="79">
        <v>46113</v>
      </c>
      <c r="F20" s="79">
        <v>46143</v>
      </c>
      <c r="G20" s="79">
        <v>46174</v>
      </c>
      <c r="H20" s="79">
        <v>46204</v>
      </c>
      <c r="I20" s="79">
        <v>46235</v>
      </c>
      <c r="J20" s="79">
        <v>46266</v>
      </c>
      <c r="K20" s="79">
        <v>46296</v>
      </c>
      <c r="L20" s="79">
        <v>46327</v>
      </c>
      <c r="M20" s="79">
        <v>46357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0</v>
      </c>
      <c r="M21" s="42">
        <f t="shared" si="3"/>
        <v>0</v>
      </c>
    </row>
    <row r="22" spans="1:13" x14ac:dyDescent="0.2">
      <c r="A22" s="78" t="s">
        <v>580</v>
      </c>
      <c r="B22" s="42">
        <v>8700</v>
      </c>
      <c r="C22" s="42">
        <v>10000</v>
      </c>
      <c r="D22" s="42">
        <v>10000</v>
      </c>
      <c r="E22" s="42">
        <v>10000</v>
      </c>
      <c r="F22" s="42">
        <v>10000</v>
      </c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770</v>
      </c>
      <c r="B23" s="42"/>
      <c r="C23" s="42">
        <v>9800</v>
      </c>
      <c r="D23" s="42">
        <v>9800</v>
      </c>
      <c r="E23" s="42">
        <v>9800</v>
      </c>
      <c r="F23" s="42">
        <v>9800</v>
      </c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30000</v>
      </c>
      <c r="C24" s="42">
        <v>30000</v>
      </c>
      <c r="D24" s="42">
        <v>30000</v>
      </c>
      <c r="E24" s="42">
        <v>30000</v>
      </c>
      <c r="F24" s="42">
        <v>30000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704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>
        <v>35000</v>
      </c>
      <c r="C27" s="42">
        <v>37100</v>
      </c>
      <c r="D27" s="42">
        <v>37100</v>
      </c>
      <c r="E27" s="42">
        <v>37100</v>
      </c>
      <c r="F27" s="42">
        <v>37600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581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50000</v>
      </c>
      <c r="C29" s="42">
        <v>60000</v>
      </c>
      <c r="D29" s="42">
        <v>60000</v>
      </c>
      <c r="E29" s="42">
        <v>60000</v>
      </c>
      <c r="F29" s="42">
        <v>60000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123700</v>
      </c>
      <c r="C30" s="43">
        <f t="shared" si="4"/>
        <v>146900</v>
      </c>
      <c r="D30" s="43">
        <f t="shared" si="4"/>
        <v>146900</v>
      </c>
      <c r="E30" s="43">
        <f t="shared" si="4"/>
        <v>146900</v>
      </c>
      <c r="F30" s="43">
        <f t="shared" si="4"/>
        <v>147400</v>
      </c>
      <c r="G30" s="43">
        <f t="shared" si="4"/>
        <v>0</v>
      </c>
      <c r="H30" s="43">
        <f t="shared" si="4"/>
        <v>0</v>
      </c>
      <c r="I30" s="43">
        <f t="shared" si="4"/>
        <v>0</v>
      </c>
      <c r="J30" s="43">
        <f t="shared" si="4"/>
        <v>0</v>
      </c>
      <c r="K30" s="43">
        <f t="shared" si="4"/>
        <v>0</v>
      </c>
      <c r="L30" s="43">
        <f t="shared" si="4"/>
        <v>0</v>
      </c>
      <c r="M30" s="43">
        <f t="shared" si="4"/>
        <v>0</v>
      </c>
    </row>
    <row r="31" spans="1:13" x14ac:dyDescent="0.2">
      <c r="A31" s="78" t="s">
        <v>7</v>
      </c>
      <c r="B31" s="44">
        <v>123700</v>
      </c>
      <c r="C31" s="44">
        <v>146900</v>
      </c>
      <c r="D31" s="44">
        <v>146900</v>
      </c>
      <c r="E31" s="44">
        <v>146900</v>
      </c>
      <c r="F31" s="44">
        <v>147400</v>
      </c>
      <c r="G31" s="44"/>
      <c r="H31" s="44"/>
      <c r="I31" s="44"/>
      <c r="J31" s="44"/>
      <c r="K31" s="44"/>
      <c r="L31" s="44"/>
      <c r="M31" s="44"/>
    </row>
    <row r="32" spans="1:13" x14ac:dyDescent="0.2">
      <c r="A32" s="78" t="s">
        <v>111</v>
      </c>
      <c r="B32" s="43">
        <f t="shared" ref="B32:M32" si="5">B30-B31</f>
        <v>0</v>
      </c>
      <c r="C32" s="43">
        <f t="shared" si="5"/>
        <v>0</v>
      </c>
      <c r="D32" s="43">
        <f t="shared" si="5"/>
        <v>0</v>
      </c>
      <c r="E32" s="43">
        <f t="shared" si="5"/>
        <v>0</v>
      </c>
      <c r="F32" s="43">
        <f t="shared" si="5"/>
        <v>0</v>
      </c>
      <c r="G32" s="43">
        <f t="shared" si="5"/>
        <v>0</v>
      </c>
      <c r="H32" s="43">
        <f t="shared" si="5"/>
        <v>0</v>
      </c>
      <c r="I32" s="43">
        <f t="shared" si="5"/>
        <v>0</v>
      </c>
      <c r="J32" s="43">
        <f t="shared" si="5"/>
        <v>0</v>
      </c>
      <c r="K32" s="43">
        <f t="shared" si="5"/>
        <v>0</v>
      </c>
      <c r="L32" s="43">
        <f t="shared" si="5"/>
        <v>0</v>
      </c>
      <c r="M32" s="43">
        <f t="shared" si="5"/>
        <v>0</v>
      </c>
    </row>
    <row r="33" spans="1:13" x14ac:dyDescent="0.2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</row>
    <row r="36" spans="1:13" x14ac:dyDescent="0.2">
      <c r="A36" t="s">
        <v>295</v>
      </c>
      <c r="B36">
        <v>10763.96</v>
      </c>
    </row>
    <row r="37" spans="1:13" x14ac:dyDescent="0.2">
      <c r="A37" t="s">
        <v>294</v>
      </c>
      <c r="B37" s="105">
        <v>3000</v>
      </c>
    </row>
    <row r="38" spans="1:13" x14ac:dyDescent="0.2">
      <c r="B38" s="105">
        <v>2000</v>
      </c>
    </row>
    <row r="39" spans="1:13" x14ac:dyDescent="0.2">
      <c r="B39" s="105">
        <v>2000</v>
      </c>
    </row>
    <row r="40" spans="1:13" x14ac:dyDescent="0.2">
      <c r="B40" s="105">
        <v>3000</v>
      </c>
    </row>
    <row r="41" spans="1:13" x14ac:dyDescent="0.2">
      <c r="A41" t="s">
        <v>8</v>
      </c>
      <c r="B41" s="105">
        <f>B36-B37-B38-B39-B40</f>
        <v>763.95999999999913</v>
      </c>
    </row>
  </sheetData>
  <mergeCells count="1">
    <mergeCell ref="B1:G1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2"/>
  <dimension ref="A1:N36"/>
  <sheetViews>
    <sheetView topLeftCell="A21" workbookViewId="0">
      <selection activeCell="F33" sqref="F33"/>
    </sheetView>
  </sheetViews>
  <sheetFormatPr baseColWidth="10" defaultRowHeight="20.25" x14ac:dyDescent="0.3"/>
  <cols>
    <col min="1" max="1" width="30.85546875" style="2" customWidth="1"/>
    <col min="2" max="4" width="11.28515625" style="2" bestFit="1" customWidth="1"/>
    <col min="5" max="5" width="11.85546875" style="2" customWidth="1"/>
    <col min="6" max="6" width="11.42578125" style="2"/>
    <col min="7" max="7" width="12.85546875" style="2" bestFit="1" customWidth="1"/>
    <col min="8" max="8" width="11.42578125" style="2" customWidth="1"/>
    <col min="9" max="9" width="11.5703125" style="2" bestFit="1" customWidth="1"/>
    <col min="10" max="10" width="11.28515625" style="2" bestFit="1" customWidth="1"/>
    <col min="11" max="11" width="11.42578125" style="2"/>
    <col min="12" max="12" width="12.28515625" style="2" customWidth="1"/>
    <col min="13" max="13" width="13.42578125" style="2" customWidth="1"/>
    <col min="14" max="16384" width="11.42578125" style="2"/>
  </cols>
  <sheetData>
    <row r="1" spans="1:14" ht="27" x14ac:dyDescent="0.35">
      <c r="A1" s="7"/>
    </row>
    <row r="2" spans="1:14" x14ac:dyDescent="0.3">
      <c r="A2" s="11"/>
      <c r="B2" s="216"/>
      <c r="C2" s="216"/>
      <c r="D2" s="216"/>
      <c r="E2" s="216"/>
      <c r="F2" s="216"/>
      <c r="G2" s="216"/>
    </row>
    <row r="4" spans="1:14" x14ac:dyDescent="0.3">
      <c r="A4" s="11" t="s">
        <v>11</v>
      </c>
      <c r="B4" s="216" t="s">
        <v>21</v>
      </c>
      <c r="C4" s="216"/>
      <c r="D4" s="216"/>
      <c r="E4" s="216"/>
      <c r="F4" s="216"/>
      <c r="G4" s="216"/>
    </row>
    <row r="6" spans="1:14" x14ac:dyDescent="0.3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4" x14ac:dyDescent="0.3">
      <c r="A7" s="78"/>
      <c r="B7" s="79">
        <v>45658</v>
      </c>
      <c r="C7" s="79">
        <v>45689</v>
      </c>
      <c r="D7" s="79">
        <v>45717</v>
      </c>
      <c r="E7" s="79">
        <v>45748</v>
      </c>
      <c r="F7" s="79">
        <v>45778</v>
      </c>
      <c r="G7" s="79">
        <v>45809</v>
      </c>
      <c r="H7" s="79">
        <v>45839</v>
      </c>
      <c r="I7" s="79">
        <v>45870</v>
      </c>
      <c r="J7" s="79">
        <v>45901</v>
      </c>
      <c r="K7" s="79">
        <v>45931</v>
      </c>
      <c r="L7" s="79">
        <v>45962</v>
      </c>
      <c r="M7" s="79">
        <v>45992</v>
      </c>
    </row>
    <row r="8" spans="1:14" x14ac:dyDescent="0.3">
      <c r="A8" s="78" t="s">
        <v>110</v>
      </c>
      <c r="B8" s="42"/>
      <c r="C8" s="42">
        <f>B19</f>
        <v>0</v>
      </c>
      <c r="D8" s="42">
        <f t="shared" ref="D8:M8" si="0">C19</f>
        <v>176260</v>
      </c>
      <c r="E8" s="42">
        <f t="shared" si="0"/>
        <v>352520</v>
      </c>
      <c r="F8" s="42">
        <f t="shared" si="0"/>
        <v>0</v>
      </c>
      <c r="G8" s="42">
        <f t="shared" si="0"/>
        <v>186260</v>
      </c>
      <c r="H8" s="42">
        <f t="shared" si="0"/>
        <v>0</v>
      </c>
      <c r="I8" s="42">
        <f t="shared" si="0"/>
        <v>0</v>
      </c>
      <c r="J8" s="42">
        <f t="shared" si="0"/>
        <v>-20</v>
      </c>
      <c r="K8" s="42">
        <f>J19</f>
        <v>238960</v>
      </c>
      <c r="L8" s="42">
        <f t="shared" si="0"/>
        <v>-60</v>
      </c>
      <c r="M8" s="42">
        <f t="shared" si="0"/>
        <v>20</v>
      </c>
    </row>
    <row r="9" spans="1:14" x14ac:dyDescent="0.3">
      <c r="A9" s="78" t="s">
        <v>308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3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3">
      <c r="A11" s="78" t="s">
        <v>4</v>
      </c>
      <c r="B11" s="42">
        <v>22300</v>
      </c>
      <c r="C11" s="42">
        <v>22300</v>
      </c>
      <c r="D11" s="42">
        <v>22300</v>
      </c>
      <c r="E11" s="42">
        <v>22300</v>
      </c>
      <c r="F11" s="42">
        <v>22300</v>
      </c>
      <c r="G11" s="42">
        <v>22300</v>
      </c>
      <c r="H11" s="42">
        <v>28000</v>
      </c>
      <c r="I11" s="42">
        <v>28000</v>
      </c>
      <c r="J11" s="42">
        <v>28000</v>
      </c>
      <c r="K11" s="42">
        <v>28000</v>
      </c>
      <c r="L11" s="42">
        <v>28000</v>
      </c>
      <c r="M11" s="42">
        <v>28000</v>
      </c>
    </row>
    <row r="12" spans="1:14" x14ac:dyDescent="0.3">
      <c r="A12" s="78" t="s">
        <v>616</v>
      </c>
      <c r="B12" s="42">
        <v>10700</v>
      </c>
      <c r="C12" s="42">
        <v>14460</v>
      </c>
      <c r="D12" s="42">
        <v>14460</v>
      </c>
      <c r="E12" s="42">
        <v>14460</v>
      </c>
      <c r="F12" s="42">
        <v>14460</v>
      </c>
      <c r="G12" s="42">
        <v>14460</v>
      </c>
      <c r="H12" s="42">
        <v>14460</v>
      </c>
      <c r="I12" s="42">
        <v>16500</v>
      </c>
      <c r="J12" s="42">
        <v>16500</v>
      </c>
      <c r="K12" s="42">
        <v>16500</v>
      </c>
      <c r="L12" s="42">
        <v>16500</v>
      </c>
      <c r="M12" s="42">
        <v>16500</v>
      </c>
    </row>
    <row r="13" spans="1:14" x14ac:dyDescent="0.3">
      <c r="A13" s="78" t="s">
        <v>617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2">
        <f>200*50</f>
        <v>10000</v>
      </c>
    </row>
    <row r="14" spans="1:14" x14ac:dyDescent="0.3">
      <c r="A14" s="78" t="s">
        <v>595</v>
      </c>
      <c r="B14" s="42">
        <v>29100</v>
      </c>
      <c r="C14" s="42">
        <v>39500</v>
      </c>
      <c r="D14" s="42">
        <v>39500</v>
      </c>
      <c r="E14" s="42">
        <v>39500</v>
      </c>
      <c r="F14" s="42">
        <v>39500</v>
      </c>
      <c r="G14" s="42">
        <v>39500</v>
      </c>
      <c r="H14" s="42">
        <v>39500</v>
      </c>
      <c r="I14" s="42">
        <v>44480</v>
      </c>
      <c r="J14" s="42">
        <v>44480</v>
      </c>
      <c r="K14" s="42">
        <v>44480</v>
      </c>
      <c r="L14" s="42">
        <v>44480</v>
      </c>
      <c r="M14" s="42">
        <v>44480</v>
      </c>
    </row>
    <row r="15" spans="1:14" x14ac:dyDescent="0.3">
      <c r="A15" s="78" t="s">
        <v>75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4" x14ac:dyDescent="0.3">
      <c r="A16" s="78" t="s">
        <v>5</v>
      </c>
      <c r="B16" s="42">
        <v>100000</v>
      </c>
      <c r="C16" s="42">
        <v>100000</v>
      </c>
      <c r="D16" s="42">
        <v>100000</v>
      </c>
      <c r="E16" s="42">
        <v>100000</v>
      </c>
      <c r="F16" s="42">
        <v>110000</v>
      </c>
      <c r="G16" s="42">
        <v>110000</v>
      </c>
      <c r="H16" s="42">
        <v>110000</v>
      </c>
      <c r="I16" s="42">
        <v>130000</v>
      </c>
      <c r="J16" s="42">
        <v>150000</v>
      </c>
      <c r="K16" s="42">
        <v>150000</v>
      </c>
      <c r="L16" s="42">
        <v>150000</v>
      </c>
      <c r="M16" s="42">
        <v>150000</v>
      </c>
    </row>
    <row r="17" spans="1:13" x14ac:dyDescent="0.3">
      <c r="A17" s="78" t="s">
        <v>6</v>
      </c>
      <c r="B17" s="43">
        <f>SUM(B8:B16)</f>
        <v>162100</v>
      </c>
      <c r="C17" s="43">
        <f t="shared" ref="C17:M17" si="1">SUM(C8:C16)</f>
        <v>176260</v>
      </c>
      <c r="D17" s="43">
        <f t="shared" si="1"/>
        <v>352520</v>
      </c>
      <c r="E17" s="43">
        <f t="shared" si="1"/>
        <v>528780</v>
      </c>
      <c r="F17" s="43">
        <f t="shared" si="1"/>
        <v>186260</v>
      </c>
      <c r="G17" s="43">
        <f t="shared" si="1"/>
        <v>372520</v>
      </c>
      <c r="H17" s="43">
        <f t="shared" si="1"/>
        <v>191960</v>
      </c>
      <c r="I17" s="43">
        <f t="shared" si="1"/>
        <v>218980</v>
      </c>
      <c r="J17" s="43">
        <f t="shared" si="1"/>
        <v>238960</v>
      </c>
      <c r="K17" s="43">
        <f t="shared" si="1"/>
        <v>477940</v>
      </c>
      <c r="L17" s="43">
        <f t="shared" si="1"/>
        <v>238920</v>
      </c>
      <c r="M17" s="43">
        <f t="shared" si="1"/>
        <v>239000</v>
      </c>
    </row>
    <row r="18" spans="1:13" x14ac:dyDescent="0.3">
      <c r="A18" s="78" t="s">
        <v>7</v>
      </c>
      <c r="B18" s="44">
        <v>162100</v>
      </c>
      <c r="C18" s="44"/>
      <c r="D18" s="44"/>
      <c r="E18" s="44">
        <v>528780</v>
      </c>
      <c r="F18" s="44"/>
      <c r="G18" s="44">
        <v>372520</v>
      </c>
      <c r="H18" s="44">
        <v>191960</v>
      </c>
      <c r="I18" s="44">
        <v>219000</v>
      </c>
      <c r="J18" s="44"/>
      <c r="K18" s="44">
        <v>478000</v>
      </c>
      <c r="L18" s="44">
        <v>238900</v>
      </c>
      <c r="M18" s="44"/>
    </row>
    <row r="19" spans="1:13" x14ac:dyDescent="0.3">
      <c r="A19" s="78" t="s">
        <v>111</v>
      </c>
      <c r="B19" s="43">
        <f>B17-B18</f>
        <v>0</v>
      </c>
      <c r="C19" s="43">
        <f>C17-C18</f>
        <v>176260</v>
      </c>
      <c r="D19" s="43">
        <f t="shared" ref="D19:M19" si="2">D17-D18</f>
        <v>352520</v>
      </c>
      <c r="E19" s="43">
        <f t="shared" si="2"/>
        <v>0</v>
      </c>
      <c r="F19" s="43">
        <f t="shared" si="2"/>
        <v>186260</v>
      </c>
      <c r="G19" s="43">
        <f t="shared" si="2"/>
        <v>0</v>
      </c>
      <c r="H19" s="43">
        <f t="shared" si="2"/>
        <v>0</v>
      </c>
      <c r="I19" s="43">
        <f t="shared" si="2"/>
        <v>-20</v>
      </c>
      <c r="J19" s="43">
        <f t="shared" si="2"/>
        <v>238960</v>
      </c>
      <c r="K19" s="43">
        <f t="shared" si="2"/>
        <v>-60</v>
      </c>
      <c r="L19" s="43">
        <f t="shared" si="2"/>
        <v>20</v>
      </c>
      <c r="M19" s="43">
        <f t="shared" si="2"/>
        <v>239000</v>
      </c>
    </row>
    <row r="20" spans="1:13" x14ac:dyDescent="0.3">
      <c r="B20" s="125">
        <v>45685</v>
      </c>
    </row>
    <row r="22" spans="1:13" x14ac:dyDescent="0.3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3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3">
      <c r="A24" s="78" t="s">
        <v>110</v>
      </c>
      <c r="B24" s="42">
        <v>239000</v>
      </c>
      <c r="C24" s="42">
        <f t="shared" ref="C24:M24" si="3">B35</f>
        <v>30000</v>
      </c>
      <c r="D24" s="42">
        <f t="shared" si="3"/>
        <v>60000</v>
      </c>
      <c r="E24" s="42">
        <f t="shared" si="3"/>
        <v>0</v>
      </c>
      <c r="F24" s="42">
        <f t="shared" si="3"/>
        <v>0</v>
      </c>
      <c r="G24" s="42">
        <f t="shared" si="3"/>
        <v>258250</v>
      </c>
      <c r="H24" s="42">
        <f t="shared" si="3"/>
        <v>258250</v>
      </c>
      <c r="I24" s="42">
        <f t="shared" si="3"/>
        <v>258250</v>
      </c>
      <c r="J24" s="42">
        <f t="shared" si="3"/>
        <v>258250</v>
      </c>
      <c r="K24" s="42">
        <f t="shared" si="3"/>
        <v>258250</v>
      </c>
      <c r="L24" s="42">
        <f t="shared" si="3"/>
        <v>258250</v>
      </c>
      <c r="M24" s="42">
        <f t="shared" si="3"/>
        <v>258250</v>
      </c>
    </row>
    <row r="25" spans="1:13" x14ac:dyDescent="0.3">
      <c r="A25" s="78" t="s">
        <v>308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4</v>
      </c>
      <c r="B27" s="42">
        <v>30000</v>
      </c>
      <c r="C27" s="42">
        <v>30000</v>
      </c>
      <c r="D27" s="42">
        <v>30000</v>
      </c>
      <c r="E27" s="42">
        <v>30000</v>
      </c>
      <c r="F27" s="42">
        <v>30000</v>
      </c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657</v>
      </c>
      <c r="B28" s="42">
        <v>16500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656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561</v>
      </c>
      <c r="B30" s="42">
        <v>48250</v>
      </c>
      <c r="C30" s="42">
        <v>48250</v>
      </c>
      <c r="D30" s="42">
        <v>48250</v>
      </c>
      <c r="E30" s="42">
        <v>48250</v>
      </c>
      <c r="F30" s="42">
        <v>48250</v>
      </c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562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3">
      <c r="A32" s="78" t="s">
        <v>5</v>
      </c>
      <c r="B32" s="42">
        <v>180000</v>
      </c>
      <c r="C32" s="42">
        <v>180000</v>
      </c>
      <c r="D32" s="42">
        <v>180000</v>
      </c>
      <c r="E32" s="42">
        <v>180000</v>
      </c>
      <c r="F32" s="42">
        <v>180000</v>
      </c>
      <c r="G32" s="42"/>
      <c r="H32" s="42"/>
      <c r="I32" s="42"/>
      <c r="J32" s="42"/>
      <c r="K32" s="42"/>
      <c r="L32" s="42"/>
      <c r="M32" s="42"/>
    </row>
    <row r="33" spans="1:13" x14ac:dyDescent="0.3">
      <c r="A33" s="78" t="s">
        <v>6</v>
      </c>
      <c r="B33" s="43">
        <f t="shared" ref="B33:M33" si="4">SUM(B24:B32)</f>
        <v>513750</v>
      </c>
      <c r="C33" s="43">
        <f t="shared" si="4"/>
        <v>288250</v>
      </c>
      <c r="D33" s="43">
        <f t="shared" si="4"/>
        <v>318250</v>
      </c>
      <c r="E33" s="43">
        <f t="shared" si="4"/>
        <v>258250</v>
      </c>
      <c r="F33" s="43">
        <f t="shared" si="4"/>
        <v>258250</v>
      </c>
      <c r="G33" s="43">
        <f t="shared" si="4"/>
        <v>258250</v>
      </c>
      <c r="H33" s="43">
        <f t="shared" si="4"/>
        <v>258250</v>
      </c>
      <c r="I33" s="43">
        <f t="shared" si="4"/>
        <v>258250</v>
      </c>
      <c r="J33" s="43">
        <f t="shared" si="4"/>
        <v>258250</v>
      </c>
      <c r="K33" s="43">
        <f t="shared" si="4"/>
        <v>258250</v>
      </c>
      <c r="L33" s="43">
        <f t="shared" si="4"/>
        <v>258250</v>
      </c>
      <c r="M33" s="43">
        <f t="shared" si="4"/>
        <v>258250</v>
      </c>
    </row>
    <row r="34" spans="1:13" ht="21" thickBot="1" x14ac:dyDescent="0.35">
      <c r="A34" s="78" t="s">
        <v>7</v>
      </c>
      <c r="B34" s="44">
        <v>483750</v>
      </c>
      <c r="C34" s="44">
        <v>228250</v>
      </c>
      <c r="D34" s="44">
        <v>318250</v>
      </c>
      <c r="E34" s="44">
        <v>258250</v>
      </c>
      <c r="F34" s="44"/>
      <c r="G34" s="44"/>
      <c r="H34" s="44"/>
      <c r="I34" s="44"/>
      <c r="J34" s="44"/>
      <c r="K34" s="44"/>
      <c r="L34" s="44"/>
      <c r="M34" s="44"/>
    </row>
    <row r="35" spans="1:13" ht="21" thickBot="1" x14ac:dyDescent="0.35">
      <c r="A35" s="78" t="s">
        <v>111</v>
      </c>
      <c r="B35" s="45">
        <f t="shared" ref="B35:M35" si="5">B33-B34</f>
        <v>30000</v>
      </c>
      <c r="C35" s="46">
        <f t="shared" si="5"/>
        <v>60000</v>
      </c>
      <c r="D35" s="46">
        <f t="shared" si="5"/>
        <v>0</v>
      </c>
      <c r="E35" s="46">
        <f t="shared" si="5"/>
        <v>0</v>
      </c>
      <c r="F35" s="46">
        <f t="shared" si="5"/>
        <v>258250</v>
      </c>
      <c r="G35" s="46">
        <f t="shared" si="5"/>
        <v>258250</v>
      </c>
      <c r="H35" s="46">
        <f t="shared" si="5"/>
        <v>258250</v>
      </c>
      <c r="I35" s="46">
        <f t="shared" si="5"/>
        <v>258250</v>
      </c>
      <c r="J35" s="46">
        <f t="shared" si="5"/>
        <v>258250</v>
      </c>
      <c r="K35" s="46">
        <f t="shared" si="5"/>
        <v>258250</v>
      </c>
      <c r="L35" s="46">
        <f t="shared" si="5"/>
        <v>258250</v>
      </c>
      <c r="M35" s="47">
        <f t="shared" si="5"/>
        <v>258250</v>
      </c>
    </row>
    <row r="36" spans="1:13" x14ac:dyDescent="0.3">
      <c r="B36" s="125">
        <v>45320</v>
      </c>
    </row>
  </sheetData>
  <mergeCells count="2">
    <mergeCell ref="B2:G2"/>
    <mergeCell ref="B4:G4"/>
  </mergeCells>
  <phoneticPr fontId="4" type="noConversion"/>
  <pageMargins left="0.75" right="0.75" top="1" bottom="1" header="0" footer="0"/>
  <pageSetup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3"/>
  <dimension ref="A4:M38"/>
  <sheetViews>
    <sheetView workbookViewId="0">
      <selection activeCell="F17" sqref="F17"/>
    </sheetView>
  </sheetViews>
  <sheetFormatPr baseColWidth="10" defaultRowHeight="12.75" x14ac:dyDescent="0.2"/>
  <cols>
    <col min="1" max="1" width="25.7109375" customWidth="1"/>
  </cols>
  <sheetData>
    <row r="4" spans="1:13" ht="20.25" x14ac:dyDescent="0.3">
      <c r="A4" s="11" t="s">
        <v>11</v>
      </c>
      <c r="B4" s="216" t="s">
        <v>383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x14ac:dyDescent="0.2">
      <c r="A7" s="78"/>
      <c r="B7" s="79">
        <v>46023</v>
      </c>
      <c r="C7" s="79">
        <v>46054</v>
      </c>
      <c r="D7" s="79">
        <v>46082</v>
      </c>
      <c r="E7" s="79">
        <v>46113</v>
      </c>
      <c r="F7" s="79">
        <v>46143</v>
      </c>
      <c r="G7" s="79">
        <v>46174</v>
      </c>
      <c r="H7" s="79">
        <v>46204</v>
      </c>
      <c r="I7" s="79">
        <v>46235</v>
      </c>
      <c r="J7" s="79">
        <v>46266</v>
      </c>
      <c r="K7" s="79">
        <v>46296</v>
      </c>
      <c r="L7" s="79">
        <v>46327</v>
      </c>
      <c r="M7" s="79">
        <v>46357</v>
      </c>
    </row>
    <row r="8" spans="1:13" x14ac:dyDescent="0.2">
      <c r="A8" s="78" t="s">
        <v>110</v>
      </c>
      <c r="B8" s="42"/>
      <c r="C8" s="42">
        <f>B19</f>
        <v>40000</v>
      </c>
      <c r="D8" s="42">
        <f>C19</f>
        <v>0</v>
      </c>
      <c r="E8" s="42">
        <f t="shared" ref="E8:M8" si="0">D19</f>
        <v>40000</v>
      </c>
      <c r="F8" s="42">
        <f t="shared" si="0"/>
        <v>0</v>
      </c>
      <c r="G8" s="42">
        <f t="shared" si="0"/>
        <v>40000</v>
      </c>
      <c r="H8" s="42">
        <f t="shared" si="0"/>
        <v>40000</v>
      </c>
      <c r="I8" s="42">
        <f t="shared" si="0"/>
        <v>40000</v>
      </c>
      <c r="J8" s="42">
        <f t="shared" si="0"/>
        <v>40000</v>
      </c>
      <c r="K8" s="42">
        <f>J19</f>
        <v>40000</v>
      </c>
      <c r="L8" s="42">
        <f t="shared" si="0"/>
        <v>40000</v>
      </c>
      <c r="M8" s="42">
        <f t="shared" si="0"/>
        <v>40000</v>
      </c>
    </row>
    <row r="9" spans="1:13" x14ac:dyDescent="0.2">
      <c r="A9" s="78" t="s">
        <v>209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360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296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228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227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40000</v>
      </c>
      <c r="C16" s="42">
        <v>40000</v>
      </c>
      <c r="D16" s="42">
        <v>40000</v>
      </c>
      <c r="E16" s="42">
        <v>40000</v>
      </c>
      <c r="F16" s="42">
        <v>40000</v>
      </c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6</v>
      </c>
      <c r="B17" s="43">
        <f>SUM(B8:B16)</f>
        <v>40000</v>
      </c>
      <c r="C17" s="43">
        <f t="shared" ref="C17:M17" si="1">SUM(C8:C16)</f>
        <v>80000</v>
      </c>
      <c r="D17" s="43">
        <f t="shared" si="1"/>
        <v>40000</v>
      </c>
      <c r="E17" s="43">
        <f t="shared" si="1"/>
        <v>80000</v>
      </c>
      <c r="F17" s="43">
        <f t="shared" si="1"/>
        <v>40000</v>
      </c>
      <c r="G17" s="43">
        <f t="shared" si="1"/>
        <v>40000</v>
      </c>
      <c r="H17" s="43">
        <f t="shared" si="1"/>
        <v>40000</v>
      </c>
      <c r="I17" s="43">
        <f t="shared" si="1"/>
        <v>40000</v>
      </c>
      <c r="J17" s="43">
        <f t="shared" si="1"/>
        <v>40000</v>
      </c>
      <c r="K17" s="43">
        <f t="shared" si="1"/>
        <v>40000</v>
      </c>
      <c r="L17" s="43">
        <f t="shared" si="1"/>
        <v>40000</v>
      </c>
      <c r="M17" s="43">
        <f t="shared" si="1"/>
        <v>40000</v>
      </c>
    </row>
    <row r="18" spans="1:13" x14ac:dyDescent="0.2">
      <c r="A18" s="78" t="s">
        <v>7</v>
      </c>
      <c r="B18" s="44"/>
      <c r="C18" s="44">
        <v>80000</v>
      </c>
      <c r="D18" s="44"/>
      <c r="E18" s="44">
        <v>80000</v>
      </c>
      <c r="F18" s="44"/>
      <c r="G18" s="44"/>
      <c r="H18" s="44"/>
      <c r="I18" s="44"/>
      <c r="J18" s="44"/>
      <c r="K18" s="44"/>
      <c r="L18" s="44"/>
      <c r="M18" s="44"/>
    </row>
    <row r="19" spans="1:13" x14ac:dyDescent="0.2">
      <c r="A19" s="78" t="s">
        <v>111</v>
      </c>
      <c r="B19" s="43">
        <f>B17-B18</f>
        <v>40000</v>
      </c>
      <c r="C19" s="43">
        <f>C17-C18</f>
        <v>0</v>
      </c>
      <c r="D19" s="43">
        <f t="shared" ref="D19:M19" si="2">D17-D18</f>
        <v>40000</v>
      </c>
      <c r="E19" s="43">
        <f t="shared" si="2"/>
        <v>0</v>
      </c>
      <c r="F19" s="43">
        <f t="shared" si="2"/>
        <v>40000</v>
      </c>
      <c r="G19" s="43">
        <f t="shared" si="2"/>
        <v>40000</v>
      </c>
      <c r="H19" s="43">
        <f t="shared" si="2"/>
        <v>40000</v>
      </c>
      <c r="I19" s="43">
        <f t="shared" si="2"/>
        <v>40000</v>
      </c>
      <c r="J19" s="43">
        <f t="shared" si="2"/>
        <v>40000</v>
      </c>
      <c r="K19" s="43">
        <f t="shared" si="2"/>
        <v>40000</v>
      </c>
      <c r="L19" s="43">
        <f t="shared" si="2"/>
        <v>40000</v>
      </c>
      <c r="M19" s="43">
        <f t="shared" si="2"/>
        <v>40000</v>
      </c>
    </row>
    <row r="25" spans="1:13" x14ac:dyDescent="0.2">
      <c r="A25" s="50" t="s">
        <v>0</v>
      </c>
      <c r="B25" s="50" t="s">
        <v>1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</row>
    <row r="26" spans="1:13" x14ac:dyDescent="0.2">
      <c r="A26" s="78"/>
      <c r="B26" s="79">
        <v>45658</v>
      </c>
      <c r="C26" s="79">
        <v>45689</v>
      </c>
      <c r="D26" s="79">
        <v>45717</v>
      </c>
      <c r="E26" s="79">
        <v>45748</v>
      </c>
      <c r="F26" s="79">
        <v>45778</v>
      </c>
      <c r="G26" s="79">
        <v>45809</v>
      </c>
      <c r="H26" s="79">
        <v>45839</v>
      </c>
      <c r="I26" s="79">
        <v>45870</v>
      </c>
      <c r="J26" s="79">
        <v>45901</v>
      </c>
      <c r="K26" s="79">
        <v>45931</v>
      </c>
      <c r="L26" s="79">
        <v>45962</v>
      </c>
      <c r="M26" s="79">
        <v>45992</v>
      </c>
    </row>
    <row r="27" spans="1:13" x14ac:dyDescent="0.2">
      <c r="A27" s="78" t="s">
        <v>110</v>
      </c>
      <c r="B27" s="42"/>
      <c r="C27" s="42">
        <f t="shared" ref="C27:M27" si="3">B38</f>
        <v>0</v>
      </c>
      <c r="D27" s="42">
        <f t="shared" si="3"/>
        <v>30000</v>
      </c>
      <c r="E27" s="42">
        <f t="shared" si="3"/>
        <v>0</v>
      </c>
      <c r="F27" s="42">
        <f t="shared" si="3"/>
        <v>0</v>
      </c>
      <c r="G27" s="42">
        <f t="shared" si="3"/>
        <v>0</v>
      </c>
      <c r="H27" s="42">
        <f t="shared" si="3"/>
        <v>0</v>
      </c>
      <c r="I27" s="42">
        <f t="shared" si="3"/>
        <v>0</v>
      </c>
      <c r="J27" s="42">
        <f t="shared" si="3"/>
        <v>0</v>
      </c>
      <c r="K27" s="42">
        <f t="shared" si="3"/>
        <v>30000</v>
      </c>
      <c r="L27" s="42">
        <f t="shared" si="3"/>
        <v>0</v>
      </c>
      <c r="M27" s="42">
        <f t="shared" si="3"/>
        <v>30000</v>
      </c>
    </row>
    <row r="28" spans="1:13" x14ac:dyDescent="0.2">
      <c r="A28" s="78" t="s">
        <v>209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327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360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296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228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227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5</v>
      </c>
      <c r="B35" s="42">
        <v>30000</v>
      </c>
      <c r="C35" s="42">
        <v>30000</v>
      </c>
      <c r="D35" s="42">
        <v>30000</v>
      </c>
      <c r="E35" s="42">
        <v>30000</v>
      </c>
      <c r="F35" s="42">
        <v>30000</v>
      </c>
      <c r="G35" s="42">
        <v>30000</v>
      </c>
      <c r="H35" s="42">
        <v>30000</v>
      </c>
      <c r="I35" s="42">
        <v>30000</v>
      </c>
      <c r="J35" s="42">
        <v>30000</v>
      </c>
      <c r="K35" s="42">
        <v>30000</v>
      </c>
      <c r="L35" s="42">
        <v>30000</v>
      </c>
      <c r="M35" s="42">
        <v>30000</v>
      </c>
    </row>
    <row r="36" spans="1:13" x14ac:dyDescent="0.2">
      <c r="A36" s="78" t="s">
        <v>6</v>
      </c>
      <c r="B36" s="43">
        <f t="shared" ref="B36:M36" si="4">SUM(B27:B35)</f>
        <v>30000</v>
      </c>
      <c r="C36" s="43">
        <f t="shared" si="4"/>
        <v>30000</v>
      </c>
      <c r="D36" s="43">
        <f t="shared" si="4"/>
        <v>60000</v>
      </c>
      <c r="E36" s="43">
        <f t="shared" si="4"/>
        <v>30000</v>
      </c>
      <c r="F36" s="43">
        <f t="shared" si="4"/>
        <v>30000</v>
      </c>
      <c r="G36" s="43">
        <f t="shared" si="4"/>
        <v>30000</v>
      </c>
      <c r="H36" s="43">
        <f t="shared" si="4"/>
        <v>30000</v>
      </c>
      <c r="I36" s="43">
        <f t="shared" si="4"/>
        <v>30000</v>
      </c>
      <c r="J36" s="43">
        <f t="shared" si="4"/>
        <v>30000</v>
      </c>
      <c r="K36" s="43">
        <f t="shared" si="4"/>
        <v>60000</v>
      </c>
      <c r="L36" s="43">
        <f t="shared" si="4"/>
        <v>30000</v>
      </c>
      <c r="M36" s="43">
        <f t="shared" si="4"/>
        <v>60000</v>
      </c>
    </row>
    <row r="37" spans="1:13" x14ac:dyDescent="0.2">
      <c r="A37" s="78" t="s">
        <v>7</v>
      </c>
      <c r="B37" s="44">
        <v>30000</v>
      </c>
      <c r="C37" s="44"/>
      <c r="D37" s="44">
        <v>60000</v>
      </c>
      <c r="E37" s="44">
        <v>30000</v>
      </c>
      <c r="F37" s="44">
        <v>30000</v>
      </c>
      <c r="G37" s="44">
        <v>30000</v>
      </c>
      <c r="H37" s="44">
        <v>30000</v>
      </c>
      <c r="I37" s="44">
        <v>30000</v>
      </c>
      <c r="J37" s="44"/>
      <c r="K37" s="44">
        <v>60000</v>
      </c>
      <c r="L37" s="44"/>
      <c r="M37" s="44">
        <v>60000</v>
      </c>
    </row>
    <row r="38" spans="1:13" x14ac:dyDescent="0.2">
      <c r="A38" s="78" t="s">
        <v>111</v>
      </c>
      <c r="B38" s="43">
        <f>B36-B37</f>
        <v>0</v>
      </c>
      <c r="C38" s="43">
        <f>C36-C37</f>
        <v>30000</v>
      </c>
      <c r="D38" s="43">
        <f t="shared" ref="D38:M38" si="5">D36-D37</f>
        <v>0</v>
      </c>
      <c r="E38" s="43">
        <f t="shared" si="5"/>
        <v>0</v>
      </c>
      <c r="F38" s="43">
        <f t="shared" si="5"/>
        <v>0</v>
      </c>
      <c r="G38" s="43">
        <f t="shared" si="5"/>
        <v>0</v>
      </c>
      <c r="H38" s="43">
        <f t="shared" si="5"/>
        <v>0</v>
      </c>
      <c r="I38" s="43">
        <f t="shared" si="5"/>
        <v>0</v>
      </c>
      <c r="J38" s="43">
        <f t="shared" si="5"/>
        <v>30000</v>
      </c>
      <c r="K38" s="43">
        <f t="shared" si="5"/>
        <v>0</v>
      </c>
      <c r="L38" s="43">
        <f t="shared" si="5"/>
        <v>30000</v>
      </c>
      <c r="M38" s="43">
        <f t="shared" si="5"/>
        <v>0</v>
      </c>
    </row>
  </sheetData>
  <mergeCells count="1">
    <mergeCell ref="B4:G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4"/>
  <dimension ref="A4:M42"/>
  <sheetViews>
    <sheetView showGridLines="0" topLeftCell="A22" workbookViewId="0">
      <selection activeCell="F38" sqref="F38"/>
    </sheetView>
  </sheetViews>
  <sheetFormatPr baseColWidth="10" defaultRowHeight="12.75" x14ac:dyDescent="0.2"/>
  <cols>
    <col min="1" max="1" width="28" customWidth="1"/>
    <col min="2" max="2" width="12.42578125" customWidth="1"/>
    <col min="3" max="3" width="12.140625" customWidth="1"/>
    <col min="4" max="4" width="12.7109375" customWidth="1"/>
    <col min="5" max="6" width="12.5703125" customWidth="1"/>
    <col min="7" max="7" width="15" bestFit="1" customWidth="1"/>
    <col min="8" max="8" width="12.5703125" customWidth="1"/>
    <col min="9" max="10" width="12.85546875" customWidth="1"/>
    <col min="11" max="11" width="12.42578125" customWidth="1"/>
    <col min="12" max="12" width="13.85546875" customWidth="1"/>
    <col min="13" max="13" width="12.85546875" customWidth="1"/>
  </cols>
  <sheetData>
    <row r="4" spans="1:13" ht="20.25" x14ac:dyDescent="0.3">
      <c r="A4" s="11" t="s">
        <v>11</v>
      </c>
      <c r="B4" s="216" t="s">
        <v>132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60">
        <f>135500*7.5%</f>
        <v>10162.5</v>
      </c>
      <c r="H5" s="2"/>
      <c r="I5" s="2"/>
      <c r="J5" s="2"/>
      <c r="K5" s="2"/>
      <c r="L5" s="2"/>
      <c r="M5" s="2"/>
    </row>
    <row r="6" spans="1:13" x14ac:dyDescent="0.2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x14ac:dyDescent="0.2">
      <c r="A7" s="78"/>
      <c r="B7" s="79">
        <v>45658</v>
      </c>
      <c r="C7" s="79">
        <v>45689</v>
      </c>
      <c r="D7" s="79">
        <v>45717</v>
      </c>
      <c r="E7" s="79">
        <v>45748</v>
      </c>
      <c r="F7" s="79">
        <v>45778</v>
      </c>
      <c r="G7" s="79">
        <v>45809</v>
      </c>
      <c r="H7" s="79">
        <v>45839</v>
      </c>
      <c r="I7" s="79">
        <v>45870</v>
      </c>
      <c r="J7" s="79">
        <v>45901</v>
      </c>
      <c r="K7" s="79">
        <v>45931</v>
      </c>
      <c r="L7" s="79">
        <v>45962</v>
      </c>
      <c r="M7" s="79">
        <v>45992</v>
      </c>
    </row>
    <row r="8" spans="1:13" x14ac:dyDescent="0.2">
      <c r="A8" s="60" t="s">
        <v>110</v>
      </c>
      <c r="B8" s="94"/>
      <c r="C8" s="94">
        <f>B19</f>
        <v>300</v>
      </c>
      <c r="D8" s="94">
        <f t="shared" ref="D8:M8" si="0">C19</f>
        <v>0</v>
      </c>
      <c r="E8" s="94">
        <f t="shared" si="0"/>
        <v>30</v>
      </c>
      <c r="F8" s="94">
        <f t="shared" si="0"/>
        <v>-24814</v>
      </c>
      <c r="G8" s="94">
        <f t="shared" si="0"/>
        <v>400</v>
      </c>
      <c r="H8" s="94">
        <f t="shared" si="0"/>
        <v>0</v>
      </c>
      <c r="I8" s="94">
        <f t="shared" si="0"/>
        <v>0</v>
      </c>
      <c r="J8" s="94">
        <f t="shared" si="0"/>
        <v>70</v>
      </c>
      <c r="K8" s="94">
        <f>J19</f>
        <v>210</v>
      </c>
      <c r="L8" s="94">
        <f t="shared" si="0"/>
        <v>0</v>
      </c>
      <c r="M8" s="94">
        <f t="shared" si="0"/>
        <v>0</v>
      </c>
    </row>
    <row r="9" spans="1:13" x14ac:dyDescent="0.2">
      <c r="A9" s="60" t="s">
        <v>641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</row>
    <row r="10" spans="1:13" x14ac:dyDescent="0.2">
      <c r="A10" s="60" t="s">
        <v>3</v>
      </c>
      <c r="B10" s="94">
        <v>2315</v>
      </c>
      <c r="C10" s="94"/>
      <c r="D10" s="94">
        <v>4630</v>
      </c>
      <c r="E10" s="94">
        <v>4830</v>
      </c>
      <c r="F10" s="94">
        <v>4830</v>
      </c>
      <c r="G10" s="94"/>
      <c r="H10" s="94">
        <v>4700</v>
      </c>
      <c r="I10" s="94"/>
      <c r="J10" s="94"/>
      <c r="K10" s="94"/>
      <c r="L10" s="94"/>
      <c r="M10" s="94"/>
    </row>
    <row r="11" spans="1:13" x14ac:dyDescent="0.2">
      <c r="A11" s="60" t="s">
        <v>327</v>
      </c>
      <c r="B11" s="94">
        <v>546000</v>
      </c>
      <c r="C11" s="94">
        <v>546000</v>
      </c>
      <c r="D11" s="94">
        <v>548000</v>
      </c>
      <c r="E11" s="94">
        <v>548000</v>
      </c>
      <c r="F11" s="94">
        <v>630684</v>
      </c>
      <c r="G11" s="94">
        <v>1024500</v>
      </c>
      <c r="H11" s="94">
        <v>663800</v>
      </c>
      <c r="I11" s="94">
        <v>667000</v>
      </c>
      <c r="J11" s="94">
        <v>674000</v>
      </c>
      <c r="K11" s="94">
        <v>680590</v>
      </c>
      <c r="L11" s="94">
        <v>687840</v>
      </c>
      <c r="M11" s="94">
        <v>700000</v>
      </c>
    </row>
    <row r="12" spans="1:13" x14ac:dyDescent="0.2">
      <c r="A12" s="60" t="s">
        <v>360</v>
      </c>
      <c r="B12" s="94"/>
      <c r="C12" s="94"/>
      <c r="D12" s="94"/>
      <c r="E12" s="94">
        <v>21456</v>
      </c>
      <c r="F12" s="94"/>
      <c r="G12" s="94"/>
      <c r="H12" s="94"/>
      <c r="I12" s="94"/>
      <c r="J12" s="94"/>
      <c r="K12" s="94"/>
      <c r="L12" s="94"/>
      <c r="M12" s="94"/>
    </row>
    <row r="13" spans="1:13" x14ac:dyDescent="0.2">
      <c r="A13" s="60" t="s">
        <v>209</v>
      </c>
      <c r="B13" s="94">
        <v>17800</v>
      </c>
      <c r="C13" s="94">
        <v>28700</v>
      </c>
      <c r="D13" s="94">
        <v>29600</v>
      </c>
      <c r="E13" s="94">
        <v>29700</v>
      </c>
      <c r="F13" s="94">
        <v>29700</v>
      </c>
      <c r="G13" s="94">
        <v>29700</v>
      </c>
      <c r="H13" s="94">
        <v>29700</v>
      </c>
      <c r="I13" s="94">
        <v>33200</v>
      </c>
      <c r="J13" s="94">
        <v>33200</v>
      </c>
      <c r="K13" s="94">
        <v>33200</v>
      </c>
      <c r="L13" s="94">
        <v>33300</v>
      </c>
      <c r="M13" s="94">
        <v>33500</v>
      </c>
    </row>
    <row r="14" spans="1:13" x14ac:dyDescent="0.2">
      <c r="A14" s="60" t="s">
        <v>228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</row>
    <row r="15" spans="1:13" x14ac:dyDescent="0.2">
      <c r="A15" s="60" t="s">
        <v>227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</row>
    <row r="16" spans="1:13" x14ac:dyDescent="0.2">
      <c r="A16" s="60" t="s">
        <v>5</v>
      </c>
      <c r="B16" s="94">
        <v>26300</v>
      </c>
      <c r="C16" s="94">
        <v>27000</v>
      </c>
      <c r="D16" s="94">
        <v>30000</v>
      </c>
      <c r="E16" s="94">
        <v>30000</v>
      </c>
      <c r="F16" s="94">
        <v>35000</v>
      </c>
      <c r="G16" s="94">
        <v>35000</v>
      </c>
      <c r="H16" s="94">
        <v>35000</v>
      </c>
      <c r="I16" s="94">
        <v>40000</v>
      </c>
      <c r="J16" s="94">
        <v>40000</v>
      </c>
      <c r="K16" s="94">
        <v>40000</v>
      </c>
      <c r="L16" s="94">
        <v>40000</v>
      </c>
      <c r="M16" s="94">
        <v>45000</v>
      </c>
    </row>
    <row r="17" spans="1:13" x14ac:dyDescent="0.2">
      <c r="A17" s="60" t="s">
        <v>6</v>
      </c>
      <c r="B17" s="95">
        <f>SUM(B8:B16)</f>
        <v>592415</v>
      </c>
      <c r="C17" s="95">
        <f t="shared" ref="C17:M17" si="1">SUM(C8:C16)</f>
        <v>602000</v>
      </c>
      <c r="D17" s="95">
        <f t="shared" si="1"/>
        <v>612230</v>
      </c>
      <c r="E17" s="95">
        <f t="shared" si="1"/>
        <v>634016</v>
      </c>
      <c r="F17" s="95">
        <f t="shared" si="1"/>
        <v>675400</v>
      </c>
      <c r="G17" s="95">
        <f t="shared" si="1"/>
        <v>1089600</v>
      </c>
      <c r="H17" s="95">
        <f t="shared" si="1"/>
        <v>733200</v>
      </c>
      <c r="I17" s="95">
        <f t="shared" si="1"/>
        <v>740200</v>
      </c>
      <c r="J17" s="95">
        <f t="shared" si="1"/>
        <v>747270</v>
      </c>
      <c r="K17" s="95">
        <f t="shared" si="1"/>
        <v>754000</v>
      </c>
      <c r="L17" s="95">
        <f t="shared" si="1"/>
        <v>761140</v>
      </c>
      <c r="M17" s="95">
        <f t="shared" si="1"/>
        <v>778500</v>
      </c>
    </row>
    <row r="18" spans="1:13" x14ac:dyDescent="0.2">
      <c r="A18" s="60" t="s">
        <v>7</v>
      </c>
      <c r="B18" s="96">
        <v>592115</v>
      </c>
      <c r="C18" s="96">
        <v>602000</v>
      </c>
      <c r="D18" s="96">
        <v>612200</v>
      </c>
      <c r="E18" s="96">
        <f>612200+11630+35000</f>
        <v>658830</v>
      </c>
      <c r="F18" s="96">
        <f>635000+40000</f>
        <v>675000</v>
      </c>
      <c r="G18" s="96">
        <f>675000+11400+40000+363200</f>
        <v>1089600</v>
      </c>
      <c r="H18" s="96">
        <f>693200+40000</f>
        <v>733200</v>
      </c>
      <c r="I18" s="96">
        <f>693200+6930+40000</f>
        <v>740130</v>
      </c>
      <c r="J18" s="96">
        <f>707060+40000</f>
        <v>747060</v>
      </c>
      <c r="K18" s="96">
        <f>707000+7000+40000</f>
        <v>754000</v>
      </c>
      <c r="L18" s="96">
        <f>714000+7140+40000</f>
        <v>761140</v>
      </c>
      <c r="M18" s="96">
        <f>728350+20000+30000</f>
        <v>778350</v>
      </c>
    </row>
    <row r="19" spans="1:13" x14ac:dyDescent="0.2">
      <c r="A19" s="60" t="s">
        <v>111</v>
      </c>
      <c r="B19" s="95">
        <f>B17-B18</f>
        <v>300</v>
      </c>
      <c r="C19" s="95">
        <f>C17-C18</f>
        <v>0</v>
      </c>
      <c r="D19" s="95">
        <f t="shared" ref="D19:M19" si="2">D17-D18</f>
        <v>30</v>
      </c>
      <c r="E19" s="95">
        <f t="shared" si="2"/>
        <v>-24814</v>
      </c>
      <c r="F19" s="95">
        <f t="shared" si="2"/>
        <v>400</v>
      </c>
      <c r="G19" s="95">
        <f t="shared" si="2"/>
        <v>0</v>
      </c>
      <c r="H19" s="95">
        <f t="shared" si="2"/>
        <v>0</v>
      </c>
      <c r="I19" s="95">
        <f t="shared" si="2"/>
        <v>70</v>
      </c>
      <c r="J19" s="95">
        <f t="shared" si="2"/>
        <v>210</v>
      </c>
      <c r="K19" s="95">
        <f t="shared" si="2"/>
        <v>0</v>
      </c>
      <c r="L19" s="95">
        <f t="shared" si="2"/>
        <v>0</v>
      </c>
      <c r="M19" s="95">
        <f t="shared" si="2"/>
        <v>150</v>
      </c>
    </row>
    <row r="20" spans="1:13" x14ac:dyDescent="0.2">
      <c r="L20" s="106"/>
    </row>
    <row r="21" spans="1:13" x14ac:dyDescent="0.2">
      <c r="A21" t="s">
        <v>507</v>
      </c>
      <c r="B21" s="205">
        <f>350000+350000</f>
        <v>700000</v>
      </c>
      <c r="C21" s="205">
        <f>350000+370000</f>
        <v>720000</v>
      </c>
      <c r="D21" s="205">
        <f>370000+380000</f>
        <v>750000</v>
      </c>
      <c r="E21" s="205">
        <f>380000+380000+13700+35000</f>
        <v>808700</v>
      </c>
      <c r="F21" s="205">
        <f>380000+393700+13300+40000</f>
        <v>827000</v>
      </c>
      <c r="G21" s="205">
        <f>400000+415000+450000+40000</f>
        <v>1305000</v>
      </c>
      <c r="H21" s="205">
        <f>430000+393000+40000</f>
        <v>863000</v>
      </c>
      <c r="I21" s="212">
        <f>430000+402000+40000</f>
        <v>872000</v>
      </c>
      <c r="J21" s="205">
        <f>440000+8000+40000+392000</f>
        <v>880000</v>
      </c>
      <c r="K21" s="205">
        <f>450000+8800+40000+401200</f>
        <v>900000</v>
      </c>
      <c r="L21" s="205">
        <f>450000+450000</f>
        <v>900000</v>
      </c>
      <c r="M21" s="205">
        <f>450000+450000</f>
        <v>900000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176" t="s">
        <v>634</v>
      </c>
      <c r="I22" s="178"/>
      <c r="J22" s="63" t="s">
        <v>646</v>
      </c>
      <c r="K22" s="33"/>
      <c r="L22" s="33"/>
      <c r="M22" s="33"/>
    </row>
    <row r="23" spans="1:13" x14ac:dyDescent="0.2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2">
      <c r="A24" s="78" t="s">
        <v>110</v>
      </c>
      <c r="B24" s="42"/>
      <c r="C24" s="42">
        <f t="shared" ref="C24:M24" si="3">B35</f>
        <v>750</v>
      </c>
      <c r="D24" s="42">
        <f t="shared" si="3"/>
        <v>4900</v>
      </c>
      <c r="E24" s="42">
        <f t="shared" si="3"/>
        <v>9050</v>
      </c>
      <c r="F24" s="42">
        <f t="shared" si="3"/>
        <v>-50</v>
      </c>
      <c r="G24" s="42">
        <f t="shared" si="3"/>
        <v>3675</v>
      </c>
      <c r="H24" s="42">
        <f t="shared" si="3"/>
        <v>3675</v>
      </c>
      <c r="I24" s="42">
        <f t="shared" si="3"/>
        <v>3675</v>
      </c>
      <c r="J24" s="42">
        <f t="shared" si="3"/>
        <v>3675</v>
      </c>
      <c r="K24" s="42">
        <f t="shared" si="3"/>
        <v>3675</v>
      </c>
      <c r="L24" s="42">
        <f t="shared" si="3"/>
        <v>3675</v>
      </c>
      <c r="M24" s="42">
        <f t="shared" si="3"/>
        <v>3675</v>
      </c>
    </row>
    <row r="25" spans="1:13" x14ac:dyDescent="0.2">
      <c r="A25" s="78" t="s">
        <v>2</v>
      </c>
      <c r="B25" s="42"/>
      <c r="C25" s="42"/>
      <c r="D25" s="42"/>
      <c r="E25" s="42">
        <v>-9050</v>
      </c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>
        <v>33300</v>
      </c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327</v>
      </c>
      <c r="B27" s="42">
        <v>700000</v>
      </c>
      <c r="C27" s="42">
        <v>700000</v>
      </c>
      <c r="D27" s="42">
        <v>700000</v>
      </c>
      <c r="E27" s="42">
        <v>682000</v>
      </c>
      <c r="F27" s="42">
        <v>730000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228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241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489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117"/>
      <c r="M30" s="42"/>
    </row>
    <row r="31" spans="1:13" x14ac:dyDescent="0.2">
      <c r="A31" s="78" t="s">
        <v>345</v>
      </c>
      <c r="B31" s="42">
        <v>34100</v>
      </c>
      <c r="C31" s="42">
        <v>37500</v>
      </c>
      <c r="D31" s="42">
        <v>37500</v>
      </c>
      <c r="E31" s="42">
        <v>37500</v>
      </c>
      <c r="F31" s="42">
        <v>37500</v>
      </c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45000</v>
      </c>
      <c r="C32" s="42">
        <v>45000</v>
      </c>
      <c r="D32" s="42">
        <v>45000</v>
      </c>
      <c r="E32" s="42">
        <v>50000</v>
      </c>
      <c r="F32" s="42">
        <v>50000</v>
      </c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 t="shared" ref="B33:M33" si="4">SUM(B24:B32)</f>
        <v>779100</v>
      </c>
      <c r="C33" s="43">
        <f t="shared" si="4"/>
        <v>783250</v>
      </c>
      <c r="D33" s="43">
        <f t="shared" si="4"/>
        <v>787400</v>
      </c>
      <c r="E33" s="43">
        <f t="shared" si="4"/>
        <v>802800</v>
      </c>
      <c r="F33" s="43">
        <f t="shared" si="4"/>
        <v>817450</v>
      </c>
      <c r="G33" s="43">
        <f t="shared" si="4"/>
        <v>3675</v>
      </c>
      <c r="H33" s="43">
        <f t="shared" si="4"/>
        <v>3675</v>
      </c>
      <c r="I33" s="43">
        <f t="shared" si="4"/>
        <v>3675</v>
      </c>
      <c r="J33" s="43">
        <f t="shared" si="4"/>
        <v>3675</v>
      </c>
      <c r="K33" s="43">
        <f t="shared" si="4"/>
        <v>3675</v>
      </c>
      <c r="L33" s="43">
        <f t="shared" si="4"/>
        <v>3675</v>
      </c>
      <c r="M33" s="43">
        <f t="shared" si="4"/>
        <v>3675</v>
      </c>
    </row>
    <row r="34" spans="1:13" ht="13.5" thickBot="1" x14ac:dyDescent="0.25">
      <c r="A34" s="78" t="s">
        <v>7</v>
      </c>
      <c r="B34" s="44">
        <v>778350</v>
      </c>
      <c r="C34" s="44">
        <v>778350</v>
      </c>
      <c r="D34" s="44">
        <f>728350+50000</f>
        <v>778350</v>
      </c>
      <c r="E34" s="44">
        <f>728350+14500+60000</f>
        <v>802850</v>
      </c>
      <c r="F34" s="44">
        <f>728350+14500+10925+60000</f>
        <v>813775</v>
      </c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>B33-B34</f>
        <v>750</v>
      </c>
      <c r="C35" s="46">
        <f t="shared" ref="C35:M35" si="5">C33-C34</f>
        <v>4900</v>
      </c>
      <c r="D35" s="46">
        <f t="shared" si="5"/>
        <v>9050</v>
      </c>
      <c r="E35" s="46">
        <f t="shared" si="5"/>
        <v>-50</v>
      </c>
      <c r="F35" s="46">
        <f t="shared" si="5"/>
        <v>3675</v>
      </c>
      <c r="G35" s="46">
        <f>G33-G34</f>
        <v>3675</v>
      </c>
      <c r="H35" s="46">
        <f t="shared" si="5"/>
        <v>3675</v>
      </c>
      <c r="I35" s="46">
        <f t="shared" si="5"/>
        <v>3675</v>
      </c>
      <c r="J35" s="46">
        <f t="shared" si="5"/>
        <v>3675</v>
      </c>
      <c r="K35" s="46">
        <f t="shared" si="5"/>
        <v>3675</v>
      </c>
      <c r="L35" s="46">
        <f>L33-L34</f>
        <v>3675</v>
      </c>
      <c r="M35" s="47">
        <f t="shared" si="5"/>
        <v>3675</v>
      </c>
    </row>
    <row r="36" spans="1:13" ht="13.5" thickBot="1" x14ac:dyDescent="0.25">
      <c r="A36" s="78"/>
      <c r="B36" s="45"/>
      <c r="C36" s="78"/>
      <c r="D36" s="106"/>
      <c r="E36" s="78"/>
      <c r="F36" s="78"/>
      <c r="G36" s="106"/>
      <c r="H36" s="78"/>
      <c r="I36" s="78"/>
      <c r="J36" s="78"/>
      <c r="K36" s="78"/>
      <c r="L36" s="78"/>
      <c r="M36" s="78"/>
    </row>
    <row r="37" spans="1:13" ht="13.5" thickBot="1" x14ac:dyDescent="0.25"/>
    <row r="38" spans="1:13" ht="13.5" thickBot="1" x14ac:dyDescent="0.25">
      <c r="A38" s="78" t="s">
        <v>558</v>
      </c>
      <c r="B38" s="45">
        <f>460000+490000</f>
        <v>950000</v>
      </c>
      <c r="C38" s="45">
        <f>480000+480000</f>
        <v>960000</v>
      </c>
      <c r="D38" s="45">
        <f>480000+490000</f>
        <v>970000</v>
      </c>
      <c r="E38" s="45">
        <f>500000+500000</f>
        <v>1000000</v>
      </c>
      <c r="F38" s="45">
        <f>460000+540000</f>
        <v>1000000</v>
      </c>
      <c r="G38" s="45"/>
      <c r="H38" s="45"/>
      <c r="I38" s="45"/>
      <c r="J38" s="45"/>
      <c r="K38" s="45"/>
      <c r="L38" s="45"/>
      <c r="M38" s="45"/>
    </row>
    <row r="40" spans="1:13" x14ac:dyDescent="0.2">
      <c r="I40">
        <v>6</v>
      </c>
    </row>
    <row r="41" spans="1:13" x14ac:dyDescent="0.2">
      <c r="A41" s="152" t="s">
        <v>715</v>
      </c>
    </row>
    <row r="42" spans="1:13" ht="12" customHeight="1" x14ac:dyDescent="0.2"/>
  </sheetData>
  <mergeCells count="1">
    <mergeCell ref="B4:G4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5"/>
  <dimension ref="A1:M35"/>
  <sheetViews>
    <sheetView topLeftCell="A4" workbookViewId="0">
      <selection activeCell="G18" sqref="G18"/>
    </sheetView>
  </sheetViews>
  <sheetFormatPr baseColWidth="10" defaultRowHeight="20.25" x14ac:dyDescent="0.3"/>
  <cols>
    <col min="1" max="1" width="27.28515625" style="2" customWidth="1"/>
    <col min="2" max="2" width="11.28515625" style="2" bestFit="1" customWidth="1"/>
    <col min="3" max="3" width="11.140625" style="2" bestFit="1" customWidth="1"/>
    <col min="4" max="4" width="11.28515625" style="2" bestFit="1" customWidth="1"/>
    <col min="5" max="5" width="11.85546875" style="2" customWidth="1"/>
    <col min="6" max="6" width="12.7109375" style="2" customWidth="1"/>
    <col min="7" max="7" width="11.28515625" style="2" bestFit="1" customWidth="1"/>
    <col min="8" max="8" width="12.28515625" style="2" customWidth="1"/>
    <col min="9" max="9" width="11.5703125" style="2" bestFit="1" customWidth="1"/>
    <col min="10" max="10" width="11.28515625" style="2" bestFit="1" customWidth="1"/>
    <col min="11" max="12" width="11.42578125" style="2"/>
    <col min="13" max="13" width="12.85546875" style="2" bestFit="1" customWidth="1"/>
    <col min="14" max="16384" width="11.42578125" style="2"/>
  </cols>
  <sheetData>
    <row r="1" spans="1:13" ht="27" x14ac:dyDescent="0.35">
      <c r="A1" s="7"/>
    </row>
    <row r="3" spans="1:13" x14ac:dyDescent="0.3">
      <c r="A3" s="11" t="s">
        <v>11</v>
      </c>
      <c r="B3" s="216" t="s">
        <v>85</v>
      </c>
      <c r="C3" s="216"/>
      <c r="D3" s="216"/>
      <c r="E3" s="216"/>
      <c r="F3" s="216"/>
      <c r="G3" s="216"/>
    </row>
    <row r="5" spans="1:13" x14ac:dyDescent="0.3">
      <c r="A5" s="50" t="s">
        <v>0</v>
      </c>
      <c r="B5" s="50" t="s">
        <v>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13" x14ac:dyDescent="0.3">
      <c r="A6" s="78"/>
      <c r="B6" s="79">
        <v>46023</v>
      </c>
      <c r="C6" s="79">
        <v>46054</v>
      </c>
      <c r="D6" s="79">
        <v>46082</v>
      </c>
      <c r="E6" s="79">
        <v>46113</v>
      </c>
      <c r="F6" s="79">
        <v>46143</v>
      </c>
      <c r="G6" s="79">
        <v>46174</v>
      </c>
      <c r="H6" s="79">
        <v>46204</v>
      </c>
      <c r="I6" s="79">
        <v>46235</v>
      </c>
      <c r="J6" s="79">
        <v>46266</v>
      </c>
      <c r="K6" s="79">
        <v>46296</v>
      </c>
      <c r="L6" s="79">
        <v>46327</v>
      </c>
      <c r="M6" s="79">
        <v>46357</v>
      </c>
    </row>
    <row r="7" spans="1:13" x14ac:dyDescent="0.3">
      <c r="A7" s="78" t="s">
        <v>110</v>
      </c>
      <c r="B7" s="42"/>
      <c r="C7" s="42">
        <f>B18</f>
        <v>0</v>
      </c>
      <c r="D7" s="42">
        <f t="shared" ref="D7:M7" si="0">C18</f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>J18</f>
        <v>0</v>
      </c>
      <c r="L7" s="42">
        <f t="shared" si="0"/>
        <v>0</v>
      </c>
      <c r="M7" s="42">
        <f t="shared" si="0"/>
        <v>0</v>
      </c>
    </row>
    <row r="8" spans="1:13" x14ac:dyDescent="0.3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>
        <v>120000</v>
      </c>
      <c r="C15" s="42">
        <v>120000</v>
      </c>
      <c r="D15" s="42">
        <v>120000</v>
      </c>
      <c r="E15" s="42">
        <v>120000</v>
      </c>
      <c r="F15" s="42">
        <v>130000</v>
      </c>
      <c r="G15" s="42">
        <v>130000</v>
      </c>
      <c r="H15" s="42"/>
      <c r="I15" s="42"/>
      <c r="J15" s="42"/>
      <c r="K15" s="42"/>
      <c r="L15" s="42"/>
      <c r="M15" s="42"/>
    </row>
    <row r="16" spans="1:13" x14ac:dyDescent="0.3">
      <c r="A16" s="78" t="s">
        <v>6</v>
      </c>
      <c r="B16" s="43">
        <f>SUM(B7:B15)</f>
        <v>120000</v>
      </c>
      <c r="C16" s="43">
        <f t="shared" ref="C16:M16" si="1">SUM(C7:C15)</f>
        <v>120000</v>
      </c>
      <c r="D16" s="43">
        <f t="shared" si="1"/>
        <v>120000</v>
      </c>
      <c r="E16" s="43">
        <f t="shared" si="1"/>
        <v>120000</v>
      </c>
      <c r="F16" s="43">
        <f t="shared" si="1"/>
        <v>130000</v>
      </c>
      <c r="G16" s="43">
        <f t="shared" si="1"/>
        <v>130000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0</v>
      </c>
      <c r="L16" s="43">
        <f t="shared" si="1"/>
        <v>0</v>
      </c>
      <c r="M16" s="43">
        <f t="shared" si="1"/>
        <v>0</v>
      </c>
    </row>
    <row r="17" spans="1:13" x14ac:dyDescent="0.3">
      <c r="A17" s="78" t="s">
        <v>7</v>
      </c>
      <c r="B17" s="44">
        <v>120000</v>
      </c>
      <c r="C17" s="44">
        <v>120000</v>
      </c>
      <c r="D17" s="44">
        <v>120000</v>
      </c>
      <c r="E17" s="44">
        <v>120000</v>
      </c>
      <c r="F17" s="44">
        <v>130000</v>
      </c>
      <c r="G17" s="44">
        <v>130000</v>
      </c>
      <c r="H17" s="44"/>
      <c r="I17" s="44"/>
      <c r="J17" s="44"/>
      <c r="K17" s="44"/>
      <c r="L17" s="44"/>
      <c r="M17" s="44"/>
    </row>
    <row r="18" spans="1:13" x14ac:dyDescent="0.3">
      <c r="A18" s="78" t="s">
        <v>111</v>
      </c>
      <c r="B18" s="43">
        <f>B16-B17</f>
        <v>0</v>
      </c>
      <c r="C18" s="43">
        <f>C16-C17</f>
        <v>0</v>
      </c>
      <c r="D18" s="43">
        <f t="shared" ref="D18:M18" si="2">D16-D17</f>
        <v>0</v>
      </c>
      <c r="E18" s="43">
        <f t="shared" si="2"/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  <c r="L18" s="43">
        <f t="shared" si="2"/>
        <v>0</v>
      </c>
      <c r="M18" s="43">
        <f t="shared" si="2"/>
        <v>0</v>
      </c>
    </row>
    <row r="19" spans="1:13" x14ac:dyDescent="0.3">
      <c r="E19" s="125">
        <v>45414</v>
      </c>
      <c r="J19" s="125">
        <v>45572</v>
      </c>
      <c r="K19" s="125">
        <v>45597</v>
      </c>
      <c r="M19" s="125">
        <v>45629</v>
      </c>
    </row>
    <row r="20" spans="1:13" x14ac:dyDescent="0.3">
      <c r="M20" s="63" t="s">
        <v>709</v>
      </c>
    </row>
    <row r="21" spans="1:13" x14ac:dyDescent="0.3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3">
      <c r="A22" s="81"/>
      <c r="B22" s="82">
        <v>45658</v>
      </c>
      <c r="C22" s="82">
        <v>45689</v>
      </c>
      <c r="D22" s="82">
        <v>45717</v>
      </c>
      <c r="E22" s="82">
        <v>45748</v>
      </c>
      <c r="F22" s="82">
        <v>45778</v>
      </c>
      <c r="G22" s="82">
        <v>45809</v>
      </c>
      <c r="H22" s="82">
        <v>45839</v>
      </c>
      <c r="I22" s="82">
        <v>45870</v>
      </c>
      <c r="J22" s="82">
        <v>45901</v>
      </c>
      <c r="K22" s="82">
        <v>45931</v>
      </c>
      <c r="L22" s="82">
        <v>45962</v>
      </c>
      <c r="M22" s="82">
        <v>45992</v>
      </c>
    </row>
    <row r="23" spans="1:13" x14ac:dyDescent="0.3">
      <c r="A23" s="78" t="s">
        <v>110</v>
      </c>
      <c r="B23" s="42"/>
      <c r="C23" s="42">
        <f>B34</f>
        <v>0</v>
      </c>
      <c r="D23" s="42">
        <f t="shared" ref="D23:M23" si="3">C34</f>
        <v>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>J34</f>
        <v>0</v>
      </c>
      <c r="L23" s="42">
        <f>K34</f>
        <v>0</v>
      </c>
      <c r="M23" s="42">
        <f t="shared" si="3"/>
        <v>0</v>
      </c>
    </row>
    <row r="24" spans="1:13" x14ac:dyDescent="0.3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733</v>
      </c>
      <c r="B30" s="42"/>
      <c r="C30" s="42"/>
      <c r="D30" s="42"/>
      <c r="E30" s="42"/>
      <c r="F30" s="42"/>
      <c r="G30" s="42"/>
      <c r="H30" s="42"/>
      <c r="I30" s="42">
        <v>31200</v>
      </c>
      <c r="J30" s="42"/>
      <c r="K30" s="42"/>
      <c r="L30" s="42"/>
      <c r="M30" s="42"/>
    </row>
    <row r="31" spans="1:13" x14ac:dyDescent="0.3">
      <c r="A31" s="78" t="s">
        <v>5</v>
      </c>
      <c r="B31" s="42">
        <v>80000</v>
      </c>
      <c r="C31" s="42">
        <v>80000</v>
      </c>
      <c r="D31" s="42">
        <v>80000</v>
      </c>
      <c r="E31" s="42">
        <v>80000</v>
      </c>
      <c r="F31" s="42">
        <v>90000</v>
      </c>
      <c r="G31" s="42">
        <v>90000</v>
      </c>
      <c r="H31" s="42">
        <v>90000</v>
      </c>
      <c r="I31" s="42">
        <v>90000</v>
      </c>
      <c r="J31" s="42">
        <v>90000</v>
      </c>
      <c r="K31" s="42">
        <v>90000</v>
      </c>
      <c r="L31" s="42">
        <v>90000</v>
      </c>
      <c r="M31" s="42">
        <v>110000</v>
      </c>
    </row>
    <row r="32" spans="1:13" x14ac:dyDescent="0.3">
      <c r="A32" s="78" t="s">
        <v>6</v>
      </c>
      <c r="B32" s="43">
        <f t="shared" ref="B32:M32" si="4">SUM(B23:B31)</f>
        <v>80000</v>
      </c>
      <c r="C32" s="43">
        <f t="shared" si="4"/>
        <v>80000</v>
      </c>
      <c r="D32" s="43">
        <f t="shared" si="4"/>
        <v>80000</v>
      </c>
      <c r="E32" s="43">
        <f t="shared" si="4"/>
        <v>80000</v>
      </c>
      <c r="F32" s="43">
        <f t="shared" si="4"/>
        <v>90000</v>
      </c>
      <c r="G32" s="43">
        <f t="shared" si="4"/>
        <v>90000</v>
      </c>
      <c r="H32" s="43">
        <f t="shared" si="4"/>
        <v>90000</v>
      </c>
      <c r="I32" s="43">
        <f t="shared" si="4"/>
        <v>121200</v>
      </c>
      <c r="J32" s="43">
        <f t="shared" si="4"/>
        <v>90000</v>
      </c>
      <c r="K32" s="43">
        <f t="shared" si="4"/>
        <v>90000</v>
      </c>
      <c r="L32" s="43">
        <f t="shared" si="4"/>
        <v>90000</v>
      </c>
      <c r="M32" s="43">
        <f t="shared" si="4"/>
        <v>110000</v>
      </c>
    </row>
    <row r="33" spans="1:13" ht="21" thickBot="1" x14ac:dyDescent="0.35">
      <c r="A33" s="78" t="s">
        <v>7</v>
      </c>
      <c r="B33" s="44">
        <v>80000</v>
      </c>
      <c r="C33" s="44">
        <v>80000</v>
      </c>
      <c r="D33" s="44">
        <v>80000</v>
      </c>
      <c r="E33" s="44">
        <v>80000</v>
      </c>
      <c r="F33" s="44">
        <v>90000</v>
      </c>
      <c r="G33" s="44">
        <v>90000</v>
      </c>
      <c r="H33" s="44">
        <v>90000</v>
      </c>
      <c r="I33" s="44">
        <v>121200</v>
      </c>
      <c r="J33" s="44">
        <v>90000</v>
      </c>
      <c r="K33" s="44">
        <v>90000</v>
      </c>
      <c r="L33" s="44">
        <v>90000</v>
      </c>
      <c r="M33" s="44">
        <v>110000</v>
      </c>
    </row>
    <row r="34" spans="1:13" ht="21" thickBot="1" x14ac:dyDescent="0.35">
      <c r="A34" s="78" t="s">
        <v>111</v>
      </c>
      <c r="B34" s="45">
        <f t="shared" ref="B34:M34" si="5">B32-B33</f>
        <v>0</v>
      </c>
      <c r="C34" s="46">
        <f t="shared" si="5"/>
        <v>0</v>
      </c>
      <c r="D34" s="46">
        <f t="shared" si="5"/>
        <v>0</v>
      </c>
      <c r="E34" s="46">
        <f t="shared" si="5"/>
        <v>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7">
        <f t="shared" si="5"/>
        <v>0</v>
      </c>
    </row>
    <row r="35" spans="1:13" x14ac:dyDescent="0.3">
      <c r="E35" s="125">
        <v>45048</v>
      </c>
      <c r="I35" s="125">
        <v>45169</v>
      </c>
      <c r="L35" s="125">
        <v>45964</v>
      </c>
      <c r="M35" s="2" t="s">
        <v>757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6"/>
  <dimension ref="A4:N49"/>
  <sheetViews>
    <sheetView topLeftCell="A25" workbookViewId="0">
      <selection activeCell="F33" sqref="F33"/>
    </sheetView>
  </sheetViews>
  <sheetFormatPr baseColWidth="10" defaultRowHeight="12.75" x14ac:dyDescent="0.2"/>
  <cols>
    <col min="1" max="1" width="31.85546875" customWidth="1"/>
    <col min="8" max="8" width="11.7109375" customWidth="1"/>
    <col min="9" max="9" width="13" customWidth="1"/>
    <col min="10" max="10" width="12.42578125" customWidth="1"/>
    <col min="11" max="11" width="12.85546875" customWidth="1"/>
    <col min="12" max="12" width="13.28515625" customWidth="1"/>
    <col min="13" max="13" width="12.85546875" customWidth="1"/>
  </cols>
  <sheetData>
    <row r="4" spans="1:14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4" ht="15" x14ac:dyDescent="0.2">
      <c r="A5" s="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4" ht="15" x14ac:dyDescent="0.2">
      <c r="A6" s="8" t="s">
        <v>110</v>
      </c>
      <c r="B6" s="42"/>
      <c r="C6" s="42">
        <f>B17</f>
        <v>0</v>
      </c>
      <c r="D6" s="42">
        <f t="shared" ref="D6:L6" si="0">C17</f>
        <v>0</v>
      </c>
      <c r="E6" s="42">
        <f t="shared" si="0"/>
        <v>89700</v>
      </c>
      <c r="F6" s="42">
        <f t="shared" si="0"/>
        <v>0</v>
      </c>
      <c r="G6" s="42">
        <f t="shared" si="0"/>
        <v>89700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 t="shared" si="0"/>
        <v>0</v>
      </c>
      <c r="L6" s="42">
        <f t="shared" si="0"/>
        <v>121500</v>
      </c>
      <c r="M6" s="42">
        <f>L17</f>
        <v>0</v>
      </c>
    </row>
    <row r="7" spans="1:14" ht="15" x14ac:dyDescent="0.2">
      <c r="A7" s="8" t="s">
        <v>204</v>
      </c>
      <c r="B7" s="42">
        <v>29100</v>
      </c>
      <c r="C7" s="42">
        <v>39400</v>
      </c>
      <c r="D7" s="42">
        <v>39400</v>
      </c>
      <c r="E7" s="42">
        <v>39400</v>
      </c>
      <c r="F7" s="42">
        <v>39400</v>
      </c>
      <c r="G7" s="42">
        <v>39400</v>
      </c>
      <c r="H7" s="42">
        <v>39400</v>
      </c>
      <c r="I7" s="42">
        <v>63500</v>
      </c>
      <c r="J7" s="42">
        <v>63500</v>
      </c>
      <c r="K7" s="42">
        <v>63500</v>
      </c>
      <c r="L7" s="42">
        <v>63500</v>
      </c>
      <c r="M7" s="42">
        <v>63500</v>
      </c>
      <c r="N7" s="126">
        <v>1960</v>
      </c>
    </row>
    <row r="8" spans="1:14" ht="15" x14ac:dyDescent="0.2">
      <c r="A8" s="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126">
        <v>705</v>
      </c>
    </row>
    <row r="9" spans="1:14" ht="15" x14ac:dyDescent="0.2">
      <c r="A9" s="8" t="s">
        <v>4</v>
      </c>
      <c r="B9" s="42">
        <v>22300</v>
      </c>
      <c r="C9" s="42">
        <v>22300</v>
      </c>
      <c r="D9" s="42">
        <v>22300</v>
      </c>
      <c r="E9" s="42">
        <v>22300</v>
      </c>
      <c r="F9" s="42">
        <v>22300</v>
      </c>
      <c r="G9" s="42">
        <v>22300</v>
      </c>
      <c r="H9" s="42">
        <v>28000</v>
      </c>
      <c r="I9" s="42">
        <v>28000</v>
      </c>
      <c r="J9" s="42">
        <v>28000</v>
      </c>
      <c r="K9" s="42">
        <v>28000</v>
      </c>
      <c r="L9" s="42">
        <v>28000</v>
      </c>
      <c r="M9" s="42">
        <v>28000</v>
      </c>
      <c r="N9" s="126">
        <v>850</v>
      </c>
    </row>
    <row r="10" spans="1:14" ht="15" x14ac:dyDescent="0.2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ht="15" x14ac:dyDescent="0.2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ht="15" x14ac:dyDescent="0.2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ht="15" x14ac:dyDescent="0.2">
      <c r="A13" s="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 ht="15" x14ac:dyDescent="0.2">
      <c r="A14" s="8" t="s">
        <v>5</v>
      </c>
      <c r="B14" s="42">
        <v>25000</v>
      </c>
      <c r="C14" s="42">
        <v>28000</v>
      </c>
      <c r="D14" s="42">
        <v>28000</v>
      </c>
      <c r="E14" s="42">
        <v>28000</v>
      </c>
      <c r="F14" s="42">
        <v>28000</v>
      </c>
      <c r="G14" s="42">
        <v>28000</v>
      </c>
      <c r="H14" s="42">
        <v>30000</v>
      </c>
      <c r="I14" s="42">
        <v>30000</v>
      </c>
      <c r="J14" s="42">
        <v>30000</v>
      </c>
      <c r="K14" s="42">
        <v>30000</v>
      </c>
      <c r="L14" s="42">
        <v>30000</v>
      </c>
      <c r="M14" s="42">
        <v>30000</v>
      </c>
      <c r="N14" s="126">
        <v>1800</v>
      </c>
    </row>
    <row r="15" spans="1:14" ht="15" x14ac:dyDescent="0.2">
      <c r="A15" s="8" t="s">
        <v>6</v>
      </c>
      <c r="B15" s="43">
        <f>SUM(B6:B14)</f>
        <v>76400</v>
      </c>
      <c r="C15" s="43">
        <f t="shared" ref="C15:M15" si="1">SUM(C6:C14)</f>
        <v>89700</v>
      </c>
      <c r="D15" s="43">
        <f t="shared" si="1"/>
        <v>89700</v>
      </c>
      <c r="E15" s="43">
        <f t="shared" si="1"/>
        <v>179400</v>
      </c>
      <c r="F15" s="43">
        <f t="shared" si="1"/>
        <v>89700</v>
      </c>
      <c r="G15" s="43">
        <f t="shared" si="1"/>
        <v>179400</v>
      </c>
      <c r="H15" s="43">
        <f t="shared" si="1"/>
        <v>97400</v>
      </c>
      <c r="I15" s="43">
        <f t="shared" si="1"/>
        <v>121500</v>
      </c>
      <c r="J15" s="43">
        <f t="shared" si="1"/>
        <v>121500</v>
      </c>
      <c r="K15" s="43">
        <f t="shared" si="1"/>
        <v>121500</v>
      </c>
      <c r="L15" s="43">
        <f t="shared" si="1"/>
        <v>243000</v>
      </c>
      <c r="M15" s="43">
        <f t="shared" si="1"/>
        <v>121500</v>
      </c>
      <c r="N15" s="55">
        <f>SUM(N7:N14)</f>
        <v>5315</v>
      </c>
    </row>
    <row r="16" spans="1:14" ht="15" x14ac:dyDescent="0.2">
      <c r="A16" s="8" t="s">
        <v>7</v>
      </c>
      <c r="B16" s="44">
        <v>76400</v>
      </c>
      <c r="C16" s="44">
        <v>89700</v>
      </c>
      <c r="D16" s="44"/>
      <c r="E16" s="44">
        <v>179400</v>
      </c>
      <c r="F16" s="44"/>
      <c r="G16" s="44">
        <v>179400</v>
      </c>
      <c r="H16" s="44">
        <v>97400</v>
      </c>
      <c r="I16" s="44">
        <v>121500</v>
      </c>
      <c r="J16" s="44">
        <v>121500</v>
      </c>
      <c r="K16" s="44"/>
      <c r="L16" s="44">
        <v>243000</v>
      </c>
      <c r="M16" s="44">
        <v>121500</v>
      </c>
    </row>
    <row r="17" spans="1:13" ht="15" x14ac:dyDescent="0.2">
      <c r="A17" s="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89700</v>
      </c>
      <c r="E17" s="43">
        <f t="shared" si="2"/>
        <v>0</v>
      </c>
      <c r="F17" s="43">
        <f t="shared" si="2"/>
        <v>89700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121500</v>
      </c>
      <c r="L17" s="43">
        <f t="shared" si="2"/>
        <v>0</v>
      </c>
      <c r="M17" s="43">
        <f t="shared" si="2"/>
        <v>0</v>
      </c>
    </row>
    <row r="18" spans="1:13" x14ac:dyDescent="0.2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ht="15.75" x14ac:dyDescent="0.25">
      <c r="A20" s="31" t="s">
        <v>0</v>
      </c>
      <c r="B20" s="50" t="s">
        <v>1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ht="15" x14ac:dyDescent="0.2">
      <c r="A21" s="8"/>
      <c r="B21" s="79">
        <v>46023</v>
      </c>
      <c r="C21" s="79">
        <v>46054</v>
      </c>
      <c r="D21" s="79">
        <v>46082</v>
      </c>
      <c r="E21" s="79">
        <v>46113</v>
      </c>
      <c r="F21" s="79">
        <v>46143</v>
      </c>
      <c r="G21" s="79">
        <v>46174</v>
      </c>
      <c r="H21" s="79">
        <v>46204</v>
      </c>
      <c r="I21" s="79">
        <v>46235</v>
      </c>
      <c r="J21" s="79">
        <v>46266</v>
      </c>
      <c r="K21" s="79">
        <v>46296</v>
      </c>
      <c r="L21" s="79">
        <v>46327</v>
      </c>
      <c r="M21" s="79">
        <v>46357</v>
      </c>
    </row>
    <row r="22" spans="1:13" ht="15" x14ac:dyDescent="0.2">
      <c r="A22" s="8" t="s">
        <v>110</v>
      </c>
      <c r="B22" s="79"/>
      <c r="C22" s="42">
        <f>B33</f>
        <v>0</v>
      </c>
      <c r="D22" s="42">
        <f t="shared" ref="D22:M22" si="3">C33</f>
        <v>0</v>
      </c>
      <c r="E22" s="42">
        <f t="shared" si="3"/>
        <v>0</v>
      </c>
      <c r="F22" s="42">
        <f t="shared" si="3"/>
        <v>0</v>
      </c>
      <c r="G22" s="42">
        <f t="shared" si="3"/>
        <v>133700</v>
      </c>
      <c r="H22" s="42">
        <f t="shared" si="3"/>
        <v>294380</v>
      </c>
      <c r="I22" s="42">
        <f t="shared" si="3"/>
        <v>294380</v>
      </c>
      <c r="J22" s="42">
        <f t="shared" si="3"/>
        <v>294380</v>
      </c>
      <c r="K22" s="42">
        <f t="shared" si="3"/>
        <v>294380</v>
      </c>
      <c r="L22" s="42">
        <f t="shared" si="3"/>
        <v>294380</v>
      </c>
      <c r="M22" s="42">
        <f t="shared" si="3"/>
        <v>294380</v>
      </c>
    </row>
    <row r="23" spans="1:13" ht="15" x14ac:dyDescent="0.2">
      <c r="A23" s="8" t="s">
        <v>204</v>
      </c>
      <c r="B23" s="42">
        <v>73660</v>
      </c>
      <c r="C23" s="42">
        <v>73660</v>
      </c>
      <c r="D23" s="42">
        <v>73660</v>
      </c>
      <c r="E23" s="42">
        <v>73660</v>
      </c>
      <c r="F23" s="42">
        <v>73660</v>
      </c>
      <c r="G23" s="42">
        <v>95680</v>
      </c>
      <c r="H23" s="42"/>
      <c r="I23" s="42"/>
      <c r="J23" s="42"/>
      <c r="K23" s="42"/>
      <c r="L23" s="42"/>
      <c r="M23" s="42"/>
    </row>
    <row r="24" spans="1:13" ht="15" x14ac:dyDescent="0.2">
      <c r="A24" s="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4</v>
      </c>
      <c r="B25" s="42">
        <v>28000</v>
      </c>
      <c r="C25" s="42">
        <v>28000</v>
      </c>
      <c r="D25" s="42">
        <v>28000</v>
      </c>
      <c r="E25" s="42">
        <v>30000</v>
      </c>
      <c r="F25" s="42">
        <v>30000</v>
      </c>
      <c r="G25" s="42">
        <v>30000</v>
      </c>
      <c r="H25" s="42"/>
      <c r="I25" s="42"/>
      <c r="J25" s="42"/>
      <c r="K25" s="42"/>
      <c r="L25" s="42"/>
      <c r="M25" s="42"/>
    </row>
    <row r="26" spans="1:13" ht="15" x14ac:dyDescent="0.2">
      <c r="A26" s="8" t="s">
        <v>9</v>
      </c>
      <c r="B26" s="42">
        <v>40</v>
      </c>
      <c r="C26" s="42">
        <v>40</v>
      </c>
      <c r="D26" s="42">
        <v>40</v>
      </c>
      <c r="E26" s="42">
        <v>40</v>
      </c>
      <c r="F26" s="42">
        <v>40</v>
      </c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5</v>
      </c>
      <c r="B30" s="42">
        <v>30000</v>
      </c>
      <c r="C30" s="42">
        <v>30000</v>
      </c>
      <c r="D30" s="42">
        <v>30000</v>
      </c>
      <c r="E30" s="42">
        <v>30000</v>
      </c>
      <c r="F30" s="42">
        <v>30000</v>
      </c>
      <c r="G30" s="42">
        <v>35000</v>
      </c>
      <c r="H30" s="42"/>
      <c r="I30" s="42"/>
      <c r="J30" s="42"/>
      <c r="K30" s="42"/>
      <c r="L30" s="42"/>
      <c r="M30" s="42"/>
    </row>
    <row r="31" spans="1:13" ht="15" x14ac:dyDescent="0.2">
      <c r="A31" s="8" t="s">
        <v>6</v>
      </c>
      <c r="B31" s="43">
        <f>SUM(B22:B30)</f>
        <v>131700</v>
      </c>
      <c r="C31" s="43">
        <f t="shared" ref="C31:M31" si="4">SUM(C22:C30)</f>
        <v>131700</v>
      </c>
      <c r="D31" s="43">
        <f t="shared" si="4"/>
        <v>131700</v>
      </c>
      <c r="E31" s="43">
        <f t="shared" si="4"/>
        <v>133700</v>
      </c>
      <c r="F31" s="43">
        <f t="shared" si="4"/>
        <v>133700</v>
      </c>
      <c r="G31" s="43">
        <f t="shared" si="4"/>
        <v>294380</v>
      </c>
      <c r="H31" s="43">
        <f t="shared" si="4"/>
        <v>294380</v>
      </c>
      <c r="I31" s="43">
        <f t="shared" si="4"/>
        <v>294380</v>
      </c>
      <c r="J31" s="43">
        <f t="shared" si="4"/>
        <v>294380</v>
      </c>
      <c r="K31" s="43">
        <f t="shared" si="4"/>
        <v>294380</v>
      </c>
      <c r="L31" s="43">
        <f t="shared" si="4"/>
        <v>294380</v>
      </c>
      <c r="M31" s="43">
        <f t="shared" si="4"/>
        <v>294380</v>
      </c>
    </row>
    <row r="32" spans="1:13" ht="15" x14ac:dyDescent="0.2">
      <c r="A32" s="8" t="s">
        <v>7</v>
      </c>
      <c r="B32" s="44">
        <v>131700</v>
      </c>
      <c r="C32" s="44">
        <v>131700</v>
      </c>
      <c r="D32" s="44">
        <v>131700</v>
      </c>
      <c r="E32" s="44">
        <v>133700</v>
      </c>
      <c r="F32" s="44"/>
      <c r="G32" s="44"/>
      <c r="H32" s="44"/>
      <c r="I32" s="44"/>
      <c r="J32" s="44"/>
      <c r="K32" s="44"/>
      <c r="L32" s="44"/>
      <c r="M32" s="44"/>
    </row>
    <row r="33" spans="1:13" ht="15" x14ac:dyDescent="0.2">
      <c r="A33" s="8" t="s">
        <v>111</v>
      </c>
      <c r="B33" s="43">
        <f>B31-B32</f>
        <v>0</v>
      </c>
      <c r="C33" s="43">
        <f>C31-C32</f>
        <v>0</v>
      </c>
      <c r="D33" s="43">
        <f t="shared" ref="D33:M33" si="5">D31-D32</f>
        <v>0</v>
      </c>
      <c r="E33" s="43">
        <f t="shared" si="5"/>
        <v>0</v>
      </c>
      <c r="F33" s="43">
        <f t="shared" si="5"/>
        <v>133700</v>
      </c>
      <c r="G33" s="43">
        <f t="shared" si="5"/>
        <v>294380</v>
      </c>
      <c r="H33" s="43">
        <f t="shared" si="5"/>
        <v>294380</v>
      </c>
      <c r="I33" s="43">
        <f t="shared" si="5"/>
        <v>294380</v>
      </c>
      <c r="J33" s="43">
        <f t="shared" si="5"/>
        <v>294380</v>
      </c>
      <c r="K33" s="43">
        <f t="shared" si="5"/>
        <v>294380</v>
      </c>
      <c r="L33" s="43">
        <f t="shared" si="5"/>
        <v>294380</v>
      </c>
      <c r="M33" s="43">
        <f t="shared" si="5"/>
        <v>294380</v>
      </c>
    </row>
    <row r="34" spans="1:13" x14ac:dyDescent="0.2">
      <c r="B34" s="149">
        <v>44588</v>
      </c>
      <c r="C34" s="78"/>
      <c r="D34" s="78"/>
      <c r="E34" s="78"/>
      <c r="F34" s="78"/>
      <c r="G34" s="78"/>
      <c r="H34" s="149"/>
      <c r="I34" s="78"/>
      <c r="J34" s="149">
        <v>45561</v>
      </c>
      <c r="K34" s="78"/>
      <c r="L34" s="78"/>
      <c r="M34" s="78"/>
    </row>
    <row r="35" spans="1:13" x14ac:dyDescent="0.2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</row>
    <row r="36" spans="1:13" ht="15.75" x14ac:dyDescent="0.25">
      <c r="A36" s="31" t="s">
        <v>0</v>
      </c>
      <c r="B36" s="50" t="s">
        <v>1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ht="15" x14ac:dyDescent="0.2">
      <c r="A37" s="8"/>
      <c r="B37" s="79">
        <v>41275</v>
      </c>
      <c r="C37" s="79">
        <v>41306</v>
      </c>
      <c r="D37" s="79">
        <v>41334</v>
      </c>
      <c r="E37" s="79">
        <v>41365</v>
      </c>
      <c r="F37" s="79">
        <v>41395</v>
      </c>
      <c r="G37" s="79">
        <v>41426</v>
      </c>
      <c r="H37" s="79">
        <v>41456</v>
      </c>
      <c r="I37" s="79">
        <v>41487</v>
      </c>
      <c r="J37" s="79">
        <v>41518</v>
      </c>
      <c r="K37" s="79">
        <v>41548</v>
      </c>
      <c r="L37" s="79">
        <v>41579</v>
      </c>
      <c r="M37" s="79">
        <v>41609</v>
      </c>
    </row>
    <row r="38" spans="1:13" ht="15" x14ac:dyDescent="0.2">
      <c r="A38" s="8" t="s">
        <v>110</v>
      </c>
      <c r="B38" s="42">
        <v>7769</v>
      </c>
      <c r="C38" s="42">
        <f t="shared" ref="C38:M38" si="6">B49</f>
        <v>8608</v>
      </c>
      <c r="D38" s="42">
        <f t="shared" si="6"/>
        <v>9447</v>
      </c>
      <c r="E38" s="42">
        <f t="shared" si="6"/>
        <v>10286</v>
      </c>
      <c r="F38" s="42">
        <f t="shared" si="6"/>
        <v>11125</v>
      </c>
      <c r="G38" s="42">
        <f t="shared" si="6"/>
        <v>11275</v>
      </c>
      <c r="H38" s="42">
        <f t="shared" si="6"/>
        <v>11425</v>
      </c>
      <c r="I38" s="42">
        <f t="shared" si="6"/>
        <v>11575</v>
      </c>
      <c r="J38" s="42">
        <f t="shared" si="6"/>
        <v>11725</v>
      </c>
      <c r="K38" s="42">
        <f t="shared" si="6"/>
        <v>11875</v>
      </c>
      <c r="L38" s="42">
        <f t="shared" si="6"/>
        <v>12025</v>
      </c>
      <c r="M38" s="42">
        <f t="shared" si="6"/>
        <v>12175</v>
      </c>
    </row>
    <row r="39" spans="1:13" ht="15" x14ac:dyDescent="0.2">
      <c r="A39" s="8" t="s">
        <v>204</v>
      </c>
      <c r="B39" s="42">
        <v>219</v>
      </c>
      <c r="C39" s="42">
        <v>219</v>
      </c>
      <c r="D39" s="42">
        <v>219</v>
      </c>
      <c r="E39" s="42">
        <v>219</v>
      </c>
      <c r="F39" s="42"/>
      <c r="G39" s="42"/>
      <c r="H39" s="42"/>
      <c r="I39" s="42"/>
      <c r="J39" s="42"/>
      <c r="K39" s="42"/>
      <c r="L39" s="42"/>
      <c r="M39" s="42"/>
    </row>
    <row r="40" spans="1:13" ht="15" x14ac:dyDescent="0.2">
      <c r="A40" s="8" t="s">
        <v>3</v>
      </c>
      <c r="B40" s="42">
        <v>150</v>
      </c>
      <c r="C40" s="42">
        <v>150</v>
      </c>
      <c r="D40" s="42">
        <v>150</v>
      </c>
      <c r="E40" s="42">
        <v>150</v>
      </c>
      <c r="F40" s="42"/>
      <c r="G40" s="42"/>
      <c r="H40" s="42"/>
      <c r="I40" s="42"/>
      <c r="J40" s="42"/>
      <c r="K40" s="42"/>
      <c r="L40" s="42"/>
      <c r="M40" s="42"/>
    </row>
    <row r="41" spans="1:13" ht="15" x14ac:dyDescent="0.2">
      <c r="A41" s="8" t="s">
        <v>4</v>
      </c>
      <c r="B41" s="42">
        <v>120</v>
      </c>
      <c r="C41" s="42">
        <v>120</v>
      </c>
      <c r="D41" s="42">
        <v>120</v>
      </c>
      <c r="E41" s="42">
        <v>120</v>
      </c>
      <c r="F41" s="42"/>
      <c r="G41" s="42"/>
      <c r="H41" s="42"/>
      <c r="I41" s="42"/>
      <c r="J41" s="42"/>
      <c r="K41" s="42"/>
      <c r="L41" s="42"/>
      <c r="M41" s="42"/>
    </row>
    <row r="42" spans="1:13" ht="15" x14ac:dyDescent="0.2">
      <c r="A42" s="8" t="s">
        <v>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ht="15" x14ac:dyDescent="0.2">
      <c r="A43" s="8" t="s">
        <v>73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15" x14ac:dyDescent="0.2">
      <c r="A44" s="8" t="s">
        <v>74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5" x14ac:dyDescent="0.2">
      <c r="A45" s="8" t="s">
        <v>75</v>
      </c>
      <c r="B45" s="42">
        <v>200</v>
      </c>
      <c r="C45" s="42">
        <v>200</v>
      </c>
      <c r="D45" s="42">
        <v>200</v>
      </c>
      <c r="E45" s="42">
        <v>200</v>
      </c>
      <c r="F45" s="42"/>
      <c r="G45" s="42"/>
      <c r="H45" s="42"/>
      <c r="I45" s="42"/>
      <c r="J45" s="42"/>
      <c r="K45" s="42"/>
      <c r="L45" s="42"/>
      <c r="M45" s="42"/>
    </row>
    <row r="46" spans="1:13" ht="15" x14ac:dyDescent="0.2">
      <c r="A46" s="8" t="s">
        <v>5</v>
      </c>
      <c r="B46" s="42">
        <v>150</v>
      </c>
      <c r="C46" s="42">
        <v>150</v>
      </c>
      <c r="D46" s="42">
        <v>150</v>
      </c>
      <c r="E46" s="42">
        <v>150</v>
      </c>
      <c r="F46" s="42">
        <v>150</v>
      </c>
      <c r="G46" s="42">
        <v>150</v>
      </c>
      <c r="H46" s="42">
        <v>150</v>
      </c>
      <c r="I46" s="42">
        <v>150</v>
      </c>
      <c r="J46" s="42">
        <v>150</v>
      </c>
      <c r="K46" s="42">
        <v>150</v>
      </c>
      <c r="L46" s="42">
        <v>150</v>
      </c>
      <c r="M46" s="42">
        <v>150</v>
      </c>
    </row>
    <row r="47" spans="1:13" ht="15" x14ac:dyDescent="0.2">
      <c r="A47" s="8" t="s">
        <v>6</v>
      </c>
      <c r="B47" s="43">
        <f>SUM(B38:B46)</f>
        <v>8608</v>
      </c>
      <c r="C47" s="43">
        <f t="shared" ref="C47:M47" si="7">SUM(C38:C46)</f>
        <v>9447</v>
      </c>
      <c r="D47" s="43">
        <f t="shared" si="7"/>
        <v>10286</v>
      </c>
      <c r="E47" s="43">
        <f t="shared" si="7"/>
        <v>11125</v>
      </c>
      <c r="F47" s="43">
        <f t="shared" si="7"/>
        <v>11275</v>
      </c>
      <c r="G47" s="43">
        <f t="shared" si="7"/>
        <v>11425</v>
      </c>
      <c r="H47" s="43">
        <f t="shared" si="7"/>
        <v>11575</v>
      </c>
      <c r="I47" s="43">
        <f t="shared" si="7"/>
        <v>11725</v>
      </c>
      <c r="J47" s="43">
        <f t="shared" si="7"/>
        <v>11875</v>
      </c>
      <c r="K47" s="43">
        <f t="shared" si="7"/>
        <v>12025</v>
      </c>
      <c r="L47" s="43">
        <f t="shared" si="7"/>
        <v>12175</v>
      </c>
      <c r="M47" s="43">
        <f t="shared" si="7"/>
        <v>12325</v>
      </c>
    </row>
    <row r="48" spans="1:13" ht="15" x14ac:dyDescent="0.2">
      <c r="A48" s="8" t="s">
        <v>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13" ht="15" x14ac:dyDescent="0.2">
      <c r="A49" s="8" t="s">
        <v>111</v>
      </c>
      <c r="B49" s="43">
        <f>B47-B48</f>
        <v>8608</v>
      </c>
      <c r="C49" s="43">
        <f>C47-C48</f>
        <v>9447</v>
      </c>
      <c r="D49" s="43">
        <f t="shared" ref="D49:M49" si="8">D47-D48</f>
        <v>10286</v>
      </c>
      <c r="E49" s="43">
        <f t="shared" si="8"/>
        <v>11125</v>
      </c>
      <c r="F49" s="43">
        <f t="shared" si="8"/>
        <v>11275</v>
      </c>
      <c r="G49" s="43">
        <f t="shared" si="8"/>
        <v>11425</v>
      </c>
      <c r="H49" s="43">
        <f t="shared" si="8"/>
        <v>11575</v>
      </c>
      <c r="I49" s="43">
        <f t="shared" si="8"/>
        <v>11725</v>
      </c>
      <c r="J49" s="43">
        <f t="shared" si="8"/>
        <v>11875</v>
      </c>
      <c r="K49" s="43">
        <f t="shared" si="8"/>
        <v>12025</v>
      </c>
      <c r="L49" s="43">
        <f t="shared" si="8"/>
        <v>12175</v>
      </c>
      <c r="M49" s="43">
        <f t="shared" si="8"/>
        <v>12325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7"/>
  <dimension ref="A1:M69"/>
  <sheetViews>
    <sheetView showGridLines="0" topLeftCell="A25" workbookViewId="0">
      <selection activeCell="F36" sqref="F36"/>
    </sheetView>
  </sheetViews>
  <sheetFormatPr baseColWidth="10" defaultRowHeight="20.25" x14ac:dyDescent="0.3"/>
  <cols>
    <col min="1" max="1" width="28.7109375" style="2" customWidth="1"/>
    <col min="2" max="2" width="13" style="2" customWidth="1"/>
    <col min="3" max="3" width="12.5703125" style="2" customWidth="1"/>
    <col min="4" max="4" width="11.7109375" style="2" customWidth="1"/>
    <col min="5" max="5" width="12.7109375" style="2" customWidth="1"/>
    <col min="6" max="6" width="12.28515625" style="2" customWidth="1"/>
    <col min="7" max="7" width="11.28515625" style="2" customWidth="1"/>
    <col min="8" max="8" width="11.5703125" style="2" customWidth="1"/>
    <col min="9" max="9" width="11.7109375" style="2" customWidth="1"/>
    <col min="10" max="10" width="11" style="2" customWidth="1"/>
    <col min="11" max="11" width="12.85546875" style="2" customWidth="1"/>
    <col min="12" max="12" width="13.28515625" style="2" customWidth="1"/>
    <col min="13" max="13" width="12.28515625" style="2" customWidth="1"/>
    <col min="14" max="16384" width="11.42578125" style="2"/>
  </cols>
  <sheetData>
    <row r="1" spans="1:13" ht="33" x14ac:dyDescent="0.45">
      <c r="A1" s="14" t="s">
        <v>102</v>
      </c>
    </row>
    <row r="3" spans="1:13" x14ac:dyDescent="0.3">
      <c r="A3" s="11" t="s">
        <v>11</v>
      </c>
      <c r="B3" s="216" t="s">
        <v>120</v>
      </c>
      <c r="C3" s="216"/>
      <c r="D3" s="216"/>
      <c r="E3" s="216"/>
      <c r="F3" s="216"/>
      <c r="G3" s="216"/>
    </row>
    <row r="5" spans="1:13" x14ac:dyDescent="0.3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3">
      <c r="A6" s="78"/>
      <c r="B6" s="79">
        <v>45658</v>
      </c>
      <c r="C6" s="79">
        <v>45689</v>
      </c>
      <c r="D6" s="79">
        <v>45717</v>
      </c>
      <c r="E6" s="79">
        <v>45748</v>
      </c>
      <c r="F6" s="79">
        <v>45778</v>
      </c>
      <c r="G6" s="79">
        <v>45809</v>
      </c>
      <c r="H6" s="79">
        <v>45839</v>
      </c>
      <c r="I6" s="79">
        <v>45870</v>
      </c>
      <c r="J6" s="79">
        <v>45901</v>
      </c>
      <c r="K6" s="79">
        <v>45931</v>
      </c>
      <c r="L6" s="79">
        <v>45962</v>
      </c>
      <c r="M6" s="79">
        <v>45992</v>
      </c>
    </row>
    <row r="7" spans="1:13" x14ac:dyDescent="0.3">
      <c r="A7" s="78" t="s">
        <v>110</v>
      </c>
      <c r="B7" s="42"/>
      <c r="C7" s="42">
        <f>B18</f>
        <v>0</v>
      </c>
      <c r="D7" s="42">
        <f t="shared" ref="D7:L7" si="0">C18</f>
        <v>0</v>
      </c>
      <c r="E7" s="42">
        <f t="shared" si="0"/>
        <v>0</v>
      </c>
      <c r="F7" s="42">
        <f t="shared" si="0"/>
        <v>80000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 t="shared" si="0"/>
        <v>0</v>
      </c>
      <c r="L7" s="42">
        <f t="shared" si="0"/>
        <v>80000</v>
      </c>
      <c r="M7" s="42">
        <f>L18</f>
        <v>0</v>
      </c>
    </row>
    <row r="8" spans="1:13" x14ac:dyDescent="0.3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/>
      <c r="C15" s="42"/>
      <c r="D15" s="42"/>
      <c r="E15" s="42">
        <v>80000</v>
      </c>
      <c r="F15" s="42">
        <v>80000</v>
      </c>
      <c r="G15" s="42">
        <v>80000</v>
      </c>
      <c r="H15" s="42">
        <v>80000</v>
      </c>
      <c r="I15" s="42">
        <v>80000</v>
      </c>
      <c r="J15" s="42">
        <v>80000</v>
      </c>
      <c r="K15" s="42">
        <v>80000</v>
      </c>
      <c r="L15" s="42">
        <v>80000</v>
      </c>
      <c r="M15" s="42">
        <v>80000</v>
      </c>
    </row>
    <row r="16" spans="1:13" x14ac:dyDescent="0.3">
      <c r="A16" s="78" t="s">
        <v>6</v>
      </c>
      <c r="B16" s="43">
        <f>SUM(B7:B15)</f>
        <v>0</v>
      </c>
      <c r="C16" s="43">
        <f t="shared" ref="C16:M16" si="1">SUM(C7:C15)</f>
        <v>0</v>
      </c>
      <c r="D16" s="43">
        <f t="shared" si="1"/>
        <v>0</v>
      </c>
      <c r="E16" s="43">
        <f t="shared" si="1"/>
        <v>80000</v>
      </c>
      <c r="F16" s="43">
        <f t="shared" si="1"/>
        <v>160000</v>
      </c>
      <c r="G16" s="43">
        <f t="shared" si="1"/>
        <v>80000</v>
      </c>
      <c r="H16" s="43">
        <f t="shared" si="1"/>
        <v>80000</v>
      </c>
      <c r="I16" s="43">
        <f t="shared" si="1"/>
        <v>80000</v>
      </c>
      <c r="J16" s="43">
        <f t="shared" si="1"/>
        <v>80000</v>
      </c>
      <c r="K16" s="43">
        <f t="shared" si="1"/>
        <v>80000</v>
      </c>
      <c r="L16" s="43">
        <f t="shared" si="1"/>
        <v>160000</v>
      </c>
      <c r="M16" s="43">
        <f t="shared" si="1"/>
        <v>80000</v>
      </c>
    </row>
    <row r="17" spans="1:13" x14ac:dyDescent="0.3">
      <c r="A17" s="78" t="s">
        <v>7</v>
      </c>
      <c r="B17" s="44"/>
      <c r="C17" s="44"/>
      <c r="D17" s="44"/>
      <c r="E17" s="44"/>
      <c r="F17" s="44">
        <v>160000</v>
      </c>
      <c r="G17" s="44">
        <v>80000</v>
      </c>
      <c r="H17" s="44">
        <v>80000</v>
      </c>
      <c r="I17" s="44">
        <v>80000</v>
      </c>
      <c r="J17" s="44">
        <v>80000</v>
      </c>
      <c r="K17" s="44">
        <v>0</v>
      </c>
      <c r="L17" s="44">
        <v>160000</v>
      </c>
      <c r="M17" s="44"/>
    </row>
    <row r="18" spans="1:13" x14ac:dyDescent="0.3">
      <c r="A18" s="78" t="s">
        <v>111</v>
      </c>
      <c r="B18" s="43">
        <f>B16-B17</f>
        <v>0</v>
      </c>
      <c r="C18" s="43">
        <f>C16-C17</f>
        <v>0</v>
      </c>
      <c r="D18" s="43">
        <f t="shared" ref="D18:M18" si="2">D16-D17</f>
        <v>0</v>
      </c>
      <c r="E18" s="43">
        <f t="shared" si="2"/>
        <v>80000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80000</v>
      </c>
      <c r="L18" s="43">
        <f t="shared" si="2"/>
        <v>0</v>
      </c>
      <c r="M18" s="43">
        <f t="shared" si="2"/>
        <v>80000</v>
      </c>
    </row>
    <row r="25" spans="1:13" x14ac:dyDescent="0.3">
      <c r="A25" s="72" t="s">
        <v>0</v>
      </c>
      <c r="B25" s="72" t="s">
        <v>1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</row>
    <row r="26" spans="1:13" x14ac:dyDescent="0.3">
      <c r="A26" s="73"/>
      <c r="B26" s="74">
        <v>46023</v>
      </c>
      <c r="C26" s="74">
        <v>46054</v>
      </c>
      <c r="D26" s="74">
        <v>46082</v>
      </c>
      <c r="E26" s="74">
        <v>46113</v>
      </c>
      <c r="F26" s="74">
        <v>46143</v>
      </c>
      <c r="G26" s="74">
        <v>46174</v>
      </c>
      <c r="H26" s="74">
        <v>46204</v>
      </c>
      <c r="I26" s="74">
        <v>46235</v>
      </c>
      <c r="J26" s="74">
        <v>46266</v>
      </c>
      <c r="K26" s="74">
        <v>46296</v>
      </c>
      <c r="L26" s="74">
        <v>46327</v>
      </c>
      <c r="M26" s="74">
        <v>46357</v>
      </c>
    </row>
    <row r="27" spans="1:13" x14ac:dyDescent="0.3">
      <c r="A27" s="65" t="s">
        <v>110</v>
      </c>
      <c r="B27" s="69">
        <v>80000</v>
      </c>
      <c r="C27" s="69">
        <f t="shared" ref="C27:M27" si="3">B38</f>
        <v>0</v>
      </c>
      <c r="D27" s="69">
        <f t="shared" si="3"/>
        <v>0</v>
      </c>
      <c r="E27" s="69">
        <f t="shared" si="3"/>
        <v>0</v>
      </c>
      <c r="F27" s="69">
        <f t="shared" si="3"/>
        <v>0</v>
      </c>
      <c r="G27" s="69">
        <f t="shared" si="3"/>
        <v>80000</v>
      </c>
      <c r="H27" s="69">
        <f t="shared" si="3"/>
        <v>80000</v>
      </c>
      <c r="I27" s="69">
        <f t="shared" si="3"/>
        <v>80000</v>
      </c>
      <c r="J27" s="69">
        <f t="shared" si="3"/>
        <v>80000</v>
      </c>
      <c r="K27" s="69">
        <f t="shared" si="3"/>
        <v>80000</v>
      </c>
      <c r="L27" s="69">
        <f t="shared" si="3"/>
        <v>80000</v>
      </c>
      <c r="M27" s="69">
        <f t="shared" si="3"/>
        <v>80000</v>
      </c>
    </row>
    <row r="28" spans="1:13" x14ac:dyDescent="0.3">
      <c r="A28" s="65" t="s">
        <v>144</v>
      </c>
      <c r="B28" s="69"/>
      <c r="C28" s="69"/>
      <c r="D28" s="69"/>
      <c r="E28" s="69"/>
      <c r="F28" s="69"/>
      <c r="G28" s="69"/>
      <c r="H28" s="69"/>
      <c r="I28" s="65"/>
      <c r="J28" s="69"/>
      <c r="K28" s="69"/>
      <c r="L28" s="69"/>
      <c r="M28" s="69"/>
    </row>
    <row r="29" spans="1:13" x14ac:dyDescent="0.3">
      <c r="A29" s="65" t="s">
        <v>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3">
      <c r="A30" s="65" t="s">
        <v>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3">
      <c r="A31" s="65" t="s">
        <v>9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x14ac:dyDescent="0.3">
      <c r="A32" s="65" t="s">
        <v>73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1:13" x14ac:dyDescent="0.3">
      <c r="A33" s="65" t="s">
        <v>74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 x14ac:dyDescent="0.3">
      <c r="A34" s="65" t="s">
        <v>75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1:13" x14ac:dyDescent="0.3">
      <c r="A35" s="65" t="s">
        <v>5</v>
      </c>
      <c r="B35" s="69">
        <v>80000</v>
      </c>
      <c r="C35" s="69">
        <v>80000</v>
      </c>
      <c r="D35" s="69">
        <v>80000</v>
      </c>
      <c r="E35" s="69">
        <v>80000</v>
      </c>
      <c r="F35" s="69">
        <v>80000</v>
      </c>
      <c r="G35" s="69"/>
      <c r="H35" s="69"/>
      <c r="I35" s="69"/>
      <c r="J35" s="69"/>
      <c r="K35" s="69"/>
      <c r="L35" s="69"/>
      <c r="M35" s="69"/>
    </row>
    <row r="36" spans="1:13" x14ac:dyDescent="0.3">
      <c r="A36" s="65" t="s">
        <v>6</v>
      </c>
      <c r="B36" s="70">
        <f t="shared" ref="B36:M36" si="4">SUM(B27:B35)</f>
        <v>160000</v>
      </c>
      <c r="C36" s="70">
        <f t="shared" si="4"/>
        <v>80000</v>
      </c>
      <c r="D36" s="70">
        <f t="shared" si="4"/>
        <v>80000</v>
      </c>
      <c r="E36" s="70">
        <f t="shared" si="4"/>
        <v>80000</v>
      </c>
      <c r="F36" s="70">
        <f t="shared" si="4"/>
        <v>80000</v>
      </c>
      <c r="G36" s="70">
        <f t="shared" si="4"/>
        <v>80000</v>
      </c>
      <c r="H36" s="70">
        <f t="shared" si="4"/>
        <v>80000</v>
      </c>
      <c r="I36" s="70">
        <f t="shared" si="4"/>
        <v>80000</v>
      </c>
      <c r="J36" s="70">
        <f t="shared" si="4"/>
        <v>80000</v>
      </c>
      <c r="K36" s="70">
        <f t="shared" si="4"/>
        <v>80000</v>
      </c>
      <c r="L36" s="70">
        <f t="shared" si="4"/>
        <v>80000</v>
      </c>
      <c r="M36" s="70">
        <f t="shared" si="4"/>
        <v>80000</v>
      </c>
    </row>
    <row r="37" spans="1:13" ht="21" thickBot="1" x14ac:dyDescent="0.35">
      <c r="A37" s="65" t="s">
        <v>7</v>
      </c>
      <c r="B37" s="71">
        <v>160000</v>
      </c>
      <c r="C37" s="71">
        <v>80000</v>
      </c>
      <c r="D37" s="71">
        <v>80000</v>
      </c>
      <c r="E37" s="71">
        <v>80000</v>
      </c>
      <c r="F37" s="71"/>
      <c r="G37" s="71"/>
      <c r="H37" s="71"/>
      <c r="I37" s="71"/>
      <c r="J37" s="71"/>
      <c r="K37" s="71"/>
      <c r="L37" s="71"/>
      <c r="M37" s="71"/>
    </row>
    <row r="38" spans="1:13" ht="21" thickBot="1" x14ac:dyDescent="0.35">
      <c r="A38" s="65" t="s">
        <v>111</v>
      </c>
      <c r="B38" s="75">
        <f t="shared" ref="B38:M38" si="5">B36-B37</f>
        <v>0</v>
      </c>
      <c r="C38" s="76">
        <f t="shared" si="5"/>
        <v>0</v>
      </c>
      <c r="D38" s="76">
        <f t="shared" si="5"/>
        <v>0</v>
      </c>
      <c r="E38" s="76">
        <f t="shared" si="5"/>
        <v>0</v>
      </c>
      <c r="F38" s="76">
        <f t="shared" si="5"/>
        <v>80000</v>
      </c>
      <c r="G38" s="76">
        <f t="shared" si="5"/>
        <v>80000</v>
      </c>
      <c r="H38" s="76">
        <f t="shared" si="5"/>
        <v>80000</v>
      </c>
      <c r="I38" s="76">
        <f t="shared" si="5"/>
        <v>80000</v>
      </c>
      <c r="J38" s="76">
        <f t="shared" si="5"/>
        <v>80000</v>
      </c>
      <c r="K38" s="76">
        <f t="shared" si="5"/>
        <v>80000</v>
      </c>
      <c r="L38" s="76">
        <f t="shared" si="5"/>
        <v>80000</v>
      </c>
      <c r="M38" s="77">
        <f t="shared" si="5"/>
        <v>80000</v>
      </c>
    </row>
    <row r="39" spans="1:13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3">
      <c r="A40" s="32" t="s">
        <v>0</v>
      </c>
      <c r="B40" s="32" t="s">
        <v>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 x14ac:dyDescent="0.3">
      <c r="A41" s="33"/>
      <c r="B41" s="34">
        <v>39814</v>
      </c>
      <c r="C41" s="34">
        <v>39845</v>
      </c>
      <c r="D41" s="34">
        <v>39873</v>
      </c>
      <c r="E41" s="34">
        <v>39904</v>
      </c>
      <c r="F41" s="34">
        <v>39934</v>
      </c>
      <c r="G41" s="34">
        <v>39965</v>
      </c>
      <c r="H41" s="34">
        <v>39995</v>
      </c>
      <c r="I41" s="34">
        <v>40026</v>
      </c>
      <c r="J41" s="34">
        <v>40057</v>
      </c>
      <c r="K41" s="34">
        <v>40087</v>
      </c>
      <c r="L41" s="34">
        <v>40118</v>
      </c>
      <c r="M41" s="34">
        <v>40148</v>
      </c>
    </row>
    <row r="42" spans="1:13" x14ac:dyDescent="0.3">
      <c r="A42" s="8" t="s">
        <v>110</v>
      </c>
      <c r="B42" s="28">
        <f>M38</f>
        <v>80000</v>
      </c>
      <c r="C42" s="28">
        <f t="shared" ref="C42:M42" si="6">B53</f>
        <v>80250</v>
      </c>
      <c r="D42" s="28">
        <f t="shared" si="6"/>
        <v>80556</v>
      </c>
      <c r="E42" s="28">
        <f t="shared" si="6"/>
        <v>80806</v>
      </c>
      <c r="F42" s="28">
        <f t="shared" si="6"/>
        <v>81056</v>
      </c>
      <c r="G42" s="28">
        <f t="shared" si="6"/>
        <v>81306</v>
      </c>
      <c r="H42" s="28">
        <f t="shared" si="6"/>
        <v>81622</v>
      </c>
      <c r="I42" s="28">
        <f t="shared" si="6"/>
        <v>81872</v>
      </c>
      <c r="J42" s="28">
        <f t="shared" si="6"/>
        <v>82122</v>
      </c>
      <c r="K42" s="28">
        <f t="shared" si="6"/>
        <v>82457</v>
      </c>
      <c r="L42" s="28">
        <f t="shared" si="6"/>
        <v>82772</v>
      </c>
      <c r="M42" s="28">
        <f t="shared" si="6"/>
        <v>82584</v>
      </c>
    </row>
    <row r="43" spans="1:13" x14ac:dyDescent="0.3">
      <c r="A43" s="8" t="s">
        <v>144</v>
      </c>
      <c r="B43" s="28"/>
      <c r="C43" s="28"/>
      <c r="D43" s="28"/>
      <c r="E43" s="28"/>
      <c r="F43" s="28"/>
      <c r="G43" s="28"/>
      <c r="H43" s="28"/>
      <c r="J43" s="28"/>
      <c r="K43" s="28"/>
      <c r="L43" s="28"/>
      <c r="M43" s="28"/>
    </row>
    <row r="44" spans="1:13" x14ac:dyDescent="0.3">
      <c r="A44" s="8" t="s">
        <v>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x14ac:dyDescent="0.3">
      <c r="A45" s="8" t="s">
        <v>4</v>
      </c>
      <c r="B45" s="28"/>
      <c r="C45" s="28">
        <v>56</v>
      </c>
      <c r="D45" s="28"/>
      <c r="E45" s="28"/>
      <c r="F45" s="28"/>
      <c r="G45" s="28">
        <v>66</v>
      </c>
      <c r="H45" s="28"/>
      <c r="I45" s="28"/>
      <c r="J45" s="28">
        <v>85</v>
      </c>
      <c r="K45" s="28">
        <v>65</v>
      </c>
      <c r="L45" s="28">
        <v>62</v>
      </c>
      <c r="M45" s="28"/>
    </row>
    <row r="46" spans="1:13" x14ac:dyDescent="0.3">
      <c r="A46" s="8" t="s">
        <v>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x14ac:dyDescent="0.3">
      <c r="A47" s="8" t="s">
        <v>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x14ac:dyDescent="0.3">
      <c r="A48" s="8" t="s">
        <v>74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x14ac:dyDescent="0.3">
      <c r="A49" s="8" t="s">
        <v>75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x14ac:dyDescent="0.3">
      <c r="A50" s="8" t="s">
        <v>5</v>
      </c>
      <c r="B50" s="28">
        <v>250</v>
      </c>
      <c r="C50" s="28">
        <v>250</v>
      </c>
      <c r="D50" s="28">
        <v>250</v>
      </c>
      <c r="E50" s="28">
        <v>250</v>
      </c>
      <c r="F50" s="28">
        <v>250</v>
      </c>
      <c r="G50" s="28">
        <v>250</v>
      </c>
      <c r="H50" s="28">
        <v>250</v>
      </c>
      <c r="I50" s="28">
        <v>250</v>
      </c>
      <c r="J50" s="28">
        <v>250</v>
      </c>
      <c r="K50" s="28">
        <v>250</v>
      </c>
      <c r="L50" s="28">
        <v>250</v>
      </c>
      <c r="M50" s="28">
        <v>250</v>
      </c>
    </row>
    <row r="51" spans="1:13" x14ac:dyDescent="0.3">
      <c r="A51" s="8" t="s">
        <v>6</v>
      </c>
      <c r="B51" s="29">
        <f t="shared" ref="B51:M51" si="7">SUM(B42:B50)</f>
        <v>80250</v>
      </c>
      <c r="C51" s="29">
        <f t="shared" si="7"/>
        <v>80556</v>
      </c>
      <c r="D51" s="29">
        <f t="shared" si="7"/>
        <v>80806</v>
      </c>
      <c r="E51" s="29">
        <f t="shared" si="7"/>
        <v>81056</v>
      </c>
      <c r="F51" s="29">
        <f t="shared" si="7"/>
        <v>81306</v>
      </c>
      <c r="G51" s="29">
        <f t="shared" si="7"/>
        <v>81622</v>
      </c>
      <c r="H51" s="29">
        <f t="shared" si="7"/>
        <v>81872</v>
      </c>
      <c r="I51" s="29">
        <f t="shared" si="7"/>
        <v>82122</v>
      </c>
      <c r="J51" s="29">
        <f t="shared" si="7"/>
        <v>82457</v>
      </c>
      <c r="K51" s="29">
        <f t="shared" si="7"/>
        <v>82772</v>
      </c>
      <c r="L51" s="29">
        <f t="shared" si="7"/>
        <v>83084</v>
      </c>
      <c r="M51" s="29">
        <f t="shared" si="7"/>
        <v>82834</v>
      </c>
    </row>
    <row r="52" spans="1:13" ht="21" thickBot="1" x14ac:dyDescent="0.35">
      <c r="A52" s="8" t="s">
        <v>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>
        <v>500</v>
      </c>
      <c r="M52" s="30"/>
    </row>
    <row r="53" spans="1:13" ht="21" thickBot="1" x14ac:dyDescent="0.35">
      <c r="A53" s="8" t="s">
        <v>111</v>
      </c>
      <c r="B53" s="35">
        <f t="shared" ref="B53:M53" si="8">B51-B52</f>
        <v>80250</v>
      </c>
      <c r="C53" s="36">
        <f t="shared" si="8"/>
        <v>80556</v>
      </c>
      <c r="D53" s="36">
        <f t="shared" si="8"/>
        <v>80806</v>
      </c>
      <c r="E53" s="36">
        <f t="shared" si="8"/>
        <v>81056</v>
      </c>
      <c r="F53" s="36">
        <f t="shared" si="8"/>
        <v>81306</v>
      </c>
      <c r="G53" s="36">
        <f t="shared" si="8"/>
        <v>81622</v>
      </c>
      <c r="H53" s="36">
        <f t="shared" si="8"/>
        <v>81872</v>
      </c>
      <c r="I53" s="36">
        <f t="shared" si="8"/>
        <v>82122</v>
      </c>
      <c r="J53" s="36">
        <f t="shared" si="8"/>
        <v>82457</v>
      </c>
      <c r="K53" s="36">
        <f t="shared" si="8"/>
        <v>82772</v>
      </c>
      <c r="L53" s="36">
        <f t="shared" si="8"/>
        <v>82584</v>
      </c>
      <c r="M53" s="37">
        <f t="shared" si="8"/>
        <v>82834</v>
      </c>
    </row>
    <row r="56" spans="1:13" x14ac:dyDescent="0.3">
      <c r="A56" s="32" t="s">
        <v>0</v>
      </c>
      <c r="B56" s="32" t="s">
        <v>1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 x14ac:dyDescent="0.3">
      <c r="A57" s="33"/>
      <c r="B57" s="34">
        <v>40179</v>
      </c>
      <c r="C57" s="34">
        <v>40210</v>
      </c>
      <c r="D57" s="34">
        <v>40238</v>
      </c>
      <c r="E57" s="34">
        <v>40269</v>
      </c>
      <c r="F57" s="34">
        <v>40299</v>
      </c>
      <c r="G57" s="34">
        <v>40330</v>
      </c>
      <c r="H57" s="34">
        <v>40360</v>
      </c>
      <c r="I57" s="34">
        <v>40391</v>
      </c>
      <c r="J57" s="34">
        <v>40422</v>
      </c>
      <c r="K57" s="34">
        <v>40452</v>
      </c>
      <c r="L57" s="34">
        <v>40483</v>
      </c>
      <c r="M57" s="34">
        <v>40513</v>
      </c>
    </row>
    <row r="58" spans="1:13" x14ac:dyDescent="0.3">
      <c r="A58" s="8" t="s">
        <v>110</v>
      </c>
      <c r="B58" s="28">
        <f>M53</f>
        <v>82834</v>
      </c>
      <c r="C58" s="28">
        <f t="shared" ref="C58:M58" si="9">B69</f>
        <v>82160.320000000007</v>
      </c>
      <c r="D58" s="28">
        <f t="shared" si="9"/>
        <v>82505.320000000007</v>
      </c>
      <c r="E58" s="28">
        <f t="shared" si="9"/>
        <v>81840.320000000007</v>
      </c>
      <c r="F58" s="28">
        <f t="shared" si="9"/>
        <v>81085.710000000006</v>
      </c>
      <c r="G58" s="28">
        <f t="shared" si="9"/>
        <v>81335.710000000006</v>
      </c>
      <c r="H58" s="28">
        <f t="shared" si="9"/>
        <v>81585.710000000006</v>
      </c>
      <c r="I58" s="28">
        <f t="shared" si="9"/>
        <v>81835.710000000006</v>
      </c>
      <c r="J58" s="28">
        <f t="shared" si="9"/>
        <v>82085.710000000006</v>
      </c>
      <c r="K58" s="28">
        <f t="shared" si="9"/>
        <v>82335.710000000006</v>
      </c>
      <c r="L58" s="28">
        <f t="shared" si="9"/>
        <v>82635.710000000006</v>
      </c>
      <c r="M58" s="28">
        <f t="shared" si="9"/>
        <v>82935.710000000006</v>
      </c>
    </row>
    <row r="59" spans="1:13" x14ac:dyDescent="0.3">
      <c r="A59" s="8" t="s">
        <v>144</v>
      </c>
      <c r="B59" s="28"/>
      <c r="C59" s="28"/>
      <c r="D59" s="28"/>
      <c r="E59" s="28"/>
      <c r="F59" s="28"/>
      <c r="G59" s="28"/>
      <c r="H59" s="28"/>
      <c r="J59" s="28"/>
      <c r="K59" s="28"/>
      <c r="L59" s="28"/>
      <c r="M59" s="28"/>
    </row>
    <row r="60" spans="1:13" x14ac:dyDescent="0.3">
      <c r="A60" s="8" t="s">
        <v>3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 x14ac:dyDescent="0.3">
      <c r="A61" s="8" t="s">
        <v>4</v>
      </c>
      <c r="B61" s="28">
        <v>76.319999999999993</v>
      </c>
      <c r="C61" s="28">
        <v>95</v>
      </c>
      <c r="D61" s="28">
        <v>85</v>
      </c>
      <c r="E61" s="28"/>
      <c r="F61" s="28"/>
      <c r="G61" s="28"/>
      <c r="H61" s="28"/>
      <c r="I61" s="28"/>
      <c r="J61" s="28"/>
      <c r="K61" s="28"/>
      <c r="L61" s="28"/>
      <c r="M61" s="28"/>
    </row>
    <row r="62" spans="1:13" x14ac:dyDescent="0.3">
      <c r="A62" s="8" t="s">
        <v>9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 x14ac:dyDescent="0.3">
      <c r="A63" s="8" t="s">
        <v>73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 x14ac:dyDescent="0.3">
      <c r="A64" s="8" t="s">
        <v>74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 x14ac:dyDescent="0.3">
      <c r="A65" s="8" t="s">
        <v>75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x14ac:dyDescent="0.3">
      <c r="A66" s="8" t="s">
        <v>5</v>
      </c>
      <c r="B66" s="28">
        <v>250</v>
      </c>
      <c r="C66" s="28">
        <v>250</v>
      </c>
      <c r="D66" s="28">
        <v>250</v>
      </c>
      <c r="E66" s="28">
        <v>250</v>
      </c>
      <c r="F66" s="28">
        <v>250</v>
      </c>
      <c r="G66" s="28">
        <v>250</v>
      </c>
      <c r="H66" s="28">
        <v>250</v>
      </c>
      <c r="I66" s="28">
        <v>250</v>
      </c>
      <c r="J66" s="28">
        <v>250</v>
      </c>
      <c r="K66" s="28">
        <v>300</v>
      </c>
      <c r="L66" s="28">
        <v>300</v>
      </c>
      <c r="M66" s="28">
        <v>300</v>
      </c>
    </row>
    <row r="67" spans="1:13" x14ac:dyDescent="0.3">
      <c r="A67" s="8" t="s">
        <v>6</v>
      </c>
      <c r="B67" s="29">
        <f t="shared" ref="B67:M67" si="10">SUM(B58:B66)</f>
        <v>83160.320000000007</v>
      </c>
      <c r="C67" s="29">
        <f t="shared" si="10"/>
        <v>82505.320000000007</v>
      </c>
      <c r="D67" s="29">
        <f t="shared" si="10"/>
        <v>82840.320000000007</v>
      </c>
      <c r="E67" s="29">
        <f t="shared" si="10"/>
        <v>82090.320000000007</v>
      </c>
      <c r="F67" s="29">
        <f t="shared" si="10"/>
        <v>81335.710000000006</v>
      </c>
      <c r="G67" s="29">
        <f t="shared" si="10"/>
        <v>81585.710000000006</v>
      </c>
      <c r="H67" s="29">
        <f t="shared" si="10"/>
        <v>81835.710000000006</v>
      </c>
      <c r="I67" s="29">
        <f t="shared" si="10"/>
        <v>82085.710000000006</v>
      </c>
      <c r="J67" s="29">
        <f t="shared" si="10"/>
        <v>82335.710000000006</v>
      </c>
      <c r="K67" s="29">
        <f t="shared" si="10"/>
        <v>82635.710000000006</v>
      </c>
      <c r="L67" s="29">
        <f t="shared" si="10"/>
        <v>82935.710000000006</v>
      </c>
      <c r="M67" s="29">
        <f t="shared" si="10"/>
        <v>83235.710000000006</v>
      </c>
    </row>
    <row r="68" spans="1:13" ht="21" thickBot="1" x14ac:dyDescent="0.35">
      <c r="A68" s="8" t="s">
        <v>7</v>
      </c>
      <c r="B68" s="30">
        <v>1000</v>
      </c>
      <c r="C68" s="30"/>
      <c r="D68" s="30">
        <v>1000</v>
      </c>
      <c r="E68" s="30">
        <v>1004.61</v>
      </c>
      <c r="F68" s="30"/>
      <c r="G68" s="30"/>
      <c r="H68" s="30"/>
      <c r="I68" s="30"/>
      <c r="J68" s="30"/>
      <c r="K68" s="30"/>
      <c r="L68" s="30"/>
      <c r="M68" s="30"/>
    </row>
    <row r="69" spans="1:13" ht="21" thickBot="1" x14ac:dyDescent="0.35">
      <c r="A69" s="8" t="s">
        <v>111</v>
      </c>
      <c r="B69" s="35">
        <f t="shared" ref="B69:M69" si="11">B67-B68</f>
        <v>82160.320000000007</v>
      </c>
      <c r="C69" s="36">
        <f t="shared" si="11"/>
        <v>82505.320000000007</v>
      </c>
      <c r="D69" s="36">
        <f t="shared" si="11"/>
        <v>81840.320000000007</v>
      </c>
      <c r="E69" s="36">
        <f t="shared" si="11"/>
        <v>81085.710000000006</v>
      </c>
      <c r="F69" s="36">
        <f t="shared" si="11"/>
        <v>81335.710000000006</v>
      </c>
      <c r="G69" s="36">
        <f t="shared" si="11"/>
        <v>81585.710000000006</v>
      </c>
      <c r="H69" s="36">
        <f t="shared" si="11"/>
        <v>81835.710000000006</v>
      </c>
      <c r="I69" s="36">
        <f t="shared" si="11"/>
        <v>82085.710000000006</v>
      </c>
      <c r="J69" s="36">
        <f t="shared" si="11"/>
        <v>82335.710000000006</v>
      </c>
      <c r="K69" s="36">
        <f t="shared" si="11"/>
        <v>82635.710000000006</v>
      </c>
      <c r="L69" s="36">
        <f t="shared" si="11"/>
        <v>82935.710000000006</v>
      </c>
      <c r="M69" s="37">
        <f t="shared" si="11"/>
        <v>83235.710000000006</v>
      </c>
    </row>
  </sheetData>
  <mergeCells count="1">
    <mergeCell ref="B3:G3"/>
  </mergeCells>
  <phoneticPr fontId="4" type="noConversion"/>
  <hyperlinks>
    <hyperlink ref="A1" location="Clientes!A1" display="Volver"/>
  </hyperlinks>
  <pageMargins left="0.19685039370078741" right="0.19685039370078741" top="0.98425196850393704" bottom="0.98425196850393704" header="0" footer="0"/>
  <pageSetup paperSize="9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8"/>
  <dimension ref="A3:M39"/>
  <sheetViews>
    <sheetView topLeftCell="A7" workbookViewId="0">
      <selection activeCell="I16" sqref="I16"/>
    </sheetView>
  </sheetViews>
  <sheetFormatPr baseColWidth="10" defaultRowHeight="12.75" x14ac:dyDescent="0.2"/>
  <cols>
    <col min="1" max="1" width="33.1406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44562</v>
      </c>
      <c r="C4" s="82">
        <v>44593</v>
      </c>
      <c r="D4" s="82">
        <v>44621</v>
      </c>
      <c r="E4" s="82">
        <v>44652</v>
      </c>
      <c r="F4" s="82">
        <v>44682</v>
      </c>
      <c r="G4" s="82">
        <v>44713</v>
      </c>
      <c r="H4" s="82">
        <v>44743</v>
      </c>
      <c r="I4" s="82">
        <v>44774</v>
      </c>
      <c r="J4" s="82">
        <v>44805</v>
      </c>
      <c r="K4" s="82">
        <v>44835</v>
      </c>
      <c r="L4" s="82">
        <v>44866</v>
      </c>
      <c r="M4" s="82">
        <v>44896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L5" si="0">C16</f>
        <v>-70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>L16</f>
        <v>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>
        <v>4600</v>
      </c>
      <c r="C7" s="42">
        <v>5970</v>
      </c>
      <c r="D7" s="42">
        <v>2050</v>
      </c>
      <c r="E7" s="42">
        <v>1000</v>
      </c>
      <c r="F7" s="42">
        <v>1050</v>
      </c>
      <c r="G7" s="42">
        <v>1770</v>
      </c>
      <c r="H7" s="42"/>
      <c r="I7" s="42">
        <v>1000</v>
      </c>
      <c r="J7" s="42"/>
      <c r="K7" s="42"/>
      <c r="L7" s="42"/>
      <c r="M7" s="42"/>
    </row>
    <row r="8" spans="1:13" x14ac:dyDescent="0.2">
      <c r="A8" s="78" t="s">
        <v>4</v>
      </c>
      <c r="B8" s="42">
        <v>1500</v>
      </c>
      <c r="C8" s="42">
        <v>3260</v>
      </c>
      <c r="D8" s="42">
        <v>3400</v>
      </c>
      <c r="E8" s="42">
        <v>3890</v>
      </c>
      <c r="F8" s="42">
        <v>3300</v>
      </c>
      <c r="G8" s="42">
        <v>2340</v>
      </c>
      <c r="H8" s="42">
        <v>4890</v>
      </c>
      <c r="I8" s="42">
        <v>2870</v>
      </c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148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10000</v>
      </c>
      <c r="C13" s="42">
        <v>12000</v>
      </c>
      <c r="D13" s="42">
        <v>15000</v>
      </c>
      <c r="E13" s="42">
        <v>15000</v>
      </c>
      <c r="F13" s="42">
        <v>15000</v>
      </c>
      <c r="G13" s="42">
        <v>16000</v>
      </c>
      <c r="H13" s="42">
        <v>18000</v>
      </c>
      <c r="I13" s="42">
        <v>20000</v>
      </c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16100</v>
      </c>
      <c r="C14" s="43">
        <f t="shared" ref="C14:M14" si="1">SUM(C5:C13)</f>
        <v>21230</v>
      </c>
      <c r="D14" s="43">
        <f t="shared" si="1"/>
        <v>20380</v>
      </c>
      <c r="E14" s="43">
        <f t="shared" si="1"/>
        <v>19890</v>
      </c>
      <c r="F14" s="43">
        <f t="shared" si="1"/>
        <v>19350</v>
      </c>
      <c r="G14" s="43">
        <f t="shared" si="1"/>
        <v>20110</v>
      </c>
      <c r="H14" s="43">
        <f t="shared" si="1"/>
        <v>22890</v>
      </c>
      <c r="I14" s="43">
        <f t="shared" si="1"/>
        <v>23870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ht="13.5" thickBot="1" x14ac:dyDescent="0.25">
      <c r="A15" s="78" t="s">
        <v>7</v>
      </c>
      <c r="B15" s="44">
        <v>16100</v>
      </c>
      <c r="C15" s="44">
        <v>21300</v>
      </c>
      <c r="D15" s="44">
        <v>20380</v>
      </c>
      <c r="E15" s="44">
        <v>19890</v>
      </c>
      <c r="F15" s="44">
        <v>19350</v>
      </c>
      <c r="G15" s="44">
        <v>20110</v>
      </c>
      <c r="H15" s="44">
        <f>14000+8890</f>
        <v>22890</v>
      </c>
      <c r="I15" s="44">
        <v>23870</v>
      </c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-70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7">
        <f t="shared" si="2"/>
        <v>0</v>
      </c>
    </row>
    <row r="17" spans="1:13" x14ac:dyDescent="0.2">
      <c r="B17" s="128">
        <v>44592</v>
      </c>
      <c r="D17" s="128">
        <v>44648</v>
      </c>
    </row>
    <row r="20" spans="1:13" ht="15.75" x14ac:dyDescent="0.25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2">
      <c r="A21" s="81"/>
      <c r="B21" s="82">
        <v>44197</v>
      </c>
      <c r="C21" s="82">
        <v>44228</v>
      </c>
      <c r="D21" s="82">
        <v>44256</v>
      </c>
      <c r="E21" s="82">
        <v>44287</v>
      </c>
      <c r="F21" s="82">
        <v>44317</v>
      </c>
      <c r="G21" s="82">
        <v>44348</v>
      </c>
      <c r="H21" s="82">
        <v>44378</v>
      </c>
      <c r="I21" s="82">
        <v>44409</v>
      </c>
      <c r="J21" s="82">
        <v>44440</v>
      </c>
      <c r="K21" s="82">
        <v>44470</v>
      </c>
      <c r="L21" s="82">
        <v>44501</v>
      </c>
      <c r="M21" s="82">
        <v>44531</v>
      </c>
    </row>
    <row r="22" spans="1:13" x14ac:dyDescent="0.2">
      <c r="A22" s="78" t="s">
        <v>110</v>
      </c>
      <c r="B22" s="42"/>
      <c r="C22" s="42">
        <f t="shared" ref="C22:M22" si="3">B33</f>
        <v>0</v>
      </c>
      <c r="D22" s="42">
        <f t="shared" si="3"/>
        <v>0</v>
      </c>
      <c r="E22" s="42">
        <f t="shared" si="3"/>
        <v>0</v>
      </c>
      <c r="F22" s="42">
        <f t="shared" si="3"/>
        <v>0</v>
      </c>
      <c r="G22" s="42">
        <f t="shared" si="3"/>
        <v>-3058</v>
      </c>
      <c r="H22" s="42">
        <f t="shared" si="3"/>
        <v>-20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 t="shared" si="3"/>
        <v>0</v>
      </c>
    </row>
    <row r="23" spans="1:13" x14ac:dyDescent="0.2">
      <c r="A23" s="78" t="s">
        <v>2</v>
      </c>
      <c r="B23" s="15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>
        <v>800</v>
      </c>
      <c r="C24" s="42">
        <v>3847</v>
      </c>
      <c r="D24" s="42">
        <v>600</v>
      </c>
      <c r="E24" s="42"/>
      <c r="F24" s="42">
        <v>4215</v>
      </c>
      <c r="G24" s="42"/>
      <c r="H24" s="42">
        <v>2915</v>
      </c>
      <c r="I24" s="42">
        <v>1740</v>
      </c>
      <c r="J24" s="42">
        <v>4380</v>
      </c>
      <c r="K24" s="42">
        <v>1327</v>
      </c>
      <c r="L24" s="42">
        <v>5800</v>
      </c>
      <c r="M24" s="42">
        <v>4900</v>
      </c>
    </row>
    <row r="25" spans="1:13" x14ac:dyDescent="0.2">
      <c r="A25" s="78" t="s">
        <v>4</v>
      </c>
      <c r="B25" s="42">
        <v>1220</v>
      </c>
      <c r="C25" s="42"/>
      <c r="D25" s="42">
        <v>1050</v>
      </c>
      <c r="E25" s="42">
        <v>2450</v>
      </c>
      <c r="F25" s="42">
        <v>1433</v>
      </c>
      <c r="G25" s="42">
        <v>2038</v>
      </c>
      <c r="H25" s="42"/>
      <c r="I25" s="42">
        <v>1920</v>
      </c>
      <c r="J25" s="42">
        <v>2513</v>
      </c>
      <c r="K25" s="42">
        <v>975</v>
      </c>
      <c r="L25" s="42">
        <v>2800</v>
      </c>
      <c r="M25" s="42">
        <v>2950</v>
      </c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>
        <v>7</v>
      </c>
      <c r="K26" s="42">
        <v>8</v>
      </c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148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5000</v>
      </c>
      <c r="C30" s="42">
        <v>6000</v>
      </c>
      <c r="D30" s="42">
        <v>6000</v>
      </c>
      <c r="E30" s="42">
        <v>6000</v>
      </c>
      <c r="F30" s="42">
        <v>6000</v>
      </c>
      <c r="G30" s="42">
        <v>7000</v>
      </c>
      <c r="H30" s="42">
        <v>7000</v>
      </c>
      <c r="I30" s="42">
        <v>7000</v>
      </c>
      <c r="J30" s="42">
        <v>7000</v>
      </c>
      <c r="K30" s="42">
        <v>7000</v>
      </c>
      <c r="L30" s="42">
        <v>9000</v>
      </c>
      <c r="M30" s="42">
        <v>10000</v>
      </c>
    </row>
    <row r="31" spans="1:13" x14ac:dyDescent="0.2">
      <c r="A31" s="78" t="s">
        <v>6</v>
      </c>
      <c r="B31" s="43">
        <f>SUM(B22:B30)</f>
        <v>7020</v>
      </c>
      <c r="C31" s="43">
        <f t="shared" ref="C31:M31" si="4">SUM(C22:C30)</f>
        <v>9847</v>
      </c>
      <c r="D31" s="43">
        <f t="shared" si="4"/>
        <v>7650</v>
      </c>
      <c r="E31" s="43">
        <f t="shared" si="4"/>
        <v>8450</v>
      </c>
      <c r="F31" s="43">
        <f t="shared" si="4"/>
        <v>11648</v>
      </c>
      <c r="G31" s="43">
        <f t="shared" si="4"/>
        <v>5980</v>
      </c>
      <c r="H31" s="43">
        <f t="shared" si="4"/>
        <v>9895</v>
      </c>
      <c r="I31" s="43">
        <f t="shared" si="4"/>
        <v>10660</v>
      </c>
      <c r="J31" s="43">
        <f t="shared" si="4"/>
        <v>13900</v>
      </c>
      <c r="K31" s="43">
        <f t="shared" si="4"/>
        <v>9310</v>
      </c>
      <c r="L31" s="43">
        <f t="shared" si="4"/>
        <v>17600</v>
      </c>
      <c r="M31" s="43">
        <f t="shared" si="4"/>
        <v>17850</v>
      </c>
    </row>
    <row r="32" spans="1:13" ht="13.5" thickBot="1" x14ac:dyDescent="0.25">
      <c r="A32" s="78" t="s">
        <v>7</v>
      </c>
      <c r="B32" s="44">
        <v>7020</v>
      </c>
      <c r="C32" s="44">
        <v>9847</v>
      </c>
      <c r="D32" s="44">
        <v>7650</v>
      </c>
      <c r="E32" s="44">
        <v>8450</v>
      </c>
      <c r="F32" s="44">
        <v>14706</v>
      </c>
      <c r="G32" s="44">
        <v>6000</v>
      </c>
      <c r="H32" s="44">
        <v>9895</v>
      </c>
      <c r="I32" s="44">
        <v>10660</v>
      </c>
      <c r="J32" s="44">
        <v>13900</v>
      </c>
      <c r="K32" s="44">
        <v>9310</v>
      </c>
      <c r="L32" s="44">
        <v>17600</v>
      </c>
      <c r="M32" s="44">
        <v>17850</v>
      </c>
    </row>
    <row r="33" spans="1:13" ht="13.5" thickBot="1" x14ac:dyDescent="0.25">
      <c r="A33" s="78" t="s">
        <v>111</v>
      </c>
      <c r="B33" s="45">
        <f t="shared" ref="B33:M33" si="5">B31-B32</f>
        <v>0</v>
      </c>
      <c r="C33" s="46">
        <f t="shared" si="5"/>
        <v>0</v>
      </c>
      <c r="D33" s="46"/>
      <c r="E33" s="46">
        <f t="shared" si="5"/>
        <v>0</v>
      </c>
      <c r="F33" s="46">
        <f t="shared" si="5"/>
        <v>-3058</v>
      </c>
      <c r="G33" s="46">
        <f t="shared" si="5"/>
        <v>-20</v>
      </c>
      <c r="H33" s="46">
        <f t="shared" si="5"/>
        <v>0</v>
      </c>
      <c r="I33" s="46">
        <f t="shared" si="5"/>
        <v>0</v>
      </c>
      <c r="J33" s="46">
        <f t="shared" si="5"/>
        <v>0</v>
      </c>
      <c r="K33" s="46">
        <f t="shared" si="5"/>
        <v>0</v>
      </c>
      <c r="L33" s="46">
        <f t="shared" si="5"/>
        <v>0</v>
      </c>
      <c r="M33" s="47">
        <f t="shared" si="5"/>
        <v>0</v>
      </c>
    </row>
    <row r="34" spans="1:13" x14ac:dyDescent="0.2">
      <c r="H34" s="128">
        <v>44406</v>
      </c>
    </row>
    <row r="35" spans="1:13" x14ac:dyDescent="0.2">
      <c r="H35">
        <f>5000+4900</f>
        <v>9900</v>
      </c>
    </row>
    <row r="39" spans="1:13" x14ac:dyDescent="0.2">
      <c r="B39">
        <v>1500</v>
      </c>
      <c r="C39" t="s">
        <v>388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9"/>
  <dimension ref="A5:M34"/>
  <sheetViews>
    <sheetView workbookViewId="0">
      <selection activeCell="D18" sqref="D18"/>
    </sheetView>
  </sheetViews>
  <sheetFormatPr baseColWidth="10" defaultRowHeight="12.75" x14ac:dyDescent="0.2"/>
  <cols>
    <col min="1" max="1" width="28.42578125" customWidth="1"/>
  </cols>
  <sheetData>
    <row r="5" spans="1:13" x14ac:dyDescent="0.2">
      <c r="A5" s="50" t="s">
        <v>0</v>
      </c>
      <c r="B5" s="50" t="s">
        <v>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13" x14ac:dyDescent="0.2">
      <c r="A6" s="78"/>
      <c r="B6" s="79">
        <v>44197</v>
      </c>
      <c r="C6" s="79">
        <v>44228</v>
      </c>
      <c r="D6" s="79">
        <v>44256</v>
      </c>
      <c r="E6" s="79">
        <v>44287</v>
      </c>
      <c r="F6" s="79">
        <v>44317</v>
      </c>
      <c r="G6" s="79">
        <v>44348</v>
      </c>
      <c r="H6" s="79">
        <v>44378</v>
      </c>
      <c r="I6" s="79">
        <v>44409</v>
      </c>
      <c r="J6" s="79">
        <v>44440</v>
      </c>
      <c r="K6" s="79">
        <v>44470</v>
      </c>
      <c r="L6" s="79">
        <v>44501</v>
      </c>
      <c r="M6" s="79">
        <v>44531</v>
      </c>
    </row>
    <row r="7" spans="1:13" x14ac:dyDescent="0.2">
      <c r="A7" s="78" t="s">
        <v>110</v>
      </c>
      <c r="B7" s="42">
        <v>10000</v>
      </c>
      <c r="C7" s="42">
        <f>B18</f>
        <v>12300</v>
      </c>
      <c r="D7" s="42">
        <f t="shared" ref="D7:M7" si="0">C18</f>
        <v>13800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>J18</f>
        <v>0</v>
      </c>
      <c r="L7" s="42">
        <f t="shared" si="0"/>
        <v>0</v>
      </c>
      <c r="M7" s="42">
        <f t="shared" si="0"/>
        <v>0</v>
      </c>
    </row>
    <row r="8" spans="1:13" x14ac:dyDescent="0.2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>
        <v>800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108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1500</v>
      </c>
      <c r="C15" s="42">
        <v>1500</v>
      </c>
      <c r="D15" s="42">
        <v>1500</v>
      </c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6</v>
      </c>
      <c r="B16" s="43">
        <f>SUM(B7:B15)</f>
        <v>12300</v>
      </c>
      <c r="C16" s="43">
        <f t="shared" ref="C16:M16" si="1">SUM(C7:C15)</f>
        <v>13800</v>
      </c>
      <c r="D16" s="43">
        <f t="shared" si="1"/>
        <v>15300</v>
      </c>
      <c r="E16" s="43">
        <f t="shared" si="1"/>
        <v>0</v>
      </c>
      <c r="F16" s="43">
        <f t="shared" si="1"/>
        <v>0</v>
      </c>
      <c r="G16" s="43">
        <f t="shared" si="1"/>
        <v>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0</v>
      </c>
      <c r="L16" s="43">
        <f t="shared" si="1"/>
        <v>0</v>
      </c>
      <c r="M16" s="43">
        <f t="shared" si="1"/>
        <v>0</v>
      </c>
    </row>
    <row r="17" spans="1:13" x14ac:dyDescent="0.2">
      <c r="A17" s="78" t="s">
        <v>7</v>
      </c>
      <c r="B17" s="44"/>
      <c r="C17" s="44"/>
      <c r="D17" s="44">
        <v>15300</v>
      </c>
      <c r="E17" s="44"/>
      <c r="F17" s="44"/>
      <c r="G17" s="44"/>
      <c r="H17" s="44"/>
      <c r="I17" s="44"/>
      <c r="J17" s="44"/>
      <c r="K17" s="44"/>
      <c r="L17" s="44"/>
      <c r="M17" s="44"/>
    </row>
    <row r="18" spans="1:13" x14ac:dyDescent="0.2">
      <c r="A18" s="78" t="s">
        <v>111</v>
      </c>
      <c r="B18" s="43">
        <f>B16-B17</f>
        <v>12300</v>
      </c>
      <c r="C18" s="43">
        <f>C16-C17</f>
        <v>13800</v>
      </c>
      <c r="D18" s="43">
        <f t="shared" ref="D18:M18" si="2">D16-D17</f>
        <v>0</v>
      </c>
      <c r="E18" s="43">
        <f t="shared" si="2"/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  <c r="L18" s="43">
        <f t="shared" si="2"/>
        <v>0</v>
      </c>
      <c r="M18" s="43">
        <f t="shared" si="2"/>
        <v>0</v>
      </c>
    </row>
    <row r="21" spans="1:13" x14ac:dyDescent="0.2">
      <c r="A21" s="50" t="s">
        <v>0</v>
      </c>
      <c r="B21" s="50" t="s">
        <v>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78"/>
      <c r="B22" s="79">
        <v>43831</v>
      </c>
      <c r="C22" s="79">
        <v>43862</v>
      </c>
      <c r="D22" s="79">
        <v>43891</v>
      </c>
      <c r="E22" s="79">
        <v>43922</v>
      </c>
      <c r="F22" s="79">
        <v>43952</v>
      </c>
      <c r="G22" s="79">
        <v>43983</v>
      </c>
      <c r="H22" s="79">
        <v>44013</v>
      </c>
      <c r="I22" s="79">
        <v>44044</v>
      </c>
      <c r="J22" s="79">
        <v>44075</v>
      </c>
      <c r="K22" s="79">
        <v>44105</v>
      </c>
      <c r="L22" s="79">
        <v>44136</v>
      </c>
      <c r="M22" s="79">
        <v>44166</v>
      </c>
    </row>
    <row r="23" spans="1:13" x14ac:dyDescent="0.2">
      <c r="A23" s="78" t="s">
        <v>110</v>
      </c>
      <c r="B23" s="42">
        <v>21766</v>
      </c>
      <c r="C23" s="42">
        <f t="shared" ref="C23:M23" si="3">B34</f>
        <v>22466</v>
      </c>
      <c r="D23" s="42">
        <f t="shared" si="3"/>
        <v>23670</v>
      </c>
      <c r="E23" s="42">
        <f t="shared" si="3"/>
        <v>24174</v>
      </c>
      <c r="F23" s="42">
        <f t="shared" si="3"/>
        <v>24678</v>
      </c>
      <c r="G23" s="42">
        <f t="shared" si="3"/>
        <v>-818</v>
      </c>
      <c r="H23" s="42">
        <f t="shared" si="3"/>
        <v>0</v>
      </c>
      <c r="I23" s="42">
        <f t="shared" si="3"/>
        <v>-14</v>
      </c>
      <c r="J23" s="42">
        <f t="shared" si="3"/>
        <v>1974</v>
      </c>
      <c r="K23" s="42">
        <f t="shared" si="3"/>
        <v>3962</v>
      </c>
      <c r="L23" s="42">
        <f t="shared" si="3"/>
        <v>5950</v>
      </c>
      <c r="M23" s="42">
        <f t="shared" si="3"/>
        <v>7918</v>
      </c>
    </row>
    <row r="24" spans="1:13" x14ac:dyDescent="0.2">
      <c r="A24" s="78" t="s">
        <v>2</v>
      </c>
      <c r="B24" s="42"/>
      <c r="C24" s="42"/>
      <c r="D24" s="42"/>
      <c r="E24" s="42"/>
      <c r="F24" s="42"/>
      <c r="G24" s="42"/>
      <c r="H24" s="42">
        <v>168</v>
      </c>
      <c r="I24" s="42">
        <v>168</v>
      </c>
      <c r="J24" s="42">
        <v>168</v>
      </c>
      <c r="K24" s="42">
        <v>168</v>
      </c>
      <c r="L24" s="42">
        <v>168</v>
      </c>
      <c r="M24" s="42">
        <v>168</v>
      </c>
    </row>
    <row r="25" spans="1:13" x14ac:dyDescent="0.2">
      <c r="A25" s="78" t="s">
        <v>3</v>
      </c>
      <c r="B25" s="42">
        <v>700</v>
      </c>
      <c r="C25" s="42">
        <f>700+504</f>
        <v>1204</v>
      </c>
      <c r="D25" s="42">
        <v>504</v>
      </c>
      <c r="E25" s="42">
        <v>504</v>
      </c>
      <c r="F25" s="42">
        <v>504</v>
      </c>
      <c r="G25" s="42">
        <f>756+62</f>
        <v>818</v>
      </c>
      <c r="H25" s="42">
        <v>818</v>
      </c>
      <c r="I25" s="42">
        <v>820</v>
      </c>
      <c r="J25" s="42">
        <v>820</v>
      </c>
      <c r="K25" s="42">
        <v>820</v>
      </c>
      <c r="L25" s="42">
        <v>800</v>
      </c>
      <c r="M25" s="42">
        <v>800</v>
      </c>
    </row>
    <row r="26" spans="1:13" x14ac:dyDescent="0.2">
      <c r="A26" s="78" t="s">
        <v>397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108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/>
      <c r="C31" s="42"/>
      <c r="D31" s="42"/>
      <c r="E31" s="42"/>
      <c r="F31" s="42"/>
      <c r="G31" s="42">
        <v>2000</v>
      </c>
      <c r="H31" s="42">
        <v>1000</v>
      </c>
      <c r="I31" s="42">
        <v>1000</v>
      </c>
      <c r="J31" s="42">
        <v>1000</v>
      </c>
      <c r="K31" s="42">
        <v>1000</v>
      </c>
      <c r="L31" s="42">
        <v>1000</v>
      </c>
      <c r="M31" s="42">
        <v>1000</v>
      </c>
    </row>
    <row r="32" spans="1:13" x14ac:dyDescent="0.2">
      <c r="A32" s="78" t="s">
        <v>6</v>
      </c>
      <c r="B32" s="43">
        <f>SUM(B23:B31)</f>
        <v>22466</v>
      </c>
      <c r="C32" s="43">
        <f t="shared" ref="C32:M32" si="4">SUM(C23:C31)</f>
        <v>23670</v>
      </c>
      <c r="D32" s="43">
        <f t="shared" si="4"/>
        <v>24174</v>
      </c>
      <c r="E32" s="43">
        <f t="shared" si="4"/>
        <v>24678</v>
      </c>
      <c r="F32" s="43">
        <f t="shared" si="4"/>
        <v>25182</v>
      </c>
      <c r="G32" s="43">
        <f t="shared" si="4"/>
        <v>2000</v>
      </c>
      <c r="H32" s="43">
        <f t="shared" si="4"/>
        <v>1986</v>
      </c>
      <c r="I32" s="43">
        <f t="shared" si="4"/>
        <v>1974</v>
      </c>
      <c r="J32" s="43">
        <f t="shared" si="4"/>
        <v>3962</v>
      </c>
      <c r="K32" s="43">
        <f t="shared" si="4"/>
        <v>5950</v>
      </c>
      <c r="L32" s="43">
        <f t="shared" si="4"/>
        <v>7918</v>
      </c>
      <c r="M32" s="43">
        <f t="shared" si="4"/>
        <v>9886</v>
      </c>
    </row>
    <row r="33" spans="1:13" x14ac:dyDescent="0.2">
      <c r="A33" s="78" t="s">
        <v>7</v>
      </c>
      <c r="B33" s="44"/>
      <c r="C33" s="44"/>
      <c r="D33" s="44"/>
      <c r="E33" s="44"/>
      <c r="F33" s="44">
        <v>26000</v>
      </c>
      <c r="G33" s="44">
        <v>2000</v>
      </c>
      <c r="H33" s="44">
        <v>2000</v>
      </c>
      <c r="I33" s="44"/>
      <c r="J33" s="44"/>
      <c r="K33" s="44"/>
      <c r="L33" s="44"/>
      <c r="M33" s="44"/>
    </row>
    <row r="34" spans="1:13" x14ac:dyDescent="0.2">
      <c r="A34" s="78" t="s">
        <v>111</v>
      </c>
      <c r="B34" s="43">
        <f>B32-B33</f>
        <v>22466</v>
      </c>
      <c r="C34" s="43">
        <f>C32-C33</f>
        <v>23670</v>
      </c>
      <c r="D34" s="43">
        <f t="shared" ref="D34:M34" si="5">D32-D33</f>
        <v>24174</v>
      </c>
      <c r="E34" s="43">
        <f t="shared" si="5"/>
        <v>24678</v>
      </c>
      <c r="F34" s="43">
        <f t="shared" si="5"/>
        <v>-818</v>
      </c>
      <c r="G34" s="43">
        <f t="shared" si="5"/>
        <v>0</v>
      </c>
      <c r="H34" s="43">
        <f t="shared" si="5"/>
        <v>-14</v>
      </c>
      <c r="I34" s="43">
        <f t="shared" si="5"/>
        <v>1974</v>
      </c>
      <c r="J34" s="43">
        <f t="shared" si="5"/>
        <v>3962</v>
      </c>
      <c r="K34" s="43">
        <f t="shared" si="5"/>
        <v>5950</v>
      </c>
      <c r="L34" s="43">
        <f t="shared" si="5"/>
        <v>7918</v>
      </c>
      <c r="M34" s="43">
        <f t="shared" si="5"/>
        <v>9886</v>
      </c>
    </row>
  </sheetData>
  <pageMargins left="0.7" right="0.7" top="0.75" bottom="0.75" header="0.3" footer="0.3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/>
  <dimension ref="A4:M34"/>
  <sheetViews>
    <sheetView workbookViewId="0">
      <selection activeCell="M15" sqref="M15"/>
    </sheetView>
  </sheetViews>
  <sheetFormatPr baseColWidth="10" defaultRowHeight="12.75" x14ac:dyDescent="0.2"/>
  <cols>
    <col min="1" max="1" width="31.140625" customWidth="1"/>
  </cols>
  <sheetData>
    <row r="4" spans="1:13" x14ac:dyDescent="0.2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2">
      <c r="A5" s="78"/>
      <c r="B5" s="79">
        <v>43466</v>
      </c>
      <c r="C5" s="79">
        <v>43497</v>
      </c>
      <c r="D5" s="79">
        <v>43525</v>
      </c>
      <c r="E5" s="79">
        <v>43556</v>
      </c>
      <c r="F5" s="79">
        <v>43586</v>
      </c>
      <c r="G5" s="79">
        <v>43617</v>
      </c>
      <c r="H5" s="79">
        <v>43647</v>
      </c>
      <c r="I5" s="79">
        <v>43678</v>
      </c>
      <c r="J5" s="79">
        <v>43709</v>
      </c>
      <c r="K5" s="79">
        <v>43739</v>
      </c>
      <c r="L5" s="79">
        <v>43770</v>
      </c>
      <c r="M5" s="79">
        <v>43800</v>
      </c>
    </row>
    <row r="6" spans="1:13" x14ac:dyDescent="0.2">
      <c r="A6" s="7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>J17</f>
        <v>0</v>
      </c>
      <c r="L6" s="42">
        <f t="shared" si="0"/>
        <v>0</v>
      </c>
      <c r="M6" s="42">
        <f t="shared" si="0"/>
        <v>0</v>
      </c>
    </row>
    <row r="7" spans="1:13" x14ac:dyDescent="0.2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483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>
        <v>2500</v>
      </c>
    </row>
    <row r="11" spans="1:13" x14ac:dyDescent="0.2">
      <c r="A11" s="78" t="s">
        <v>484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>
        <v>2500</v>
      </c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108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3">
        <f>SUM(B6:B14)</f>
        <v>0</v>
      </c>
      <c r="C15" s="43">
        <f t="shared" ref="C15:M15" si="1">SUM(C6:C14)</f>
        <v>0</v>
      </c>
      <c r="D15" s="43">
        <f t="shared" si="1"/>
        <v>0</v>
      </c>
      <c r="E15" s="43">
        <f t="shared" si="1"/>
        <v>0</v>
      </c>
      <c r="F15" s="43">
        <f t="shared" si="1"/>
        <v>0</v>
      </c>
      <c r="G15" s="43">
        <f t="shared" si="1"/>
        <v>0</v>
      </c>
      <c r="H15" s="43">
        <f t="shared" si="1"/>
        <v>0</v>
      </c>
      <c r="I15" s="43">
        <f t="shared" si="1"/>
        <v>0</v>
      </c>
      <c r="J15" s="43">
        <f t="shared" si="1"/>
        <v>0</v>
      </c>
      <c r="K15" s="43">
        <f t="shared" si="1"/>
        <v>0</v>
      </c>
      <c r="L15" s="43">
        <f t="shared" si="1"/>
        <v>0</v>
      </c>
      <c r="M15" s="43">
        <f t="shared" si="1"/>
        <v>5000</v>
      </c>
    </row>
    <row r="16" spans="1:13" x14ac:dyDescent="0.2">
      <c r="A16" s="78" t="s">
        <v>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>
        <v>5000</v>
      </c>
    </row>
    <row r="17" spans="1:13" x14ac:dyDescent="0.2">
      <c r="A17" s="7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0</v>
      </c>
      <c r="F17" s="43">
        <f t="shared" si="2"/>
        <v>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0</v>
      </c>
      <c r="L17" s="43">
        <f t="shared" si="2"/>
        <v>0</v>
      </c>
      <c r="M17" s="43">
        <f t="shared" si="2"/>
        <v>0</v>
      </c>
    </row>
    <row r="21" spans="1:13" x14ac:dyDescent="0.2">
      <c r="A21" s="50" t="s">
        <v>0</v>
      </c>
      <c r="B21" s="50" t="s">
        <v>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78"/>
      <c r="B22" s="79">
        <v>43101</v>
      </c>
      <c r="C22" s="79">
        <v>43132</v>
      </c>
      <c r="D22" s="79">
        <v>43160</v>
      </c>
      <c r="E22" s="79">
        <v>43191</v>
      </c>
      <c r="F22" s="79">
        <v>43221</v>
      </c>
      <c r="G22" s="79">
        <v>43252</v>
      </c>
      <c r="H22" s="79">
        <v>43282</v>
      </c>
      <c r="I22" s="79">
        <v>43313</v>
      </c>
      <c r="J22" s="79">
        <v>43344</v>
      </c>
      <c r="K22" s="79">
        <v>43374</v>
      </c>
      <c r="L22" s="79">
        <v>43405</v>
      </c>
      <c r="M22" s="79">
        <v>43435</v>
      </c>
    </row>
    <row r="23" spans="1:13" x14ac:dyDescent="0.2">
      <c r="A23" s="78" t="s">
        <v>110</v>
      </c>
      <c r="B23" s="42"/>
      <c r="C23" s="42">
        <f t="shared" ref="C23:M23" si="3">B34</f>
        <v>0</v>
      </c>
      <c r="D23" s="42">
        <f t="shared" si="3"/>
        <v>0</v>
      </c>
      <c r="E23" s="42">
        <f t="shared" si="3"/>
        <v>715</v>
      </c>
      <c r="F23" s="42">
        <f t="shared" si="3"/>
        <v>715</v>
      </c>
      <c r="G23" s="42">
        <f t="shared" si="3"/>
        <v>0</v>
      </c>
      <c r="H23" s="42">
        <f t="shared" si="3"/>
        <v>596</v>
      </c>
      <c r="I23" s="42">
        <f t="shared" si="3"/>
        <v>0</v>
      </c>
      <c r="J23" s="42">
        <f t="shared" si="3"/>
        <v>800</v>
      </c>
      <c r="K23" s="42">
        <f t="shared" si="3"/>
        <v>1492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>
        <v>326</v>
      </c>
      <c r="C25" s="42">
        <v>50</v>
      </c>
      <c r="D25" s="42">
        <v>215</v>
      </c>
      <c r="E25" s="42"/>
      <c r="F25" s="42"/>
      <c r="G25" s="42">
        <v>96</v>
      </c>
      <c r="H25" s="42">
        <v>250</v>
      </c>
      <c r="I25" s="42">
        <v>300</v>
      </c>
      <c r="J25" s="42">
        <v>192</v>
      </c>
      <c r="K25" s="42">
        <v>250</v>
      </c>
      <c r="L25" s="42">
        <v>250</v>
      </c>
      <c r="M25" s="42"/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>
        <v>1500</v>
      </c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>
        <v>1500</v>
      </c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108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200</v>
      </c>
      <c r="C31" s="42">
        <v>400</v>
      </c>
      <c r="D31" s="42">
        <v>500</v>
      </c>
      <c r="E31" s="42"/>
      <c r="F31" s="42"/>
      <c r="G31" s="42">
        <v>500</v>
      </c>
      <c r="H31" s="42">
        <v>500</v>
      </c>
      <c r="I31" s="42">
        <v>500</v>
      </c>
      <c r="J31" s="42">
        <v>500</v>
      </c>
      <c r="K31" s="42">
        <v>500</v>
      </c>
      <c r="L31" s="42">
        <v>500</v>
      </c>
      <c r="M31" s="42"/>
    </row>
    <row r="32" spans="1:13" x14ac:dyDescent="0.2">
      <c r="A32" s="78" t="s">
        <v>6</v>
      </c>
      <c r="B32" s="43">
        <f>SUM(B23:B31)</f>
        <v>526</v>
      </c>
      <c r="C32" s="43">
        <f t="shared" ref="C32:M32" si="4">SUM(C23:C31)</f>
        <v>450</v>
      </c>
      <c r="D32" s="43">
        <f t="shared" si="4"/>
        <v>715</v>
      </c>
      <c r="E32" s="43">
        <f t="shared" si="4"/>
        <v>715</v>
      </c>
      <c r="F32" s="43">
        <f t="shared" si="4"/>
        <v>715</v>
      </c>
      <c r="G32" s="43">
        <f t="shared" si="4"/>
        <v>596</v>
      </c>
      <c r="H32" s="43">
        <f t="shared" si="4"/>
        <v>4346</v>
      </c>
      <c r="I32" s="43">
        <f t="shared" si="4"/>
        <v>800</v>
      </c>
      <c r="J32" s="43">
        <f t="shared" si="4"/>
        <v>1492</v>
      </c>
      <c r="K32" s="43">
        <f t="shared" si="4"/>
        <v>2242</v>
      </c>
      <c r="L32" s="43">
        <f t="shared" si="4"/>
        <v>750</v>
      </c>
      <c r="M32" s="43">
        <f t="shared" si="4"/>
        <v>0</v>
      </c>
    </row>
    <row r="33" spans="1:13" x14ac:dyDescent="0.2">
      <c r="A33" s="78" t="s">
        <v>7</v>
      </c>
      <c r="B33" s="44">
        <v>526</v>
      </c>
      <c r="C33" s="44">
        <v>450</v>
      </c>
      <c r="D33" s="44"/>
      <c r="E33" s="44"/>
      <c r="F33" s="44">
        <v>715</v>
      </c>
      <c r="G33" s="44"/>
      <c r="H33" s="44">
        <v>4346</v>
      </c>
      <c r="I33" s="44"/>
      <c r="J33" s="44"/>
      <c r="K33" s="44">
        <v>2242</v>
      </c>
      <c r="L33" s="44">
        <v>750</v>
      </c>
      <c r="M33" s="44"/>
    </row>
    <row r="34" spans="1:13" x14ac:dyDescent="0.2">
      <c r="A34" s="78" t="s">
        <v>111</v>
      </c>
      <c r="B34" s="43">
        <f>B32-B33</f>
        <v>0</v>
      </c>
      <c r="C34" s="43">
        <f>C32-C33</f>
        <v>0</v>
      </c>
      <c r="D34" s="43">
        <f t="shared" ref="D34:M34" si="5">D32-D33</f>
        <v>715</v>
      </c>
      <c r="E34" s="43">
        <f t="shared" si="5"/>
        <v>715</v>
      </c>
      <c r="F34" s="43">
        <f t="shared" si="5"/>
        <v>0</v>
      </c>
      <c r="G34" s="43">
        <f t="shared" si="5"/>
        <v>596</v>
      </c>
      <c r="H34" s="43">
        <f t="shared" si="5"/>
        <v>0</v>
      </c>
      <c r="I34" s="43">
        <f t="shared" si="5"/>
        <v>800</v>
      </c>
      <c r="J34" s="43">
        <f t="shared" si="5"/>
        <v>1492</v>
      </c>
      <c r="K34" s="43">
        <f t="shared" si="5"/>
        <v>0</v>
      </c>
      <c r="L34" s="43">
        <f t="shared" si="5"/>
        <v>0</v>
      </c>
      <c r="M34" s="43">
        <f t="shared" si="5"/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1"/>
  <dimension ref="A1:M34"/>
  <sheetViews>
    <sheetView topLeftCell="A4" workbookViewId="0">
      <selection activeCell="F14" sqref="F14"/>
    </sheetView>
  </sheetViews>
  <sheetFormatPr baseColWidth="10" defaultRowHeight="20.25" x14ac:dyDescent="0.3"/>
  <cols>
    <col min="1" max="1" width="32.140625" style="2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2" style="2" customWidth="1"/>
    <col min="6" max="6" width="11.42578125" style="2"/>
    <col min="7" max="7" width="11.7109375" style="2" customWidth="1"/>
    <col min="8" max="8" width="11.5703125" style="2" customWidth="1"/>
    <col min="9" max="9" width="12" style="2" customWidth="1"/>
    <col min="10" max="10" width="13.28515625" style="2" customWidth="1"/>
    <col min="11" max="11" width="12.28515625" style="2" customWidth="1"/>
    <col min="12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107</v>
      </c>
      <c r="C2" s="216"/>
      <c r="D2" s="216"/>
      <c r="E2" s="216"/>
      <c r="F2" s="216"/>
      <c r="G2" s="216"/>
    </row>
    <row r="4" spans="1:13" x14ac:dyDescent="0.3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3">
      <c r="A5" s="7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3" x14ac:dyDescent="0.3">
      <c r="A6" s="78" t="s">
        <v>110</v>
      </c>
      <c r="B6" s="42"/>
      <c r="C6" s="42">
        <f>B17</f>
        <v>109000</v>
      </c>
      <c r="D6" s="42">
        <f t="shared" ref="D6:M6" si="0">C17</f>
        <v>0</v>
      </c>
      <c r="E6" s="42">
        <f t="shared" si="0"/>
        <v>109000</v>
      </c>
      <c r="F6" s="42">
        <f t="shared" si="0"/>
        <v>0</v>
      </c>
      <c r="G6" s="42">
        <f t="shared" si="0"/>
        <v>80000</v>
      </c>
      <c r="H6" s="42">
        <f t="shared" si="0"/>
        <v>80000</v>
      </c>
      <c r="I6" s="42">
        <f t="shared" si="0"/>
        <v>80000</v>
      </c>
      <c r="J6" s="42">
        <f t="shared" si="0"/>
        <v>80000</v>
      </c>
      <c r="K6" s="42">
        <f>J17</f>
        <v>80000</v>
      </c>
      <c r="L6" s="42">
        <f t="shared" si="0"/>
        <v>80000</v>
      </c>
      <c r="M6" s="42">
        <f t="shared" si="0"/>
        <v>80000</v>
      </c>
    </row>
    <row r="7" spans="1:13" x14ac:dyDescent="0.3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3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4</v>
      </c>
      <c r="B9" s="42">
        <v>59000</v>
      </c>
      <c r="C9" s="42">
        <v>59000</v>
      </c>
      <c r="D9" s="42">
        <v>59000</v>
      </c>
      <c r="E9" s="42">
        <v>30000</v>
      </c>
      <c r="F9" s="42">
        <v>30000</v>
      </c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108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5</v>
      </c>
      <c r="B14" s="42">
        <v>50000</v>
      </c>
      <c r="C14" s="42">
        <v>50000</v>
      </c>
      <c r="D14" s="42">
        <v>50000</v>
      </c>
      <c r="E14" s="42">
        <v>50000</v>
      </c>
      <c r="F14" s="42">
        <v>50000</v>
      </c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6</v>
      </c>
      <c r="B15" s="43">
        <f>SUM(B6:B14)</f>
        <v>109000</v>
      </c>
      <c r="C15" s="43">
        <f t="shared" ref="C15:M15" si="1">SUM(C6:C14)</f>
        <v>218000</v>
      </c>
      <c r="D15" s="43">
        <f t="shared" si="1"/>
        <v>109000</v>
      </c>
      <c r="E15" s="43">
        <f t="shared" si="1"/>
        <v>189000</v>
      </c>
      <c r="F15" s="43">
        <f t="shared" si="1"/>
        <v>80000</v>
      </c>
      <c r="G15" s="43">
        <f t="shared" si="1"/>
        <v>80000</v>
      </c>
      <c r="H15" s="43">
        <f t="shared" si="1"/>
        <v>80000</v>
      </c>
      <c r="I15" s="43">
        <f t="shared" si="1"/>
        <v>80000</v>
      </c>
      <c r="J15" s="43">
        <f t="shared" si="1"/>
        <v>80000</v>
      </c>
      <c r="K15" s="43">
        <f t="shared" si="1"/>
        <v>80000</v>
      </c>
      <c r="L15" s="43">
        <f t="shared" si="1"/>
        <v>80000</v>
      </c>
      <c r="M15" s="43">
        <f t="shared" si="1"/>
        <v>80000</v>
      </c>
    </row>
    <row r="16" spans="1:13" x14ac:dyDescent="0.3">
      <c r="A16" s="78" t="s">
        <v>7</v>
      </c>
      <c r="B16" s="44"/>
      <c r="C16" s="44">
        <v>218000</v>
      </c>
      <c r="D16" s="44"/>
      <c r="E16" s="44">
        <v>189000</v>
      </c>
      <c r="F16" s="44"/>
      <c r="G16" s="44"/>
      <c r="H16" s="44"/>
      <c r="I16" s="44"/>
      <c r="J16" s="44"/>
      <c r="K16" s="44"/>
      <c r="L16" s="44"/>
      <c r="M16" s="44"/>
    </row>
    <row r="17" spans="1:13" x14ac:dyDescent="0.3">
      <c r="A17" s="78" t="s">
        <v>111</v>
      </c>
      <c r="B17" s="43">
        <f>B15-B16</f>
        <v>109000</v>
      </c>
      <c r="C17" s="43">
        <f>C15-C16</f>
        <v>0</v>
      </c>
      <c r="D17" s="43">
        <f t="shared" ref="D17:M17" si="2">D15-D16</f>
        <v>109000</v>
      </c>
      <c r="E17" s="43">
        <f t="shared" si="2"/>
        <v>0</v>
      </c>
      <c r="F17" s="43">
        <f t="shared" si="2"/>
        <v>80000</v>
      </c>
      <c r="G17" s="43">
        <f t="shared" si="2"/>
        <v>80000</v>
      </c>
      <c r="H17" s="43">
        <f t="shared" si="2"/>
        <v>80000</v>
      </c>
      <c r="I17" s="43">
        <f t="shared" si="2"/>
        <v>80000</v>
      </c>
      <c r="J17" s="43">
        <f t="shared" si="2"/>
        <v>80000</v>
      </c>
      <c r="K17" s="43">
        <f t="shared" si="2"/>
        <v>80000</v>
      </c>
      <c r="L17" s="43">
        <f t="shared" si="2"/>
        <v>80000</v>
      </c>
      <c r="M17" s="43">
        <f t="shared" si="2"/>
        <v>80000</v>
      </c>
    </row>
    <row r="18" spans="1:13" x14ac:dyDescent="0.3">
      <c r="B18" s="149">
        <v>44594</v>
      </c>
    </row>
    <row r="20" spans="1:13" x14ac:dyDescent="0.3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3">
      <c r="A21" s="81"/>
      <c r="B21" s="82">
        <v>45658</v>
      </c>
      <c r="C21" s="82">
        <v>45689</v>
      </c>
      <c r="D21" s="82">
        <v>45717</v>
      </c>
      <c r="E21" s="82">
        <v>45748</v>
      </c>
      <c r="F21" s="82">
        <v>45778</v>
      </c>
      <c r="G21" s="82">
        <v>45809</v>
      </c>
      <c r="H21" s="82">
        <v>45839</v>
      </c>
      <c r="I21" s="82">
        <v>45870</v>
      </c>
      <c r="J21" s="82">
        <v>45901</v>
      </c>
      <c r="K21" s="82">
        <v>45931</v>
      </c>
      <c r="L21" s="82">
        <v>45962</v>
      </c>
      <c r="M21" s="82">
        <v>45992</v>
      </c>
    </row>
    <row r="22" spans="1:13" x14ac:dyDescent="0.3">
      <c r="A22" s="78" t="s">
        <v>110</v>
      </c>
      <c r="B22" s="42"/>
      <c r="C22" s="42">
        <f>B33</f>
        <v>74600</v>
      </c>
      <c r="D22" s="42">
        <f t="shared" ref="D22:M22" si="3">C33</f>
        <v>0</v>
      </c>
      <c r="E22" s="42">
        <f t="shared" si="3"/>
        <v>74600</v>
      </c>
      <c r="F22" s="42">
        <f t="shared" si="3"/>
        <v>149200</v>
      </c>
      <c r="G22" s="42">
        <f t="shared" si="3"/>
        <v>0</v>
      </c>
      <c r="H22" s="42">
        <f t="shared" si="3"/>
        <v>91000</v>
      </c>
      <c r="I22" s="42">
        <f t="shared" si="3"/>
        <v>182000</v>
      </c>
      <c r="J22" s="42">
        <f t="shared" si="3"/>
        <v>0</v>
      </c>
      <c r="K22" s="42">
        <f t="shared" si="3"/>
        <v>91000</v>
      </c>
      <c r="L22" s="42">
        <f t="shared" si="3"/>
        <v>182000</v>
      </c>
      <c r="M22" s="42">
        <f t="shared" si="3"/>
        <v>0</v>
      </c>
    </row>
    <row r="23" spans="1:13" x14ac:dyDescent="0.3">
      <c r="A23" s="7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4</v>
      </c>
      <c r="B25" s="42">
        <f>22300+22300</f>
        <v>44600</v>
      </c>
      <c r="C25" s="42">
        <v>44600</v>
      </c>
      <c r="D25" s="42">
        <v>44600</v>
      </c>
      <c r="E25" s="42">
        <v>44600</v>
      </c>
      <c r="F25" s="42">
        <v>44600</v>
      </c>
      <c r="G25" s="42">
        <f>28000+28000</f>
        <v>56000</v>
      </c>
      <c r="H25" s="42">
        <f>28000+28000</f>
        <v>56000</v>
      </c>
      <c r="I25" s="42">
        <f>28000+28000</f>
        <v>56000</v>
      </c>
      <c r="J25" s="42">
        <v>56000</v>
      </c>
      <c r="K25" s="42">
        <v>56000</v>
      </c>
      <c r="L25" s="42">
        <v>56000</v>
      </c>
      <c r="M25" s="42">
        <v>56000</v>
      </c>
    </row>
    <row r="26" spans="1:13" x14ac:dyDescent="0.3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148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</v>
      </c>
      <c r="B30" s="42">
        <v>30000</v>
      </c>
      <c r="C30" s="42">
        <v>30000</v>
      </c>
      <c r="D30" s="42">
        <v>30000</v>
      </c>
      <c r="E30" s="42">
        <v>30000</v>
      </c>
      <c r="F30" s="42">
        <v>30000</v>
      </c>
      <c r="G30" s="42">
        <v>35000</v>
      </c>
      <c r="H30" s="42">
        <v>35000</v>
      </c>
      <c r="I30" s="42">
        <v>35000</v>
      </c>
      <c r="J30" s="42">
        <v>35000</v>
      </c>
      <c r="K30" s="42">
        <v>35000</v>
      </c>
      <c r="L30" s="42">
        <v>35000</v>
      </c>
      <c r="M30" s="42">
        <v>40000</v>
      </c>
    </row>
    <row r="31" spans="1:13" x14ac:dyDescent="0.3">
      <c r="A31" s="78" t="s">
        <v>6</v>
      </c>
      <c r="B31" s="43">
        <f t="shared" ref="B31:M31" si="4">SUM(B22:B30)</f>
        <v>74600</v>
      </c>
      <c r="C31" s="43">
        <f t="shared" si="4"/>
        <v>149200</v>
      </c>
      <c r="D31" s="43">
        <f t="shared" si="4"/>
        <v>74600</v>
      </c>
      <c r="E31" s="43">
        <f t="shared" si="4"/>
        <v>149200</v>
      </c>
      <c r="F31" s="43">
        <f t="shared" si="4"/>
        <v>223800</v>
      </c>
      <c r="G31" s="43">
        <f>SUM(G22:G30)</f>
        <v>91000</v>
      </c>
      <c r="H31" s="43">
        <f t="shared" si="4"/>
        <v>182000</v>
      </c>
      <c r="I31" s="43">
        <f t="shared" si="4"/>
        <v>273000</v>
      </c>
      <c r="J31" s="43">
        <f t="shared" si="4"/>
        <v>91000</v>
      </c>
      <c r="K31" s="43">
        <f t="shared" si="4"/>
        <v>182000</v>
      </c>
      <c r="L31" s="43">
        <f t="shared" si="4"/>
        <v>273000</v>
      </c>
      <c r="M31" s="43">
        <f t="shared" si="4"/>
        <v>96000</v>
      </c>
    </row>
    <row r="32" spans="1:13" ht="21" thickBot="1" x14ac:dyDescent="0.35">
      <c r="A32" s="78" t="s">
        <v>7</v>
      </c>
      <c r="B32" s="44"/>
      <c r="C32" s="44">
        <v>149200</v>
      </c>
      <c r="D32" s="44"/>
      <c r="E32" s="44"/>
      <c r="F32" s="44">
        <v>223800</v>
      </c>
      <c r="G32" s="44"/>
      <c r="H32" s="44"/>
      <c r="I32" s="44">
        <v>273000</v>
      </c>
      <c r="J32" s="44"/>
      <c r="K32" s="44"/>
      <c r="L32" s="44">
        <v>273000</v>
      </c>
      <c r="M32" s="44">
        <v>96000</v>
      </c>
    </row>
    <row r="33" spans="1:13" ht="21" thickBot="1" x14ac:dyDescent="0.35">
      <c r="A33" s="78" t="s">
        <v>111</v>
      </c>
      <c r="B33" s="45">
        <f t="shared" ref="B33:M33" si="5">B31-B32</f>
        <v>74600</v>
      </c>
      <c r="C33" s="46">
        <f t="shared" si="5"/>
        <v>0</v>
      </c>
      <c r="D33" s="46">
        <f t="shared" si="5"/>
        <v>74600</v>
      </c>
      <c r="E33" s="46">
        <f t="shared" si="5"/>
        <v>149200</v>
      </c>
      <c r="F33" s="46">
        <f t="shared" si="5"/>
        <v>0</v>
      </c>
      <c r="G33" s="46">
        <f t="shared" si="5"/>
        <v>91000</v>
      </c>
      <c r="H33" s="46">
        <f t="shared" si="5"/>
        <v>182000</v>
      </c>
      <c r="I33" s="46">
        <f t="shared" si="5"/>
        <v>0</v>
      </c>
      <c r="J33" s="46">
        <f t="shared" si="5"/>
        <v>91000</v>
      </c>
      <c r="K33" s="46">
        <f t="shared" si="5"/>
        <v>182000</v>
      </c>
      <c r="L33" s="46">
        <f t="shared" si="5"/>
        <v>0</v>
      </c>
      <c r="M33" s="47">
        <f t="shared" si="5"/>
        <v>0</v>
      </c>
    </row>
    <row r="34" spans="1:13" x14ac:dyDescent="0.3">
      <c r="J34" s="125">
        <v>44104</v>
      </c>
      <c r="M34" s="125">
        <v>44559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2"/>
  <dimension ref="A4:M35"/>
  <sheetViews>
    <sheetView topLeftCell="A4" workbookViewId="0">
      <selection activeCell="M16" sqref="M16"/>
    </sheetView>
  </sheetViews>
  <sheetFormatPr baseColWidth="10" defaultRowHeight="12.75" x14ac:dyDescent="0.2"/>
  <cols>
    <col min="1" max="1" width="26.85546875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2">
      <c r="A6" s="78" t="s">
        <v>110</v>
      </c>
      <c r="B6" s="42"/>
      <c r="C6" s="42">
        <f>B17</f>
        <v>30000</v>
      </c>
      <c r="D6" s="42">
        <f t="shared" ref="D6:M6" si="0">C17</f>
        <v>60000</v>
      </c>
      <c r="E6" s="42">
        <f t="shared" si="0"/>
        <v>90000</v>
      </c>
      <c r="F6" s="42">
        <f t="shared" si="0"/>
        <v>120000</v>
      </c>
      <c r="G6" s="42">
        <f t="shared" si="0"/>
        <v>150000</v>
      </c>
      <c r="H6" s="42">
        <f t="shared" si="0"/>
        <v>0</v>
      </c>
      <c r="I6" s="42">
        <f t="shared" si="0"/>
        <v>30000</v>
      </c>
      <c r="J6" s="42">
        <f t="shared" si="0"/>
        <v>60000</v>
      </c>
      <c r="K6" s="42">
        <f>J17</f>
        <v>90000</v>
      </c>
      <c r="L6" s="42">
        <f t="shared" si="0"/>
        <v>120000</v>
      </c>
      <c r="M6" s="42">
        <f t="shared" si="0"/>
        <v>160000</v>
      </c>
    </row>
    <row r="7" spans="1:13" x14ac:dyDescent="0.2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30000</v>
      </c>
      <c r="C14" s="42">
        <v>30000</v>
      </c>
      <c r="D14" s="42">
        <v>30000</v>
      </c>
      <c r="E14" s="42">
        <v>30000</v>
      </c>
      <c r="F14" s="42">
        <v>30000</v>
      </c>
      <c r="G14" s="42">
        <v>30000</v>
      </c>
      <c r="H14" s="42">
        <v>30000</v>
      </c>
      <c r="I14" s="42">
        <v>30000</v>
      </c>
      <c r="J14" s="42">
        <v>30000</v>
      </c>
      <c r="K14" s="42">
        <v>30000</v>
      </c>
      <c r="L14" s="42">
        <v>40000</v>
      </c>
      <c r="M14" s="42">
        <v>40000</v>
      </c>
    </row>
    <row r="15" spans="1:13" x14ac:dyDescent="0.2">
      <c r="A15" s="78" t="s">
        <v>6</v>
      </c>
      <c r="B15" s="43">
        <f>SUM(B6:B14)</f>
        <v>30000</v>
      </c>
      <c r="C15" s="43">
        <f t="shared" ref="C15:M15" si="1">SUM(C6:C14)</f>
        <v>60000</v>
      </c>
      <c r="D15" s="43">
        <f t="shared" si="1"/>
        <v>90000</v>
      </c>
      <c r="E15" s="43">
        <f t="shared" si="1"/>
        <v>120000</v>
      </c>
      <c r="F15" s="43">
        <f t="shared" si="1"/>
        <v>150000</v>
      </c>
      <c r="G15" s="43">
        <f t="shared" si="1"/>
        <v>180000</v>
      </c>
      <c r="H15" s="43">
        <f t="shared" si="1"/>
        <v>30000</v>
      </c>
      <c r="I15" s="43">
        <f t="shared" si="1"/>
        <v>60000</v>
      </c>
      <c r="J15" s="43">
        <f t="shared" si="1"/>
        <v>90000</v>
      </c>
      <c r="K15" s="43">
        <f t="shared" si="1"/>
        <v>120000</v>
      </c>
      <c r="L15" s="43">
        <f t="shared" si="1"/>
        <v>160000</v>
      </c>
      <c r="M15" s="43">
        <f t="shared" si="1"/>
        <v>200000</v>
      </c>
    </row>
    <row r="16" spans="1:13" x14ac:dyDescent="0.2">
      <c r="A16" s="78" t="s">
        <v>7</v>
      </c>
      <c r="B16" s="44"/>
      <c r="C16" s="44"/>
      <c r="D16" s="44"/>
      <c r="E16" s="44"/>
      <c r="F16" s="44"/>
      <c r="G16" s="44">
        <v>180000</v>
      </c>
      <c r="H16" s="44"/>
      <c r="I16" s="44"/>
      <c r="J16" s="44"/>
      <c r="K16" s="44"/>
      <c r="L16" s="44"/>
      <c r="M16" s="44"/>
    </row>
    <row r="17" spans="1:13" x14ac:dyDescent="0.2">
      <c r="A17" s="78" t="s">
        <v>111</v>
      </c>
      <c r="B17" s="43">
        <f>B15-B16</f>
        <v>30000</v>
      </c>
      <c r="C17" s="43">
        <f>C15-C16</f>
        <v>60000</v>
      </c>
      <c r="D17" s="43">
        <f t="shared" ref="D17:M17" si="2">D15-D16</f>
        <v>90000</v>
      </c>
      <c r="E17" s="43">
        <f t="shared" si="2"/>
        <v>120000</v>
      </c>
      <c r="F17" s="43">
        <f t="shared" si="2"/>
        <v>150000</v>
      </c>
      <c r="G17" s="43">
        <f t="shared" si="2"/>
        <v>0</v>
      </c>
      <c r="H17" s="43">
        <f t="shared" si="2"/>
        <v>30000</v>
      </c>
      <c r="I17" s="43">
        <f>I15-I16</f>
        <v>60000</v>
      </c>
      <c r="J17" s="43">
        <f t="shared" si="2"/>
        <v>90000</v>
      </c>
      <c r="K17" s="43">
        <f t="shared" si="2"/>
        <v>120000</v>
      </c>
      <c r="L17" s="43">
        <f t="shared" si="2"/>
        <v>160000</v>
      </c>
      <c r="M17" s="43">
        <f t="shared" si="2"/>
        <v>200000</v>
      </c>
    </row>
    <row r="21" spans="1:13" x14ac:dyDescent="0.2">
      <c r="A21" s="78"/>
      <c r="B21" s="79">
        <v>45292</v>
      </c>
      <c r="C21" s="79">
        <v>45323</v>
      </c>
      <c r="D21" s="79">
        <v>45352</v>
      </c>
      <c r="E21" s="79">
        <v>45383</v>
      </c>
      <c r="F21" s="79">
        <v>45413</v>
      </c>
      <c r="G21" s="79">
        <v>45444</v>
      </c>
      <c r="H21" s="79">
        <v>45474</v>
      </c>
      <c r="I21" s="79">
        <v>45505</v>
      </c>
      <c r="J21" s="79">
        <v>45536</v>
      </c>
      <c r="K21" s="79">
        <v>45566</v>
      </c>
      <c r="L21" s="79">
        <v>45597</v>
      </c>
      <c r="M21" s="79">
        <v>45627</v>
      </c>
    </row>
    <row r="22" spans="1:13" x14ac:dyDescent="0.2">
      <c r="A22" s="78" t="s">
        <v>110</v>
      </c>
      <c r="B22" s="42">
        <v>60000</v>
      </c>
      <c r="C22" s="42">
        <f t="shared" ref="C22:M22" si="3">B33</f>
        <v>75000</v>
      </c>
      <c r="D22" s="42">
        <f t="shared" si="3"/>
        <v>0</v>
      </c>
      <c r="E22" s="42">
        <f t="shared" si="3"/>
        <v>20000</v>
      </c>
      <c r="F22" s="42">
        <f t="shared" si="3"/>
        <v>40000</v>
      </c>
      <c r="G22" s="42">
        <f t="shared" si="3"/>
        <v>60000</v>
      </c>
      <c r="H22" s="42">
        <f t="shared" si="3"/>
        <v>80000</v>
      </c>
      <c r="I22" s="42">
        <f t="shared" si="3"/>
        <v>0</v>
      </c>
      <c r="J22" s="42">
        <f t="shared" si="3"/>
        <v>20000</v>
      </c>
      <c r="K22" s="42">
        <f t="shared" si="3"/>
        <v>40000</v>
      </c>
      <c r="L22" s="42">
        <f t="shared" si="3"/>
        <v>60000</v>
      </c>
      <c r="M22" s="42">
        <f t="shared" si="3"/>
        <v>80000</v>
      </c>
    </row>
    <row r="23" spans="1:13" x14ac:dyDescent="0.2">
      <c r="A23" s="7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15000</v>
      </c>
      <c r="C30" s="42">
        <v>15000</v>
      </c>
      <c r="D30" s="42">
        <v>20000</v>
      </c>
      <c r="E30" s="42">
        <v>20000</v>
      </c>
      <c r="F30" s="42">
        <v>20000</v>
      </c>
      <c r="G30" s="42">
        <v>20000</v>
      </c>
      <c r="H30" s="42">
        <v>20000</v>
      </c>
      <c r="I30" s="42">
        <v>20000</v>
      </c>
      <c r="J30" s="42">
        <v>20000</v>
      </c>
      <c r="K30" s="42">
        <v>20000</v>
      </c>
      <c r="L30" s="42">
        <v>20000</v>
      </c>
      <c r="M30" s="42">
        <v>20000</v>
      </c>
    </row>
    <row r="31" spans="1:13" x14ac:dyDescent="0.2">
      <c r="A31" s="78" t="s">
        <v>6</v>
      </c>
      <c r="B31" s="43">
        <f>SUM(B22:B30)</f>
        <v>75000</v>
      </c>
      <c r="C31" s="43">
        <f t="shared" ref="C31:M31" si="4">SUM(C22:C30)</f>
        <v>90000</v>
      </c>
      <c r="D31" s="43">
        <f t="shared" si="4"/>
        <v>20000</v>
      </c>
      <c r="E31" s="43">
        <f t="shared" si="4"/>
        <v>40000</v>
      </c>
      <c r="F31" s="43">
        <f t="shared" si="4"/>
        <v>60000</v>
      </c>
      <c r="G31" s="43">
        <f t="shared" si="4"/>
        <v>80000</v>
      </c>
      <c r="H31" s="43">
        <f t="shared" si="4"/>
        <v>100000</v>
      </c>
      <c r="I31" s="43">
        <f t="shared" si="4"/>
        <v>20000</v>
      </c>
      <c r="J31" s="43">
        <f t="shared" si="4"/>
        <v>40000</v>
      </c>
      <c r="K31" s="43">
        <f t="shared" si="4"/>
        <v>60000</v>
      </c>
      <c r="L31" s="43">
        <f t="shared" si="4"/>
        <v>80000</v>
      </c>
      <c r="M31" s="43">
        <f t="shared" si="4"/>
        <v>100000</v>
      </c>
    </row>
    <row r="32" spans="1:13" x14ac:dyDescent="0.2">
      <c r="A32" s="78" t="s">
        <v>7</v>
      </c>
      <c r="B32" s="44"/>
      <c r="C32" s="44">
        <v>90000</v>
      </c>
      <c r="D32" s="44"/>
      <c r="E32" s="44"/>
      <c r="F32" s="44"/>
      <c r="G32" s="44"/>
      <c r="H32" s="44">
        <v>100000</v>
      </c>
      <c r="I32" s="44"/>
      <c r="J32" s="44"/>
      <c r="K32" s="44"/>
      <c r="L32" s="44"/>
      <c r="M32" s="44">
        <v>100000</v>
      </c>
    </row>
    <row r="33" spans="1:13" x14ac:dyDescent="0.2">
      <c r="A33" s="78" t="s">
        <v>111</v>
      </c>
      <c r="B33" s="43">
        <f>B31-B32</f>
        <v>75000</v>
      </c>
      <c r="C33" s="43">
        <f>C31-C32</f>
        <v>0</v>
      </c>
      <c r="D33" s="43">
        <f t="shared" ref="D33:M33" si="5">D31-D32</f>
        <v>20000</v>
      </c>
      <c r="E33" s="43">
        <f t="shared" si="5"/>
        <v>40000</v>
      </c>
      <c r="F33" s="43">
        <f t="shared" si="5"/>
        <v>60000</v>
      </c>
      <c r="G33" s="43">
        <f t="shared" si="5"/>
        <v>80000</v>
      </c>
      <c r="H33" s="43">
        <f t="shared" si="5"/>
        <v>0</v>
      </c>
      <c r="I33" s="43">
        <f t="shared" si="5"/>
        <v>20000</v>
      </c>
      <c r="J33" s="43">
        <f t="shared" si="5"/>
        <v>40000</v>
      </c>
      <c r="K33" s="43">
        <f t="shared" si="5"/>
        <v>60000</v>
      </c>
      <c r="L33" s="43">
        <f t="shared" si="5"/>
        <v>80000</v>
      </c>
      <c r="M33" s="43">
        <f t="shared" si="5"/>
        <v>0</v>
      </c>
    </row>
    <row r="35" spans="1:13" x14ac:dyDescent="0.2">
      <c r="J35" t="s">
        <v>589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3"/>
  <dimension ref="A3:M37"/>
  <sheetViews>
    <sheetView topLeftCell="A22" workbookViewId="0">
      <selection activeCell="F38" sqref="F38"/>
    </sheetView>
  </sheetViews>
  <sheetFormatPr baseColWidth="10" defaultRowHeight="12.75" x14ac:dyDescent="0.2"/>
  <cols>
    <col min="1" max="1" width="31.28515625" customWidth="1"/>
    <col min="2" max="2" width="12.5703125" bestFit="1" customWidth="1"/>
    <col min="6" max="6" width="12.85546875" bestFit="1" customWidth="1"/>
    <col min="11" max="12" width="12.5703125" customWidth="1"/>
    <col min="13" max="13" width="12.42578125" customWidth="1"/>
  </cols>
  <sheetData>
    <row r="3" spans="1:13" ht="20.25" x14ac:dyDescent="0.3">
      <c r="A3" s="11" t="s">
        <v>11</v>
      </c>
      <c r="B3" s="216" t="s">
        <v>606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x14ac:dyDescent="0.25">
      <c r="A6" s="8"/>
      <c r="B6" s="15">
        <v>45658</v>
      </c>
      <c r="C6" s="15">
        <v>45689</v>
      </c>
      <c r="D6" s="15">
        <v>45717</v>
      </c>
      <c r="E6" s="15">
        <v>45748</v>
      </c>
      <c r="F6" s="15">
        <v>45778</v>
      </c>
      <c r="G6" s="15">
        <v>45809</v>
      </c>
      <c r="H6" s="15">
        <v>45839</v>
      </c>
      <c r="I6" s="15">
        <v>45870</v>
      </c>
      <c r="J6" s="15">
        <v>45901</v>
      </c>
      <c r="K6" s="15">
        <v>45931</v>
      </c>
      <c r="L6" s="15">
        <v>45962</v>
      </c>
      <c r="M6" s="15">
        <v>45992</v>
      </c>
    </row>
    <row r="7" spans="1:13" ht="15" x14ac:dyDescent="0.2">
      <c r="A7" s="8" t="s">
        <v>110</v>
      </c>
      <c r="B7" s="42"/>
      <c r="C7" s="42">
        <f>B18</f>
        <v>50</v>
      </c>
      <c r="D7" s="42">
        <f t="shared" ref="D7:M7" si="0">C18</f>
        <v>0</v>
      </c>
      <c r="E7" s="42">
        <f t="shared" si="0"/>
        <v>0</v>
      </c>
      <c r="F7" s="42">
        <f t="shared" si="0"/>
        <v>320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>J18</f>
        <v>0</v>
      </c>
      <c r="L7" s="42">
        <f t="shared" si="0"/>
        <v>-519284</v>
      </c>
      <c r="M7" s="42">
        <f t="shared" si="0"/>
        <v>-184784</v>
      </c>
    </row>
    <row r="8" spans="1:13" ht="15" x14ac:dyDescent="0.2">
      <c r="A8" s="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3</v>
      </c>
      <c r="B9" s="42">
        <v>21600</v>
      </c>
      <c r="C9" s="42">
        <v>42000</v>
      </c>
      <c r="D9" s="42"/>
      <c r="E9" s="42">
        <v>6320</v>
      </c>
      <c r="F9" s="42">
        <v>8230</v>
      </c>
      <c r="G9" s="42">
        <v>107000</v>
      </c>
      <c r="H9" s="42">
        <v>25000</v>
      </c>
      <c r="I9" s="42">
        <v>45300</v>
      </c>
      <c r="J9" s="42">
        <v>82700</v>
      </c>
      <c r="K9" s="42">
        <v>70110</v>
      </c>
      <c r="L9" s="42">
        <v>55000</v>
      </c>
      <c r="M9" s="42">
        <v>55000</v>
      </c>
    </row>
    <row r="10" spans="1:13" ht="15" x14ac:dyDescent="0.2">
      <c r="A10" s="8" t="s">
        <v>4</v>
      </c>
      <c r="B10" s="42">
        <v>36650</v>
      </c>
      <c r="C10" s="42">
        <f>23710+26100</f>
        <v>49810</v>
      </c>
      <c r="D10" s="42">
        <v>25000</v>
      </c>
      <c r="E10" s="42">
        <v>28600</v>
      </c>
      <c r="F10" s="42">
        <f>11000+22300</f>
        <v>33300</v>
      </c>
      <c r="G10" s="42">
        <f>22300+5200</f>
        <v>27500</v>
      </c>
      <c r="H10" s="42">
        <f>25450+7400</f>
        <v>32850</v>
      </c>
      <c r="I10" s="42">
        <v>31310</v>
      </c>
      <c r="J10" s="42">
        <f>26500+10000</f>
        <v>36500</v>
      </c>
      <c r="K10" s="42">
        <v>51500</v>
      </c>
      <c r="L10" s="42">
        <v>55000</v>
      </c>
      <c r="M10" s="42">
        <v>55000</v>
      </c>
    </row>
    <row r="11" spans="1:13" ht="15" x14ac:dyDescent="0.2">
      <c r="A11" s="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ht="15" x14ac:dyDescent="0.2">
      <c r="A14" s="8" t="s">
        <v>607</v>
      </c>
      <c r="B14" s="42">
        <v>29100</v>
      </c>
      <c r="C14" s="42">
        <v>39400</v>
      </c>
      <c r="D14" s="42">
        <v>39400</v>
      </c>
      <c r="E14" s="42">
        <v>39400</v>
      </c>
      <c r="F14" s="42">
        <v>39400</v>
      </c>
      <c r="G14" s="42">
        <v>39400</v>
      </c>
      <c r="H14" s="42">
        <v>39400</v>
      </c>
      <c r="I14" s="42">
        <v>44500</v>
      </c>
      <c r="J14" s="42">
        <v>44500</v>
      </c>
      <c r="K14" s="42">
        <v>44500</v>
      </c>
      <c r="L14" s="42">
        <v>44500</v>
      </c>
      <c r="M14" s="42">
        <v>44500</v>
      </c>
    </row>
    <row r="15" spans="1:13" ht="15" x14ac:dyDescent="0.2">
      <c r="A15" s="8" t="s">
        <v>5</v>
      </c>
      <c r="B15" s="42">
        <v>95000</v>
      </c>
      <c r="C15" s="42">
        <v>100000</v>
      </c>
      <c r="D15" s="42">
        <v>100000</v>
      </c>
      <c r="E15" s="42">
        <v>110000</v>
      </c>
      <c r="F15" s="42">
        <v>110000</v>
      </c>
      <c r="G15" s="42">
        <v>110000</v>
      </c>
      <c r="H15" s="42">
        <v>120000</v>
      </c>
      <c r="I15" s="42">
        <v>150000</v>
      </c>
      <c r="J15" s="42">
        <v>150000</v>
      </c>
      <c r="K15" s="42">
        <v>150000</v>
      </c>
      <c r="L15" s="42">
        <v>180000</v>
      </c>
      <c r="M15" s="42">
        <v>180000</v>
      </c>
    </row>
    <row r="16" spans="1:13" ht="15" x14ac:dyDescent="0.2">
      <c r="A16" s="8" t="s">
        <v>6</v>
      </c>
      <c r="B16" s="43">
        <f>SUM(B7:B15)</f>
        <v>182350</v>
      </c>
      <c r="C16" s="43">
        <f t="shared" ref="C16:M16" si="1">SUM(C7:C15)</f>
        <v>231260</v>
      </c>
      <c r="D16" s="43">
        <f t="shared" si="1"/>
        <v>164400</v>
      </c>
      <c r="E16" s="43">
        <f t="shared" si="1"/>
        <v>184320</v>
      </c>
      <c r="F16" s="43">
        <f t="shared" si="1"/>
        <v>191250</v>
      </c>
      <c r="G16" s="43">
        <f t="shared" si="1"/>
        <v>283900</v>
      </c>
      <c r="H16" s="43">
        <f t="shared" si="1"/>
        <v>217250</v>
      </c>
      <c r="I16" s="43">
        <f t="shared" si="1"/>
        <v>271110</v>
      </c>
      <c r="J16" s="43">
        <f t="shared" si="1"/>
        <v>313700</v>
      </c>
      <c r="K16" s="43">
        <f t="shared" si="1"/>
        <v>316110</v>
      </c>
      <c r="L16" s="43">
        <f t="shared" si="1"/>
        <v>-184784</v>
      </c>
      <c r="M16" s="43">
        <f t="shared" si="1"/>
        <v>149716</v>
      </c>
    </row>
    <row r="17" spans="1:13" ht="15" x14ac:dyDescent="0.2">
      <c r="A17" s="8" t="s">
        <v>7</v>
      </c>
      <c r="B17" s="44">
        <v>182300</v>
      </c>
      <c r="C17" s="44">
        <v>231260</v>
      </c>
      <c r="D17" s="44">
        <v>164400</v>
      </c>
      <c r="E17" s="44">
        <v>184000</v>
      </c>
      <c r="F17" s="44">
        <v>191250</v>
      </c>
      <c r="G17" s="44">
        <v>283900</v>
      </c>
      <c r="H17" s="44">
        <v>217250</v>
      </c>
      <c r="I17" s="44">
        <v>271110</v>
      </c>
      <c r="J17" s="44">
        <v>313700</v>
      </c>
      <c r="K17" s="44">
        <v>835394</v>
      </c>
      <c r="L17" s="44"/>
      <c r="M17" s="44">
        <v>100000</v>
      </c>
    </row>
    <row r="18" spans="1:13" ht="15" x14ac:dyDescent="0.2">
      <c r="A18" s="8" t="s">
        <v>111</v>
      </c>
      <c r="B18" s="43">
        <f>B16-B17</f>
        <v>50</v>
      </c>
      <c r="C18" s="43">
        <f>C16-C17</f>
        <v>0</v>
      </c>
      <c r="D18" s="43">
        <f t="shared" ref="D18:M18" si="2">D16-D17</f>
        <v>0</v>
      </c>
      <c r="E18" s="43">
        <f t="shared" si="2"/>
        <v>320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-519284</v>
      </c>
      <c r="L18" s="43">
        <f t="shared" si="2"/>
        <v>-184784</v>
      </c>
      <c r="M18" s="43">
        <f t="shared" si="2"/>
        <v>49716</v>
      </c>
    </row>
    <row r="19" spans="1:13" x14ac:dyDescent="0.2">
      <c r="E19" s="128">
        <v>45050</v>
      </c>
    </row>
    <row r="24" spans="1:13" ht="15.75" x14ac:dyDescent="0.25">
      <c r="A24" s="31" t="s">
        <v>0</v>
      </c>
      <c r="B24" s="31" t="s">
        <v>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2">
      <c r="A25" s="78"/>
      <c r="B25" s="79">
        <v>46023</v>
      </c>
      <c r="C25" s="79">
        <v>46054</v>
      </c>
      <c r="D25" s="79">
        <v>46082</v>
      </c>
      <c r="E25" s="79">
        <v>46113</v>
      </c>
      <c r="F25" s="79">
        <v>46143</v>
      </c>
      <c r="G25" s="79">
        <v>46174</v>
      </c>
      <c r="H25" s="79">
        <v>46204</v>
      </c>
      <c r="I25" s="79">
        <v>46235</v>
      </c>
      <c r="J25" s="79">
        <v>46266</v>
      </c>
      <c r="K25" s="79">
        <v>46296</v>
      </c>
      <c r="L25" s="79">
        <v>46327</v>
      </c>
      <c r="M25" s="79">
        <v>46357</v>
      </c>
    </row>
    <row r="26" spans="1:13" x14ac:dyDescent="0.2">
      <c r="A26" s="78" t="s">
        <v>110</v>
      </c>
      <c r="B26" s="42">
        <v>49720</v>
      </c>
      <c r="C26" s="42">
        <f>B37</f>
        <v>-155</v>
      </c>
      <c r="D26" s="42">
        <f t="shared" ref="D26:M26" si="3">C37</f>
        <v>-455</v>
      </c>
      <c r="E26" s="42">
        <f t="shared" si="3"/>
        <v>0</v>
      </c>
      <c r="F26" s="42">
        <f t="shared" si="3"/>
        <v>0</v>
      </c>
      <c r="G26" s="42">
        <f t="shared" si="3"/>
        <v>0</v>
      </c>
      <c r="H26" s="42">
        <f t="shared" si="3"/>
        <v>0</v>
      </c>
      <c r="I26" s="42">
        <f t="shared" si="3"/>
        <v>0</v>
      </c>
      <c r="J26" s="42">
        <f t="shared" si="3"/>
        <v>0</v>
      </c>
      <c r="K26" s="42">
        <f t="shared" si="3"/>
        <v>0</v>
      </c>
      <c r="L26" s="42">
        <f t="shared" si="3"/>
        <v>0</v>
      </c>
      <c r="M26" s="42">
        <f t="shared" si="3"/>
        <v>0</v>
      </c>
    </row>
    <row r="27" spans="1:13" x14ac:dyDescent="0.2">
      <c r="A27" s="78" t="s">
        <v>76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3</v>
      </c>
      <c r="B28" s="42">
        <v>112000</v>
      </c>
      <c r="C28" s="42">
        <v>74000</v>
      </c>
      <c r="D28" s="42">
        <v>115000</v>
      </c>
      <c r="E28" s="42">
        <v>25300</v>
      </c>
      <c r="F28" s="42">
        <v>81000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4</v>
      </c>
      <c r="B29" s="42">
        <v>57925</v>
      </c>
      <c r="C29" s="42">
        <v>60000</v>
      </c>
      <c r="D29" s="42">
        <v>60000</v>
      </c>
      <c r="E29" s="42">
        <v>34000</v>
      </c>
      <c r="F29" s="42">
        <f>51547+29000</f>
        <v>80547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658</v>
      </c>
      <c r="B33" s="42">
        <v>51700</v>
      </c>
      <c r="C33" s="42">
        <v>51700</v>
      </c>
      <c r="D33" s="42">
        <v>51700</v>
      </c>
      <c r="E33" s="42">
        <v>51700</v>
      </c>
      <c r="F33" s="42">
        <v>51700</v>
      </c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5</v>
      </c>
      <c r="B34" s="42">
        <v>180000</v>
      </c>
      <c r="C34" s="42">
        <v>180000</v>
      </c>
      <c r="D34" s="42">
        <v>200000</v>
      </c>
      <c r="E34" s="42">
        <v>200000</v>
      </c>
      <c r="F34" s="42">
        <v>200000</v>
      </c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6</v>
      </c>
      <c r="B35" s="43">
        <f t="shared" ref="B35:M35" si="4">SUM(B26:B34)</f>
        <v>451345</v>
      </c>
      <c r="C35" s="43">
        <f t="shared" si="4"/>
        <v>365545</v>
      </c>
      <c r="D35" s="43">
        <f t="shared" si="4"/>
        <v>426245</v>
      </c>
      <c r="E35" s="43">
        <f t="shared" si="4"/>
        <v>311000</v>
      </c>
      <c r="F35" s="43">
        <f t="shared" si="4"/>
        <v>413247</v>
      </c>
      <c r="G35" s="43">
        <f t="shared" si="4"/>
        <v>0</v>
      </c>
      <c r="H35" s="43">
        <f t="shared" si="4"/>
        <v>0</v>
      </c>
      <c r="I35" s="43">
        <f t="shared" si="4"/>
        <v>0</v>
      </c>
      <c r="J35" s="43">
        <f t="shared" si="4"/>
        <v>0</v>
      </c>
      <c r="K35" s="43">
        <f t="shared" si="4"/>
        <v>0</v>
      </c>
      <c r="L35" s="43">
        <f t="shared" si="4"/>
        <v>0</v>
      </c>
      <c r="M35" s="43">
        <f t="shared" si="4"/>
        <v>0</v>
      </c>
    </row>
    <row r="36" spans="1:13" x14ac:dyDescent="0.2">
      <c r="A36" s="78" t="s">
        <v>7</v>
      </c>
      <c r="B36" s="44">
        <v>451500</v>
      </c>
      <c r="C36" s="44">
        <v>366000</v>
      </c>
      <c r="D36" s="44">
        <v>426245</v>
      </c>
      <c r="E36" s="44">
        <v>311000</v>
      </c>
      <c r="F36" s="44">
        <v>413247</v>
      </c>
      <c r="G36" s="44"/>
      <c r="H36" s="44"/>
      <c r="I36" s="44"/>
      <c r="J36" s="44"/>
      <c r="K36" s="44"/>
      <c r="L36" s="44"/>
      <c r="M36" s="44"/>
    </row>
    <row r="37" spans="1:13" x14ac:dyDescent="0.2">
      <c r="A37" s="78" t="s">
        <v>111</v>
      </c>
      <c r="B37" s="43">
        <f t="shared" ref="B37:M37" si="5">B35-B36</f>
        <v>-155</v>
      </c>
      <c r="C37" s="43">
        <f t="shared" si="5"/>
        <v>-455</v>
      </c>
      <c r="D37" s="43">
        <f t="shared" si="5"/>
        <v>0</v>
      </c>
      <c r="E37" s="43">
        <f t="shared" si="5"/>
        <v>0</v>
      </c>
      <c r="F37" s="43">
        <f t="shared" si="5"/>
        <v>0</v>
      </c>
      <c r="G37" s="43">
        <f t="shared" si="5"/>
        <v>0</v>
      </c>
      <c r="H37" s="43">
        <f t="shared" si="5"/>
        <v>0</v>
      </c>
      <c r="I37" s="43">
        <f t="shared" si="5"/>
        <v>0</v>
      </c>
      <c r="J37" s="43">
        <f t="shared" si="5"/>
        <v>0</v>
      </c>
      <c r="K37" s="43">
        <f t="shared" si="5"/>
        <v>0</v>
      </c>
      <c r="L37" s="43">
        <f t="shared" si="5"/>
        <v>0</v>
      </c>
      <c r="M37" s="43">
        <f t="shared" si="5"/>
        <v>0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4"/>
  <dimension ref="A3:O37"/>
  <sheetViews>
    <sheetView topLeftCell="A13" workbookViewId="0">
      <selection activeCell="F31" sqref="F31"/>
    </sheetView>
  </sheetViews>
  <sheetFormatPr baseColWidth="10" defaultRowHeight="12.75" x14ac:dyDescent="0.2"/>
  <cols>
    <col min="1" max="1" width="28" customWidth="1"/>
    <col min="2" max="2" width="12.85546875" bestFit="1" customWidth="1"/>
  </cols>
  <sheetData>
    <row r="3" spans="1:15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5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5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242170</v>
      </c>
      <c r="G5" s="42">
        <f t="shared" si="0"/>
        <v>0</v>
      </c>
      <c r="H5" s="42">
        <f t="shared" si="0"/>
        <v>115700</v>
      </c>
      <c r="I5" s="42">
        <f t="shared" si="0"/>
        <v>0</v>
      </c>
      <c r="J5" s="42">
        <f t="shared" si="0"/>
        <v>209200</v>
      </c>
      <c r="K5" s="42">
        <f t="shared" si="0"/>
        <v>-14167</v>
      </c>
      <c r="L5" s="42">
        <f t="shared" si="0"/>
        <v>139033</v>
      </c>
      <c r="M5" s="42">
        <f t="shared" si="0"/>
        <v>0</v>
      </c>
    </row>
    <row r="6" spans="1:15" x14ac:dyDescent="0.2">
      <c r="A6" s="78" t="s">
        <v>638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5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5" x14ac:dyDescent="0.2">
      <c r="A8" s="78" t="s">
        <v>716</v>
      </c>
      <c r="B8" s="42">
        <v>47700</v>
      </c>
      <c r="C8" s="42">
        <v>45000</v>
      </c>
      <c r="D8" s="42">
        <v>44900</v>
      </c>
      <c r="E8" s="42">
        <v>44450</v>
      </c>
      <c r="F8" s="42">
        <v>44450</v>
      </c>
      <c r="G8" s="42">
        <v>44000</v>
      </c>
      <c r="H8" s="42">
        <v>56000</v>
      </c>
      <c r="I8" s="42">
        <v>56000</v>
      </c>
      <c r="J8" s="42">
        <v>56000</v>
      </c>
      <c r="K8" s="42"/>
      <c r="L8" s="42">
        <v>28000</v>
      </c>
      <c r="M8" s="42">
        <v>28000</v>
      </c>
      <c r="N8" t="s">
        <v>717</v>
      </c>
      <c r="O8" s="206">
        <f>28000+60000</f>
        <v>88000</v>
      </c>
    </row>
    <row r="9" spans="1:15" x14ac:dyDescent="0.2">
      <c r="A9" s="78"/>
      <c r="B9" s="42">
        <v>22300</v>
      </c>
      <c r="C9" s="42">
        <v>26000</v>
      </c>
      <c r="D9" s="42">
        <v>26700</v>
      </c>
      <c r="E9" s="42">
        <v>18120</v>
      </c>
      <c r="F9" s="42">
        <v>18120</v>
      </c>
      <c r="G9" s="42">
        <v>27000</v>
      </c>
      <c r="H9" s="42">
        <v>28000</v>
      </c>
      <c r="I9" s="42"/>
      <c r="J9" s="42"/>
      <c r="K9" s="42"/>
      <c r="L9" s="42"/>
      <c r="M9" s="42"/>
      <c r="N9" t="s">
        <v>718</v>
      </c>
      <c r="O9" s="206">
        <f>56000+60000+29700</f>
        <v>145700</v>
      </c>
    </row>
    <row r="10" spans="1:15" x14ac:dyDescent="0.2">
      <c r="A10" s="78" t="s">
        <v>662</v>
      </c>
      <c r="B10" s="42">
        <v>50000</v>
      </c>
      <c r="C10" s="42">
        <v>50000</v>
      </c>
      <c r="D10" s="42">
        <v>50000</v>
      </c>
      <c r="E10" s="42">
        <v>50000</v>
      </c>
      <c r="F10" s="42">
        <v>50000</v>
      </c>
      <c r="G10" s="42">
        <v>50000</v>
      </c>
      <c r="H10" s="42">
        <v>60000</v>
      </c>
      <c r="I10" s="42">
        <v>60000</v>
      </c>
      <c r="J10" s="42">
        <v>60000</v>
      </c>
      <c r="K10" s="42">
        <v>60000</v>
      </c>
      <c r="L10" s="42">
        <v>60000</v>
      </c>
      <c r="M10" s="42">
        <v>60000</v>
      </c>
      <c r="N10" t="s">
        <v>719</v>
      </c>
      <c r="O10" s="55">
        <v>60000</v>
      </c>
    </row>
    <row r="11" spans="1:15" x14ac:dyDescent="0.2">
      <c r="A11" s="78" t="s">
        <v>624</v>
      </c>
      <c r="B11" s="42">
        <v>17800</v>
      </c>
      <c r="C11" s="42">
        <v>28700</v>
      </c>
      <c r="D11" s="42">
        <v>29600</v>
      </c>
      <c r="E11" s="42">
        <v>29600</v>
      </c>
      <c r="F11" s="42">
        <v>29700</v>
      </c>
      <c r="G11" s="42">
        <v>29700</v>
      </c>
      <c r="H11" s="42">
        <v>29700</v>
      </c>
      <c r="I11" s="42">
        <v>33200</v>
      </c>
      <c r="J11" s="42">
        <v>33200</v>
      </c>
      <c r="K11" s="42">
        <v>33200</v>
      </c>
      <c r="L11" s="42">
        <v>33500</v>
      </c>
      <c r="M11" s="42">
        <v>33700</v>
      </c>
      <c r="O11" s="206">
        <f>SUM(O8:O10)</f>
        <v>293700</v>
      </c>
    </row>
    <row r="12" spans="1:15" x14ac:dyDescent="0.2">
      <c r="A12" s="78"/>
      <c r="B12" s="42">
        <v>50000</v>
      </c>
      <c r="C12" s="42">
        <v>50000</v>
      </c>
      <c r="D12" s="42">
        <v>50000</v>
      </c>
      <c r="E12" s="42">
        <v>50000</v>
      </c>
      <c r="F12" s="42">
        <v>50000</v>
      </c>
      <c r="G12" s="42">
        <v>60000</v>
      </c>
      <c r="H12" s="42">
        <v>60000</v>
      </c>
      <c r="I12" s="42"/>
      <c r="J12" s="42"/>
      <c r="K12" s="42"/>
      <c r="L12" s="42">
        <v>-3</v>
      </c>
      <c r="M12" s="42"/>
    </row>
    <row r="13" spans="1:15" x14ac:dyDescent="0.2">
      <c r="A13" s="78" t="s">
        <v>714</v>
      </c>
      <c r="B13" s="42">
        <v>50000</v>
      </c>
      <c r="C13" s="42">
        <v>50000</v>
      </c>
      <c r="D13" s="42">
        <v>50000</v>
      </c>
      <c r="E13" s="42">
        <v>50000</v>
      </c>
      <c r="F13" s="42">
        <v>50000</v>
      </c>
      <c r="G13" s="42">
        <v>60000</v>
      </c>
      <c r="H13" s="42">
        <v>60000</v>
      </c>
      <c r="I13" s="42">
        <v>60000</v>
      </c>
      <c r="J13" s="42">
        <v>60000</v>
      </c>
      <c r="K13" s="42">
        <v>60000</v>
      </c>
      <c r="L13" s="42">
        <v>60000</v>
      </c>
      <c r="M13" s="42">
        <v>60000</v>
      </c>
    </row>
    <row r="14" spans="1:15" x14ac:dyDescent="0.2">
      <c r="A14" s="78" t="s">
        <v>6</v>
      </c>
      <c r="B14" s="43">
        <f t="shared" ref="B14:M14" si="1">SUM(B5:B13)</f>
        <v>237800</v>
      </c>
      <c r="C14" s="43">
        <f t="shared" si="1"/>
        <v>249700</v>
      </c>
      <c r="D14" s="43">
        <f t="shared" si="1"/>
        <v>251200</v>
      </c>
      <c r="E14" s="43">
        <f t="shared" si="1"/>
        <v>242170</v>
      </c>
      <c r="F14" s="43">
        <f t="shared" si="1"/>
        <v>484440</v>
      </c>
      <c r="G14" s="43">
        <f t="shared" si="1"/>
        <v>270700</v>
      </c>
      <c r="H14" s="43">
        <f t="shared" si="1"/>
        <v>409400</v>
      </c>
      <c r="I14" s="43">
        <f t="shared" si="1"/>
        <v>209200</v>
      </c>
      <c r="J14" s="43">
        <f t="shared" si="1"/>
        <v>418400</v>
      </c>
      <c r="K14" s="43">
        <f t="shared" si="1"/>
        <v>139033</v>
      </c>
      <c r="L14" s="43">
        <f t="shared" si="1"/>
        <v>320530</v>
      </c>
      <c r="M14" s="43">
        <f t="shared" si="1"/>
        <v>181700</v>
      </c>
    </row>
    <row r="15" spans="1:15" ht="13.5" thickBot="1" x14ac:dyDescent="0.25">
      <c r="A15" s="78" t="s">
        <v>7</v>
      </c>
      <c r="B15" s="44">
        <f>72300+50000+115500</f>
        <v>237800</v>
      </c>
      <c r="C15" s="44">
        <f>76000+50000+123700</f>
        <v>249700</v>
      </c>
      <c r="D15" s="44">
        <f>50000+201200</f>
        <v>251200</v>
      </c>
      <c r="E15" s="44"/>
      <c r="F15" s="44">
        <f>100000+248200+136240</f>
        <v>484440</v>
      </c>
      <c r="G15" s="44">
        <v>155000</v>
      </c>
      <c r="H15" s="44">
        <f>261400+88000+60000</f>
        <v>409400</v>
      </c>
      <c r="I15" s="44"/>
      <c r="J15" s="44">
        <v>432567</v>
      </c>
      <c r="K15" s="44"/>
      <c r="L15" s="44">
        <v>320530</v>
      </c>
      <c r="M15" s="44">
        <v>181700</v>
      </c>
    </row>
    <row r="16" spans="1:15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>D14-D15</f>
        <v>0</v>
      </c>
      <c r="E16" s="46">
        <f t="shared" si="2"/>
        <v>242170</v>
      </c>
      <c r="F16" s="46">
        <f t="shared" si="2"/>
        <v>0</v>
      </c>
      <c r="G16" s="46">
        <f t="shared" si="2"/>
        <v>115700</v>
      </c>
      <c r="H16" s="46">
        <f t="shared" si="2"/>
        <v>0</v>
      </c>
      <c r="I16" s="46">
        <f t="shared" si="2"/>
        <v>209200</v>
      </c>
      <c r="J16" s="46">
        <f t="shared" si="2"/>
        <v>-14167</v>
      </c>
      <c r="K16" s="46">
        <f t="shared" si="2"/>
        <v>139033</v>
      </c>
      <c r="L16" s="46">
        <f t="shared" si="2"/>
        <v>0</v>
      </c>
      <c r="M16" s="47">
        <f t="shared" si="2"/>
        <v>0</v>
      </c>
    </row>
    <row r="17" spans="1:13" x14ac:dyDescent="0.2">
      <c r="H17" t="s">
        <v>738</v>
      </c>
      <c r="J17" t="s">
        <v>759</v>
      </c>
    </row>
    <row r="18" spans="1:13" x14ac:dyDescent="0.2">
      <c r="A18" s="152" t="s">
        <v>4</v>
      </c>
      <c r="B18" s="55">
        <f>+B8+B9</f>
        <v>70000</v>
      </c>
      <c r="H18" t="s">
        <v>741</v>
      </c>
    </row>
    <row r="19" spans="1:13" x14ac:dyDescent="0.2">
      <c r="A19" s="80" t="s">
        <v>0</v>
      </c>
      <c r="B19" s="80" t="s">
        <v>1</v>
      </c>
      <c r="C19" s="81"/>
      <c r="D19" s="81"/>
      <c r="E19" s="81"/>
      <c r="F19" s="81"/>
      <c r="G19" s="81"/>
      <c r="H19" s="81" t="s">
        <v>742</v>
      </c>
      <c r="I19" s="81"/>
      <c r="J19" s="81"/>
      <c r="K19" s="81"/>
      <c r="L19" s="81"/>
      <c r="M19" s="81"/>
    </row>
    <row r="20" spans="1:13" x14ac:dyDescent="0.2">
      <c r="A20" s="81"/>
      <c r="B20" s="82">
        <v>46023</v>
      </c>
      <c r="C20" s="82">
        <v>46054</v>
      </c>
      <c r="D20" s="82">
        <v>46082</v>
      </c>
      <c r="E20" s="82">
        <v>46113</v>
      </c>
      <c r="F20" s="82">
        <v>46143</v>
      </c>
      <c r="G20" s="82">
        <v>46174</v>
      </c>
      <c r="H20" s="82">
        <v>46204</v>
      </c>
      <c r="I20" s="82">
        <v>46235</v>
      </c>
      <c r="J20" s="82">
        <v>46266</v>
      </c>
      <c r="K20" s="82">
        <v>46296</v>
      </c>
      <c r="L20" s="82">
        <v>46327</v>
      </c>
      <c r="M20" s="82">
        <v>46357</v>
      </c>
    </row>
    <row r="21" spans="1:13" x14ac:dyDescent="0.2">
      <c r="A21" s="78" t="s">
        <v>110</v>
      </c>
      <c r="B21" s="42"/>
      <c r="C21" s="42">
        <f t="shared" ref="C21:M21" si="3">B32</f>
        <v>10000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247500</v>
      </c>
      <c r="H21" s="42">
        <f t="shared" si="3"/>
        <v>247500</v>
      </c>
      <c r="I21" s="42">
        <f t="shared" si="3"/>
        <v>247500</v>
      </c>
      <c r="J21" s="42">
        <f t="shared" si="3"/>
        <v>247500</v>
      </c>
      <c r="K21" s="42">
        <f t="shared" si="3"/>
        <v>247500</v>
      </c>
      <c r="L21" s="42">
        <f t="shared" si="3"/>
        <v>247500</v>
      </c>
      <c r="M21" s="42">
        <f t="shared" si="3"/>
        <v>247500</v>
      </c>
    </row>
    <row r="22" spans="1:13" x14ac:dyDescent="0.2">
      <c r="A22" s="7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660</v>
      </c>
      <c r="B24" s="42">
        <v>30000</v>
      </c>
      <c r="C24" s="42">
        <v>30000</v>
      </c>
      <c r="D24" s="42">
        <v>30000</v>
      </c>
      <c r="E24" s="42">
        <v>30000</v>
      </c>
      <c r="F24" s="42">
        <v>30000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694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662</v>
      </c>
      <c r="B26" s="42">
        <v>80000</v>
      </c>
      <c r="C26" s="42">
        <v>80000</v>
      </c>
      <c r="D26" s="42">
        <v>80000</v>
      </c>
      <c r="E26" s="42">
        <v>80000</v>
      </c>
      <c r="F26" s="42">
        <v>80000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624</v>
      </c>
      <c r="B27" s="42">
        <v>34100</v>
      </c>
      <c r="C27" s="42">
        <v>37100</v>
      </c>
      <c r="D27" s="42">
        <v>37100</v>
      </c>
      <c r="E27" s="42">
        <v>37100</v>
      </c>
      <c r="F27" s="42">
        <v>37500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566</v>
      </c>
      <c r="B28" s="42">
        <v>80000</v>
      </c>
      <c r="C28" s="42">
        <v>80000</v>
      </c>
      <c r="D28" s="42">
        <v>80000</v>
      </c>
      <c r="E28" s="42">
        <v>100000</v>
      </c>
      <c r="F28" s="42">
        <v>100000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661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224100</v>
      </c>
      <c r="C30" s="43">
        <f t="shared" si="4"/>
        <v>237100</v>
      </c>
      <c r="D30" s="43">
        <f t="shared" si="4"/>
        <v>227100</v>
      </c>
      <c r="E30" s="43">
        <f t="shared" si="4"/>
        <v>247100</v>
      </c>
      <c r="F30" s="43">
        <f t="shared" si="4"/>
        <v>247500</v>
      </c>
      <c r="G30" s="43">
        <f t="shared" si="4"/>
        <v>247500</v>
      </c>
      <c r="H30" s="43">
        <f t="shared" si="4"/>
        <v>247500</v>
      </c>
      <c r="I30" s="43">
        <f t="shared" si="4"/>
        <v>247500</v>
      </c>
      <c r="J30" s="43">
        <f t="shared" si="4"/>
        <v>247500</v>
      </c>
      <c r="K30" s="43">
        <f t="shared" si="4"/>
        <v>247500</v>
      </c>
      <c r="L30" s="43">
        <f t="shared" si="4"/>
        <v>247500</v>
      </c>
      <c r="M30" s="43">
        <f t="shared" si="4"/>
        <v>247500</v>
      </c>
    </row>
    <row r="31" spans="1:13" ht="13.5" thickBot="1" x14ac:dyDescent="0.25">
      <c r="A31" s="78" t="s">
        <v>7</v>
      </c>
      <c r="B31" s="44">
        <v>214100</v>
      </c>
      <c r="C31" s="44">
        <v>237100</v>
      </c>
      <c r="D31" s="44">
        <v>227100</v>
      </c>
      <c r="E31" s="44">
        <v>247100</v>
      </c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>B30-B31</f>
        <v>10000</v>
      </c>
      <c r="C32" s="46">
        <f>C30-C31</f>
        <v>0</v>
      </c>
      <c r="D32" s="46">
        <f>D30-D31</f>
        <v>0</v>
      </c>
      <c r="E32" s="46">
        <f t="shared" ref="E32:M32" si="5">E30-E31</f>
        <v>0</v>
      </c>
      <c r="F32" s="46">
        <f t="shared" si="5"/>
        <v>247500</v>
      </c>
      <c r="G32" s="46">
        <f t="shared" si="5"/>
        <v>247500</v>
      </c>
      <c r="H32" s="46">
        <f t="shared" si="5"/>
        <v>247500</v>
      </c>
      <c r="I32" s="46">
        <f t="shared" si="5"/>
        <v>247500</v>
      </c>
      <c r="J32" s="46">
        <f t="shared" si="5"/>
        <v>247500</v>
      </c>
      <c r="K32" s="46">
        <f t="shared" si="5"/>
        <v>247500</v>
      </c>
      <c r="L32" s="46">
        <f>L30-L31</f>
        <v>247500</v>
      </c>
      <c r="M32" s="47">
        <f t="shared" si="5"/>
        <v>247500</v>
      </c>
    </row>
    <row r="33" spans="3:5" x14ac:dyDescent="0.2">
      <c r="C33" s="128">
        <v>44631</v>
      </c>
    </row>
    <row r="34" spans="3:5" x14ac:dyDescent="0.2">
      <c r="E34">
        <v>3900</v>
      </c>
    </row>
    <row r="35" spans="3:5" x14ac:dyDescent="0.2">
      <c r="E35">
        <f>23*200</f>
        <v>4600</v>
      </c>
    </row>
    <row r="36" spans="3:5" x14ac:dyDescent="0.2">
      <c r="E36">
        <v>1500</v>
      </c>
    </row>
    <row r="37" spans="3:5" x14ac:dyDescent="0.2">
      <c r="E37">
        <v>20000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5"/>
  <dimension ref="A3:M34"/>
  <sheetViews>
    <sheetView topLeftCell="A19" workbookViewId="0">
      <selection activeCell="E32" sqref="E32"/>
    </sheetView>
  </sheetViews>
  <sheetFormatPr baseColWidth="10" defaultRowHeight="12.75" x14ac:dyDescent="0.2"/>
  <cols>
    <col min="1" max="1" width="31.1406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88000</v>
      </c>
      <c r="K5" s="42">
        <f t="shared" si="0"/>
        <v>176000</v>
      </c>
      <c r="L5" s="42">
        <f t="shared" si="0"/>
        <v>176000</v>
      </c>
      <c r="M5" s="42">
        <f t="shared" si="0"/>
        <v>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>
        <v>28000</v>
      </c>
      <c r="J8" s="42">
        <v>28000</v>
      </c>
      <c r="K8" s="42">
        <v>28000</v>
      </c>
      <c r="L8" s="42">
        <v>28000</v>
      </c>
      <c r="M8" s="42">
        <v>28000</v>
      </c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>
        <v>0</v>
      </c>
      <c r="M12" s="42"/>
    </row>
    <row r="13" spans="1:13" x14ac:dyDescent="0.2">
      <c r="A13" s="78" t="s">
        <v>5</v>
      </c>
      <c r="B13" s="42"/>
      <c r="C13" s="42"/>
      <c r="D13" s="42"/>
      <c r="E13" s="42"/>
      <c r="F13" s="42"/>
      <c r="G13" s="42"/>
      <c r="H13" s="42"/>
      <c r="I13" s="42">
        <v>60000</v>
      </c>
      <c r="J13" s="42">
        <v>60000</v>
      </c>
      <c r="K13" s="42">
        <v>60000</v>
      </c>
      <c r="L13" s="42">
        <v>60000</v>
      </c>
      <c r="M13" s="42">
        <v>60000</v>
      </c>
    </row>
    <row r="14" spans="1:13" x14ac:dyDescent="0.2">
      <c r="A14" s="78" t="s">
        <v>6</v>
      </c>
      <c r="B14" s="43">
        <f t="shared" ref="B14:M14" si="1">SUM(B5:B13)</f>
        <v>0</v>
      </c>
      <c r="C14" s="43">
        <f t="shared" si="1"/>
        <v>0</v>
      </c>
      <c r="D14" s="43">
        <f t="shared" si="1"/>
        <v>0</v>
      </c>
      <c r="E14" s="43">
        <f t="shared" si="1"/>
        <v>0</v>
      </c>
      <c r="F14" s="43">
        <f t="shared" si="1"/>
        <v>0</v>
      </c>
      <c r="G14" s="43">
        <f t="shared" si="1"/>
        <v>0</v>
      </c>
      <c r="H14" s="43">
        <f t="shared" si="1"/>
        <v>0</v>
      </c>
      <c r="I14" s="43">
        <f t="shared" si="1"/>
        <v>88000</v>
      </c>
      <c r="J14" s="43">
        <f t="shared" si="1"/>
        <v>176000</v>
      </c>
      <c r="K14" s="43">
        <f t="shared" si="1"/>
        <v>264000</v>
      </c>
      <c r="L14" s="43">
        <f t="shared" si="1"/>
        <v>264000</v>
      </c>
      <c r="M14" s="43">
        <f t="shared" si="1"/>
        <v>88000</v>
      </c>
    </row>
    <row r="15" spans="1:13" ht="13.5" thickBot="1" x14ac:dyDescent="0.25">
      <c r="A15" s="78" t="s">
        <v>7</v>
      </c>
      <c r="B15" s="44"/>
      <c r="C15" s="44"/>
      <c r="D15" s="44"/>
      <c r="E15" s="44"/>
      <c r="F15" s="44"/>
      <c r="G15" s="44"/>
      <c r="H15" s="44"/>
      <c r="I15" s="44"/>
      <c r="J15" s="44"/>
      <c r="K15" s="44">
        <v>88000</v>
      </c>
      <c r="L15" s="44">
        <v>264000</v>
      </c>
      <c r="M15" s="44">
        <v>88000</v>
      </c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>D14-D15</f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88000</v>
      </c>
      <c r="J16" s="46">
        <f t="shared" si="2"/>
        <v>176000</v>
      </c>
      <c r="K16" s="46">
        <f>K14-K15</f>
        <v>176000</v>
      </c>
      <c r="L16" s="46">
        <f>264000-L15</f>
        <v>0</v>
      </c>
      <c r="M16" s="47">
        <f t="shared" si="2"/>
        <v>0</v>
      </c>
    </row>
    <row r="20" spans="1:13" x14ac:dyDescent="0.2">
      <c r="A20" s="81"/>
      <c r="B20" s="82">
        <v>46023</v>
      </c>
      <c r="C20" s="82">
        <v>46054</v>
      </c>
      <c r="D20" s="82">
        <v>46082</v>
      </c>
      <c r="E20" s="82">
        <v>46113</v>
      </c>
      <c r="F20" s="82">
        <v>46143</v>
      </c>
      <c r="G20" s="82">
        <v>46174</v>
      </c>
      <c r="H20" s="82">
        <v>46204</v>
      </c>
      <c r="I20" s="82">
        <v>46235</v>
      </c>
      <c r="J20" s="82">
        <v>46266</v>
      </c>
      <c r="K20" s="82">
        <v>46296</v>
      </c>
      <c r="L20" s="82">
        <v>46327</v>
      </c>
      <c r="M20" s="82">
        <v>46357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89500</v>
      </c>
      <c r="H21" s="42">
        <f t="shared" si="3"/>
        <v>89500</v>
      </c>
      <c r="I21" s="42">
        <f t="shared" si="3"/>
        <v>89500</v>
      </c>
      <c r="J21" s="42">
        <f t="shared" si="3"/>
        <v>89500</v>
      </c>
      <c r="K21" s="42">
        <f t="shared" si="3"/>
        <v>89500</v>
      </c>
      <c r="L21" s="42">
        <f t="shared" si="3"/>
        <v>89500</v>
      </c>
      <c r="M21" s="42">
        <f t="shared" si="3"/>
        <v>89500</v>
      </c>
    </row>
    <row r="22" spans="1:13" x14ac:dyDescent="0.2">
      <c r="A22" s="7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29500</v>
      </c>
      <c r="C24" s="42">
        <v>29500</v>
      </c>
      <c r="D24" s="42">
        <v>29500</v>
      </c>
      <c r="E24" s="42">
        <v>29500</v>
      </c>
      <c r="F24" s="42">
        <v>29500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60000</v>
      </c>
      <c r="C29" s="42">
        <v>60000</v>
      </c>
      <c r="D29" s="42">
        <v>60000</v>
      </c>
      <c r="E29" s="42">
        <v>60000</v>
      </c>
      <c r="F29" s="42">
        <v>60000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89500</v>
      </c>
      <c r="C30" s="43">
        <f t="shared" si="4"/>
        <v>89500</v>
      </c>
      <c r="D30" s="43">
        <f t="shared" si="4"/>
        <v>89500</v>
      </c>
      <c r="E30" s="43">
        <f t="shared" si="4"/>
        <v>89500</v>
      </c>
      <c r="F30" s="43">
        <f t="shared" si="4"/>
        <v>89500</v>
      </c>
      <c r="G30" s="43">
        <f t="shared" si="4"/>
        <v>89500</v>
      </c>
      <c r="H30" s="43">
        <f t="shared" si="4"/>
        <v>89500</v>
      </c>
      <c r="I30" s="43">
        <f t="shared" si="4"/>
        <v>89500</v>
      </c>
      <c r="J30" s="43">
        <f t="shared" si="4"/>
        <v>89500</v>
      </c>
      <c r="K30" s="43">
        <f t="shared" si="4"/>
        <v>89500</v>
      </c>
      <c r="L30" s="43">
        <f t="shared" si="4"/>
        <v>89500</v>
      </c>
      <c r="M30" s="43">
        <f t="shared" si="4"/>
        <v>89500</v>
      </c>
    </row>
    <row r="31" spans="1:13" ht="13.5" thickBot="1" x14ac:dyDescent="0.25">
      <c r="A31" s="78" t="s">
        <v>7</v>
      </c>
      <c r="B31" s="44">
        <v>89500</v>
      </c>
      <c r="C31" s="44">
        <v>89500</v>
      </c>
      <c r="D31" s="44">
        <v>89500</v>
      </c>
      <c r="E31" s="44">
        <v>89500</v>
      </c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>B30-B31</f>
        <v>0</v>
      </c>
      <c r="C32" s="46">
        <f>C30-C31</f>
        <v>0</v>
      </c>
      <c r="D32" s="46">
        <f>D30-D31</f>
        <v>0</v>
      </c>
      <c r="E32" s="46">
        <f t="shared" ref="E32:M32" si="5">E30-E31</f>
        <v>0</v>
      </c>
      <c r="F32" s="46">
        <f t="shared" si="5"/>
        <v>89500</v>
      </c>
      <c r="G32" s="46">
        <f t="shared" si="5"/>
        <v>89500</v>
      </c>
      <c r="H32" s="46">
        <f t="shared" si="5"/>
        <v>89500</v>
      </c>
      <c r="I32" s="46">
        <f t="shared" si="5"/>
        <v>89500</v>
      </c>
      <c r="J32" s="46">
        <f t="shared" si="5"/>
        <v>89500</v>
      </c>
      <c r="K32" s="46">
        <f t="shared" si="5"/>
        <v>89500</v>
      </c>
      <c r="L32" s="46">
        <f t="shared" si="5"/>
        <v>89500</v>
      </c>
      <c r="M32" s="47">
        <f t="shared" si="5"/>
        <v>89500</v>
      </c>
    </row>
    <row r="34" spans="1:1" x14ac:dyDescent="0.2">
      <c r="A34" t="s">
        <v>298</v>
      </c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3"/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6"/>
  <dimension ref="A1:M34"/>
  <sheetViews>
    <sheetView showGridLines="0" topLeftCell="A5" workbookViewId="0">
      <selection activeCell="F18" sqref="F18"/>
    </sheetView>
  </sheetViews>
  <sheetFormatPr baseColWidth="10" defaultRowHeight="20.25" x14ac:dyDescent="0.3"/>
  <cols>
    <col min="1" max="1" width="34" style="2" customWidth="1"/>
    <col min="2" max="4" width="11.28515625" style="2" bestFit="1" customWidth="1"/>
    <col min="5" max="5" width="15" style="2" bestFit="1" customWidth="1"/>
    <col min="6" max="6" width="12.28515625" style="2" customWidth="1"/>
    <col min="7" max="7" width="12.85546875" style="2" customWidth="1"/>
    <col min="8" max="8" width="11.7109375" style="2" customWidth="1"/>
    <col min="9" max="9" width="11.5703125" style="2" bestFit="1" customWidth="1"/>
    <col min="10" max="10" width="12" style="2" customWidth="1"/>
    <col min="11" max="16384" width="11.42578125" style="2"/>
  </cols>
  <sheetData>
    <row r="1" spans="1:13" ht="33" x14ac:dyDescent="0.45">
      <c r="A1" s="14" t="s">
        <v>102</v>
      </c>
    </row>
    <row r="3" spans="1:13" x14ac:dyDescent="0.3">
      <c r="A3" s="11" t="s">
        <v>11</v>
      </c>
      <c r="B3" s="216" t="s">
        <v>24</v>
      </c>
      <c r="C3" s="216"/>
      <c r="D3" s="216"/>
      <c r="E3" s="216"/>
      <c r="F3" s="216"/>
      <c r="G3" s="216"/>
    </row>
    <row r="5" spans="1:13" x14ac:dyDescent="0.3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3">
      <c r="A6" s="78"/>
      <c r="B6" s="79">
        <v>46023</v>
      </c>
      <c r="C6" s="79">
        <v>46054</v>
      </c>
      <c r="D6" s="79">
        <v>46082</v>
      </c>
      <c r="E6" s="79">
        <v>46113</v>
      </c>
      <c r="F6" s="79">
        <v>46143</v>
      </c>
      <c r="G6" s="79">
        <v>46174</v>
      </c>
      <c r="H6" s="79">
        <v>46204</v>
      </c>
      <c r="I6" s="79">
        <v>46235</v>
      </c>
      <c r="J6" s="79">
        <v>46266</v>
      </c>
      <c r="K6" s="79">
        <v>46296</v>
      </c>
      <c r="L6" s="79">
        <v>46327</v>
      </c>
      <c r="M6" s="79">
        <v>46357</v>
      </c>
    </row>
    <row r="7" spans="1:13" x14ac:dyDescent="0.3">
      <c r="A7" s="78" t="s">
        <v>110</v>
      </c>
      <c r="B7" s="42"/>
      <c r="C7" s="42">
        <f>B18</f>
        <v>0</v>
      </c>
      <c r="D7" s="42">
        <f t="shared" ref="D7:M7" si="0">C18</f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>J18</f>
        <v>0</v>
      </c>
      <c r="L7" s="42">
        <f t="shared" si="0"/>
        <v>0</v>
      </c>
      <c r="M7" s="42">
        <f t="shared" si="0"/>
        <v>0</v>
      </c>
    </row>
    <row r="8" spans="1:13" x14ac:dyDescent="0.3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4</v>
      </c>
      <c r="B10" s="42">
        <v>30000</v>
      </c>
      <c r="C10" s="42">
        <v>30000</v>
      </c>
      <c r="D10" s="42">
        <v>30000</v>
      </c>
      <c r="E10" s="42">
        <v>30000</v>
      </c>
      <c r="F10" s="42">
        <v>30000</v>
      </c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325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>
        <v>25000</v>
      </c>
      <c r="C15" s="42">
        <v>25000</v>
      </c>
      <c r="D15" s="42">
        <v>25000</v>
      </c>
      <c r="E15" s="42">
        <v>25000</v>
      </c>
      <c r="F15" s="42">
        <v>25000</v>
      </c>
      <c r="G15" s="42"/>
      <c r="H15" s="42"/>
      <c r="I15" s="42"/>
      <c r="J15" s="42"/>
      <c r="K15" s="42"/>
      <c r="L15" s="42"/>
      <c r="M15" s="42"/>
    </row>
    <row r="16" spans="1:13" x14ac:dyDescent="0.3">
      <c r="A16" s="78" t="s">
        <v>6</v>
      </c>
      <c r="B16" s="43">
        <f>SUM(B7:B15)</f>
        <v>55000</v>
      </c>
      <c r="C16" s="43">
        <f t="shared" ref="C16:M16" si="1">SUM(C7:C15)</f>
        <v>55000</v>
      </c>
      <c r="D16" s="43">
        <f t="shared" si="1"/>
        <v>55000</v>
      </c>
      <c r="E16" s="43">
        <f t="shared" si="1"/>
        <v>55000</v>
      </c>
      <c r="F16" s="43">
        <f t="shared" si="1"/>
        <v>55000</v>
      </c>
      <c r="G16" s="43">
        <f t="shared" si="1"/>
        <v>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0</v>
      </c>
      <c r="L16" s="43">
        <f t="shared" si="1"/>
        <v>0</v>
      </c>
      <c r="M16" s="43">
        <f t="shared" si="1"/>
        <v>0</v>
      </c>
    </row>
    <row r="17" spans="1:13" x14ac:dyDescent="0.3">
      <c r="A17" s="78" t="s">
        <v>7</v>
      </c>
      <c r="B17" s="44">
        <v>55000</v>
      </c>
      <c r="C17" s="44">
        <v>55000</v>
      </c>
      <c r="D17" s="44">
        <v>55000</v>
      </c>
      <c r="E17" s="44">
        <v>55000</v>
      </c>
      <c r="F17" s="44">
        <v>55000</v>
      </c>
      <c r="G17" s="44"/>
      <c r="H17" s="44"/>
      <c r="I17" s="44"/>
      <c r="J17" s="44"/>
      <c r="K17" s="44"/>
      <c r="L17" s="44"/>
      <c r="M17" s="44"/>
    </row>
    <row r="18" spans="1:13" x14ac:dyDescent="0.3">
      <c r="A18" s="78" t="s">
        <v>111</v>
      </c>
      <c r="B18" s="43">
        <f>B16-B17</f>
        <v>0</v>
      </c>
      <c r="C18" s="43">
        <f>C16-C17</f>
        <v>0</v>
      </c>
      <c r="D18" s="43">
        <f>D16-D17</f>
        <v>0</v>
      </c>
      <c r="E18" s="43">
        <f t="shared" ref="E18:M18" si="2">E16-E17</f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  <c r="L18" s="43">
        <f t="shared" si="2"/>
        <v>0</v>
      </c>
      <c r="M18" s="43">
        <f t="shared" si="2"/>
        <v>0</v>
      </c>
    </row>
    <row r="19" spans="1:13" x14ac:dyDescent="0.3">
      <c r="D19" s="184"/>
    </row>
    <row r="20" spans="1:13" x14ac:dyDescent="0.3">
      <c r="E20" s="108"/>
    </row>
    <row r="21" spans="1:13" x14ac:dyDescent="0.3">
      <c r="A21" s="80" t="s">
        <v>0</v>
      </c>
      <c r="B21" s="80" t="s">
        <v>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x14ac:dyDescent="0.3">
      <c r="A22" s="81"/>
      <c r="B22" s="82">
        <v>45658</v>
      </c>
      <c r="C22" s="82">
        <v>45689</v>
      </c>
      <c r="D22" s="82">
        <v>45717</v>
      </c>
      <c r="E22" s="82">
        <v>45748</v>
      </c>
      <c r="F22" s="82">
        <v>45778</v>
      </c>
      <c r="G22" s="82">
        <v>45809</v>
      </c>
      <c r="H22" s="82">
        <v>45839</v>
      </c>
      <c r="I22" s="82">
        <v>45870</v>
      </c>
      <c r="J22" s="82">
        <v>45901</v>
      </c>
      <c r="K22" s="82">
        <v>45931</v>
      </c>
      <c r="L22" s="82">
        <v>45962</v>
      </c>
      <c r="M22" s="82">
        <v>45992</v>
      </c>
    </row>
    <row r="23" spans="1:13" x14ac:dyDescent="0.3">
      <c r="A23" s="78" t="s">
        <v>110</v>
      </c>
      <c r="B23" s="42">
        <v>2000</v>
      </c>
      <c r="C23" s="42">
        <f t="shared" ref="C23:M23" si="3">B34</f>
        <v>0</v>
      </c>
      <c r="D23" s="42">
        <f t="shared" si="3"/>
        <v>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3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4</v>
      </c>
      <c r="B26" s="42">
        <v>22300</v>
      </c>
      <c r="C26" s="42">
        <v>22300</v>
      </c>
      <c r="D26" s="42">
        <v>22300</v>
      </c>
      <c r="E26" s="42">
        <v>22300</v>
      </c>
      <c r="F26" s="42">
        <v>22300</v>
      </c>
      <c r="G26" s="42">
        <v>22300</v>
      </c>
      <c r="H26" s="42">
        <v>28000</v>
      </c>
      <c r="I26" s="42">
        <v>28000</v>
      </c>
      <c r="J26" s="42">
        <v>28000</v>
      </c>
      <c r="K26" s="42">
        <v>28000</v>
      </c>
      <c r="L26" s="42">
        <v>28000</v>
      </c>
      <c r="M26" s="42">
        <v>28000</v>
      </c>
    </row>
    <row r="27" spans="1:13" x14ac:dyDescent="0.3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5</v>
      </c>
      <c r="B31" s="42">
        <v>20000</v>
      </c>
      <c r="C31" s="42">
        <v>20000</v>
      </c>
      <c r="D31" s="42">
        <v>20000</v>
      </c>
      <c r="E31" s="42">
        <v>20000</v>
      </c>
      <c r="F31" s="42">
        <v>20000</v>
      </c>
      <c r="G31" s="42">
        <v>20000</v>
      </c>
      <c r="H31" s="42">
        <v>20000</v>
      </c>
      <c r="I31" s="42">
        <v>20000</v>
      </c>
      <c r="J31" s="42">
        <v>20000</v>
      </c>
      <c r="K31" s="42">
        <v>20000</v>
      </c>
      <c r="L31" s="42">
        <v>20000</v>
      </c>
      <c r="M31" s="42">
        <v>20000</v>
      </c>
    </row>
    <row r="32" spans="1:13" x14ac:dyDescent="0.3">
      <c r="A32" s="78" t="s">
        <v>6</v>
      </c>
      <c r="B32" s="43">
        <f t="shared" ref="B32:M32" si="4">SUM(B23:B31)</f>
        <v>44300</v>
      </c>
      <c r="C32" s="43">
        <f t="shared" si="4"/>
        <v>42300</v>
      </c>
      <c r="D32" s="43">
        <f t="shared" si="4"/>
        <v>42300</v>
      </c>
      <c r="E32" s="43">
        <f t="shared" si="4"/>
        <v>42300</v>
      </c>
      <c r="F32" s="43">
        <f t="shared" si="4"/>
        <v>42300</v>
      </c>
      <c r="G32" s="43">
        <f t="shared" si="4"/>
        <v>42300</v>
      </c>
      <c r="H32" s="43">
        <f t="shared" si="4"/>
        <v>48000</v>
      </c>
      <c r="I32" s="43">
        <f t="shared" si="4"/>
        <v>48000</v>
      </c>
      <c r="J32" s="43">
        <f t="shared" si="4"/>
        <v>48000</v>
      </c>
      <c r="K32" s="43">
        <f t="shared" si="4"/>
        <v>48000</v>
      </c>
      <c r="L32" s="43">
        <f t="shared" si="4"/>
        <v>48000</v>
      </c>
      <c r="M32" s="43">
        <f t="shared" si="4"/>
        <v>48000</v>
      </c>
    </row>
    <row r="33" spans="1:13" ht="21" thickBot="1" x14ac:dyDescent="0.35">
      <c r="A33" s="78" t="s">
        <v>7</v>
      </c>
      <c r="B33" s="44">
        <v>44300</v>
      </c>
      <c r="C33" s="44">
        <v>42300</v>
      </c>
      <c r="D33" s="44">
        <v>42300</v>
      </c>
      <c r="E33" s="44">
        <v>42300</v>
      </c>
      <c r="F33" s="44">
        <v>42300</v>
      </c>
      <c r="G33" s="44">
        <v>42300</v>
      </c>
      <c r="H33" s="44">
        <v>48000</v>
      </c>
      <c r="I33" s="44">
        <v>48000</v>
      </c>
      <c r="J33" s="44">
        <v>48000</v>
      </c>
      <c r="K33" s="44">
        <v>48000</v>
      </c>
      <c r="L33" s="44">
        <v>48000</v>
      </c>
      <c r="M33" s="44">
        <v>48000</v>
      </c>
    </row>
    <row r="34" spans="1:13" ht="21" thickBot="1" x14ac:dyDescent="0.35">
      <c r="A34" s="78" t="s">
        <v>111</v>
      </c>
      <c r="B34" s="45">
        <f t="shared" ref="B34:M34" si="5">B32-B33</f>
        <v>0</v>
      </c>
      <c r="C34" s="46">
        <f t="shared" si="5"/>
        <v>0</v>
      </c>
      <c r="D34" s="46">
        <f>D32-D33</f>
        <v>0</v>
      </c>
      <c r="E34" s="46">
        <f t="shared" si="5"/>
        <v>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7">
        <f t="shared" si="5"/>
        <v>0</v>
      </c>
    </row>
  </sheetData>
  <mergeCells count="1">
    <mergeCell ref="B3:G3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4"/>
  <dimension ref="A3:M15"/>
  <sheetViews>
    <sheetView workbookViewId="0">
      <selection activeCell="F15" sqref="F15"/>
    </sheetView>
  </sheetViews>
  <sheetFormatPr baseColWidth="10" defaultRowHeight="12.75" x14ac:dyDescent="0.2"/>
  <cols>
    <col min="1" max="1" width="30" customWidth="1"/>
  </cols>
  <sheetData>
    <row r="3" spans="1:13" x14ac:dyDescent="0.2">
      <c r="A3" s="81"/>
      <c r="B3" s="82">
        <v>46023</v>
      </c>
      <c r="C3" s="82">
        <v>46054</v>
      </c>
      <c r="D3" s="82">
        <v>46082</v>
      </c>
      <c r="E3" s="82">
        <v>46113</v>
      </c>
      <c r="F3" s="82">
        <v>46143</v>
      </c>
      <c r="G3" s="82">
        <v>46174</v>
      </c>
      <c r="H3" s="82">
        <v>46204</v>
      </c>
      <c r="I3" s="82">
        <v>46235</v>
      </c>
      <c r="J3" s="82">
        <v>46266</v>
      </c>
      <c r="K3" s="82">
        <v>46296</v>
      </c>
      <c r="L3" s="82">
        <v>46327</v>
      </c>
      <c r="M3" s="82">
        <v>46357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 t="shared" si="0"/>
        <v>0</v>
      </c>
      <c r="M4" s="42">
        <f t="shared" si="0"/>
        <v>0</v>
      </c>
    </row>
    <row r="5" spans="1:13" x14ac:dyDescent="0.2">
      <c r="A5" s="7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>
        <v>29000</v>
      </c>
      <c r="C7" s="42">
        <v>30000</v>
      </c>
      <c r="D7" s="42">
        <v>30000</v>
      </c>
      <c r="E7" s="42">
        <v>30000</v>
      </c>
      <c r="F7" s="42">
        <v>30000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>
        <v>36000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30000</v>
      </c>
      <c r="C12" s="42">
        <v>30000</v>
      </c>
      <c r="D12" s="42">
        <v>30000</v>
      </c>
      <c r="E12" s="42">
        <v>30000</v>
      </c>
      <c r="F12" s="42">
        <v>30000</v>
      </c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6</v>
      </c>
      <c r="B13" s="43">
        <f t="shared" ref="B13:M13" si="1">SUM(B4:B12)</f>
        <v>95000</v>
      </c>
      <c r="C13" s="43">
        <f t="shared" si="1"/>
        <v>60000</v>
      </c>
      <c r="D13" s="43">
        <f t="shared" si="1"/>
        <v>60000</v>
      </c>
      <c r="E13" s="43">
        <f t="shared" si="1"/>
        <v>60000</v>
      </c>
      <c r="F13" s="43">
        <f t="shared" si="1"/>
        <v>60000</v>
      </c>
      <c r="G13" s="43">
        <f t="shared" si="1"/>
        <v>0</v>
      </c>
      <c r="H13" s="43">
        <f t="shared" si="1"/>
        <v>0</v>
      </c>
      <c r="I13" s="43">
        <f t="shared" si="1"/>
        <v>0</v>
      </c>
      <c r="J13" s="43">
        <f t="shared" si="1"/>
        <v>0</v>
      </c>
      <c r="K13" s="43">
        <f t="shared" si="1"/>
        <v>0</v>
      </c>
      <c r="L13" s="43">
        <f t="shared" si="1"/>
        <v>0</v>
      </c>
      <c r="M13" s="43">
        <f t="shared" si="1"/>
        <v>0</v>
      </c>
    </row>
    <row r="14" spans="1:13" ht="13.5" thickBot="1" x14ac:dyDescent="0.25">
      <c r="A14" s="78" t="s">
        <v>7</v>
      </c>
      <c r="B14" s="44">
        <v>95000</v>
      </c>
      <c r="C14" s="44">
        <v>60000</v>
      </c>
      <c r="D14" s="44">
        <v>60000</v>
      </c>
      <c r="E14" s="44">
        <v>60000</v>
      </c>
      <c r="F14" s="44">
        <v>60000</v>
      </c>
      <c r="G14" s="44"/>
      <c r="H14" s="44"/>
      <c r="I14" s="44"/>
      <c r="J14" s="44"/>
      <c r="K14" s="44"/>
      <c r="L14" s="44"/>
      <c r="M14" s="44"/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0</v>
      </c>
      <c r="D15" s="46">
        <f>D13-D14</f>
        <v>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0</v>
      </c>
      <c r="L15" s="46">
        <f t="shared" si="2"/>
        <v>0</v>
      </c>
      <c r="M15" s="47">
        <f t="shared" si="2"/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7"/>
  <dimension ref="A1:M52"/>
  <sheetViews>
    <sheetView topLeftCell="A4" workbookViewId="0">
      <selection activeCell="F15" sqref="F15"/>
    </sheetView>
  </sheetViews>
  <sheetFormatPr baseColWidth="10" defaultRowHeight="20.25" x14ac:dyDescent="0.3"/>
  <cols>
    <col min="1" max="1" width="37" style="2" customWidth="1"/>
    <col min="2" max="2" width="11.28515625" style="2" bestFit="1" customWidth="1"/>
    <col min="3" max="3" width="12.85546875" style="2" bestFit="1" customWidth="1"/>
    <col min="4" max="4" width="11" style="2" bestFit="1" customWidth="1"/>
    <col min="5" max="5" width="11.5703125" style="2" customWidth="1"/>
    <col min="6" max="6" width="11.42578125" style="2"/>
    <col min="7" max="7" width="11.140625" style="2" bestFit="1" customWidth="1"/>
    <col min="8" max="8" width="11.5703125" style="2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25</v>
      </c>
      <c r="C2" s="216"/>
      <c r="D2" s="216"/>
      <c r="E2" s="216"/>
      <c r="F2" s="216"/>
      <c r="G2" s="216"/>
    </row>
    <row r="4" spans="1:13" x14ac:dyDescent="0.3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3">
      <c r="A5" s="7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3" x14ac:dyDescent="0.3">
      <c r="A6" s="78" t="s">
        <v>110</v>
      </c>
      <c r="B6" s="42">
        <v>150080</v>
      </c>
      <c r="C6" s="42">
        <f>B17</f>
        <v>204080</v>
      </c>
      <c r="D6" s="42">
        <f>C17</f>
        <v>100080</v>
      </c>
      <c r="E6" s="42">
        <f t="shared" ref="E6:M6" si="0">D17</f>
        <v>154080</v>
      </c>
      <c r="F6" s="42">
        <f t="shared" si="0"/>
        <v>208080</v>
      </c>
      <c r="G6" s="42">
        <f t="shared" si="0"/>
        <v>263080</v>
      </c>
      <c r="H6" s="42">
        <f t="shared" si="0"/>
        <v>263080</v>
      </c>
      <c r="I6" s="42">
        <f t="shared" si="0"/>
        <v>263080</v>
      </c>
      <c r="J6" s="42">
        <f t="shared" si="0"/>
        <v>263080</v>
      </c>
      <c r="K6" s="42">
        <f t="shared" si="0"/>
        <v>263080</v>
      </c>
      <c r="L6" s="42">
        <f>K17</f>
        <v>263080</v>
      </c>
      <c r="M6" s="42">
        <f t="shared" si="0"/>
        <v>263080</v>
      </c>
    </row>
    <row r="7" spans="1:13" x14ac:dyDescent="0.3">
      <c r="A7" s="78" t="s">
        <v>121</v>
      </c>
      <c r="B7" s="42">
        <v>16000</v>
      </c>
      <c r="C7" s="42">
        <v>16000</v>
      </c>
      <c r="D7" s="42">
        <v>16000</v>
      </c>
      <c r="E7" s="42">
        <v>16000</v>
      </c>
      <c r="F7" s="42">
        <v>16000</v>
      </c>
      <c r="G7" s="42"/>
      <c r="H7" s="42"/>
      <c r="I7" s="42"/>
      <c r="J7" s="42"/>
      <c r="K7" s="42"/>
      <c r="L7" s="42"/>
      <c r="M7" s="42"/>
    </row>
    <row r="8" spans="1:13" x14ac:dyDescent="0.3">
      <c r="A8" s="78" t="s">
        <v>3</v>
      </c>
      <c r="B8" s="42">
        <v>8000</v>
      </c>
      <c r="C8" s="42">
        <v>8000</v>
      </c>
      <c r="D8" s="42">
        <v>8000</v>
      </c>
      <c r="E8" s="42">
        <v>8000</v>
      </c>
      <c r="F8" s="42">
        <v>9000</v>
      </c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5</v>
      </c>
      <c r="B14" s="42">
        <v>30000</v>
      </c>
      <c r="C14" s="42">
        <v>30000</v>
      </c>
      <c r="D14" s="42">
        <v>30000</v>
      </c>
      <c r="E14" s="42">
        <v>30000</v>
      </c>
      <c r="F14" s="42">
        <v>30000</v>
      </c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6</v>
      </c>
      <c r="B15" s="43">
        <f>SUM(B6:B14)</f>
        <v>204080</v>
      </c>
      <c r="C15" s="43">
        <f t="shared" ref="C15:M15" si="1">SUM(C6:C14)</f>
        <v>258080</v>
      </c>
      <c r="D15" s="43">
        <f t="shared" si="1"/>
        <v>154080</v>
      </c>
      <c r="E15" s="43">
        <f t="shared" si="1"/>
        <v>208080</v>
      </c>
      <c r="F15" s="43">
        <f t="shared" si="1"/>
        <v>263080</v>
      </c>
      <c r="G15" s="43">
        <f t="shared" si="1"/>
        <v>263080</v>
      </c>
      <c r="H15" s="43">
        <f t="shared" si="1"/>
        <v>263080</v>
      </c>
      <c r="I15" s="43">
        <f t="shared" si="1"/>
        <v>263080</v>
      </c>
      <c r="J15" s="43">
        <f t="shared" si="1"/>
        <v>263080</v>
      </c>
      <c r="K15" s="43">
        <f t="shared" si="1"/>
        <v>263080</v>
      </c>
      <c r="L15" s="43">
        <f t="shared" si="1"/>
        <v>263080</v>
      </c>
      <c r="M15" s="43">
        <f t="shared" si="1"/>
        <v>263080</v>
      </c>
    </row>
    <row r="16" spans="1:13" x14ac:dyDescent="0.3">
      <c r="A16" s="78" t="s">
        <v>7</v>
      </c>
      <c r="B16" s="44"/>
      <c r="C16" s="44">
        <v>158000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x14ac:dyDescent="0.3">
      <c r="A17" s="78" t="s">
        <v>111</v>
      </c>
      <c r="B17" s="43">
        <f>B15-B16</f>
        <v>204080</v>
      </c>
      <c r="C17" s="43">
        <f>C15-C16</f>
        <v>100080</v>
      </c>
      <c r="D17" s="43">
        <f t="shared" ref="D17:M17" si="2">D15-D16</f>
        <v>154080</v>
      </c>
      <c r="E17" s="43">
        <f t="shared" si="2"/>
        <v>208080</v>
      </c>
      <c r="F17" s="43">
        <f t="shared" si="2"/>
        <v>263080</v>
      </c>
      <c r="G17" s="43">
        <f t="shared" si="2"/>
        <v>263080</v>
      </c>
      <c r="H17" s="43">
        <f t="shared" si="2"/>
        <v>263080</v>
      </c>
      <c r="I17" s="43">
        <f t="shared" si="2"/>
        <v>263080</v>
      </c>
      <c r="J17" s="43">
        <f t="shared" si="2"/>
        <v>263080</v>
      </c>
      <c r="K17" s="43">
        <f t="shared" si="2"/>
        <v>263080</v>
      </c>
      <c r="L17" s="43">
        <f t="shared" si="2"/>
        <v>263080</v>
      </c>
      <c r="M17" s="43">
        <f t="shared" si="2"/>
        <v>263080</v>
      </c>
    </row>
    <row r="18" spans="1:13" x14ac:dyDescent="0.3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3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3" x14ac:dyDescent="0.3">
      <c r="A20" s="81"/>
      <c r="B20" s="82">
        <v>45658</v>
      </c>
      <c r="C20" s="82">
        <v>45689</v>
      </c>
      <c r="D20" s="82">
        <v>45717</v>
      </c>
      <c r="E20" s="82">
        <v>45748</v>
      </c>
      <c r="F20" s="82">
        <v>45778</v>
      </c>
      <c r="G20" s="82">
        <v>45809</v>
      </c>
      <c r="H20" s="82">
        <v>45839</v>
      </c>
      <c r="I20" s="82">
        <v>45870</v>
      </c>
      <c r="J20" s="82">
        <v>45901</v>
      </c>
      <c r="K20" s="82">
        <v>45931</v>
      </c>
      <c r="L20" s="82">
        <v>45962</v>
      </c>
      <c r="M20" s="82">
        <v>45992</v>
      </c>
    </row>
    <row r="21" spans="1:13" x14ac:dyDescent="0.3">
      <c r="A21" s="78" t="s">
        <v>110</v>
      </c>
      <c r="B21" s="42">
        <v>75480</v>
      </c>
      <c r="C21" s="42">
        <f t="shared" ref="C21:M21" si="3">B32</f>
        <v>0</v>
      </c>
      <c r="D21" s="42">
        <f t="shared" si="3"/>
        <v>45380</v>
      </c>
      <c r="E21" s="42">
        <f t="shared" si="3"/>
        <v>90760</v>
      </c>
      <c r="F21" s="42">
        <f t="shared" si="3"/>
        <v>136140</v>
      </c>
      <c r="G21" s="42">
        <f t="shared" si="3"/>
        <v>0</v>
      </c>
      <c r="H21" s="42">
        <f t="shared" si="3"/>
        <v>47820</v>
      </c>
      <c r="I21" s="42">
        <f t="shared" si="3"/>
        <v>95640</v>
      </c>
      <c r="J21" s="42">
        <f t="shared" si="3"/>
        <v>145280</v>
      </c>
      <c r="K21" s="42">
        <f t="shared" si="3"/>
        <v>-5020</v>
      </c>
      <c r="L21" s="42">
        <f t="shared" si="3"/>
        <v>46680</v>
      </c>
      <c r="M21" s="42">
        <f t="shared" si="3"/>
        <v>98380</v>
      </c>
    </row>
    <row r="22" spans="1:13" x14ac:dyDescent="0.3">
      <c r="A22" s="78" t="s">
        <v>2</v>
      </c>
      <c r="B22" s="42">
        <v>5700</v>
      </c>
      <c r="C22" s="42">
        <v>11880</v>
      </c>
      <c r="D22" s="42">
        <v>11880</v>
      </c>
      <c r="E22" s="42">
        <v>11880</v>
      </c>
      <c r="F22" s="42">
        <v>11880</v>
      </c>
      <c r="G22" s="42">
        <v>11880</v>
      </c>
      <c r="H22" s="42">
        <v>11880</v>
      </c>
      <c r="I22" s="42">
        <v>13700</v>
      </c>
      <c r="J22" s="42">
        <v>13700</v>
      </c>
      <c r="K22" s="42">
        <v>13700</v>
      </c>
      <c r="L22" s="42">
        <v>13700</v>
      </c>
      <c r="M22" s="42">
        <v>13700</v>
      </c>
    </row>
    <row r="23" spans="1:13" x14ac:dyDescent="0.3">
      <c r="A23" s="78" t="s">
        <v>3</v>
      </c>
      <c r="B23" s="42">
        <v>3170</v>
      </c>
      <c r="C23" s="42">
        <v>3500</v>
      </c>
      <c r="D23" s="42">
        <v>3500</v>
      </c>
      <c r="E23" s="42">
        <v>3500</v>
      </c>
      <c r="F23" s="42">
        <v>4500</v>
      </c>
      <c r="G23" s="42">
        <v>5940</v>
      </c>
      <c r="H23" s="42">
        <v>5940</v>
      </c>
      <c r="I23" s="42">
        <v>5940</v>
      </c>
      <c r="J23" s="42">
        <v>6000</v>
      </c>
      <c r="K23" s="42">
        <v>8000</v>
      </c>
      <c r="L23" s="42">
        <v>8000</v>
      </c>
      <c r="M23" s="42">
        <v>8000</v>
      </c>
    </row>
    <row r="24" spans="1:13" x14ac:dyDescent="0.3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5</v>
      </c>
      <c r="B29" s="42">
        <v>30000</v>
      </c>
      <c r="C29" s="42">
        <v>30000</v>
      </c>
      <c r="D29" s="42">
        <v>30000</v>
      </c>
      <c r="E29" s="42">
        <v>30000</v>
      </c>
      <c r="F29" s="42">
        <v>30000</v>
      </c>
      <c r="G29" s="42">
        <v>30000</v>
      </c>
      <c r="H29" s="42">
        <v>30000</v>
      </c>
      <c r="I29" s="42">
        <v>30000</v>
      </c>
      <c r="J29" s="42">
        <v>30000</v>
      </c>
      <c r="K29" s="42">
        <v>30000</v>
      </c>
      <c r="L29" s="42">
        <v>30000</v>
      </c>
      <c r="M29" s="42">
        <v>30000</v>
      </c>
    </row>
    <row r="30" spans="1:13" x14ac:dyDescent="0.3">
      <c r="A30" s="78" t="s">
        <v>6</v>
      </c>
      <c r="B30" s="43">
        <f t="shared" ref="B30:M30" si="4">SUM(B21:B29)</f>
        <v>114350</v>
      </c>
      <c r="C30" s="43">
        <f t="shared" si="4"/>
        <v>45380</v>
      </c>
      <c r="D30" s="43">
        <f t="shared" si="4"/>
        <v>90760</v>
      </c>
      <c r="E30" s="43">
        <f t="shared" si="4"/>
        <v>136140</v>
      </c>
      <c r="F30" s="43">
        <f t="shared" si="4"/>
        <v>182520</v>
      </c>
      <c r="G30" s="43">
        <f t="shared" si="4"/>
        <v>47820</v>
      </c>
      <c r="H30" s="43">
        <f t="shared" si="4"/>
        <v>95640</v>
      </c>
      <c r="I30" s="43">
        <f t="shared" si="4"/>
        <v>145280</v>
      </c>
      <c r="J30" s="43">
        <f t="shared" si="4"/>
        <v>194980</v>
      </c>
      <c r="K30" s="43">
        <f t="shared" si="4"/>
        <v>46680</v>
      </c>
      <c r="L30" s="43">
        <f t="shared" si="4"/>
        <v>98380</v>
      </c>
      <c r="M30" s="43">
        <f t="shared" si="4"/>
        <v>150080</v>
      </c>
    </row>
    <row r="31" spans="1:13" ht="21" thickBot="1" x14ac:dyDescent="0.35">
      <c r="A31" s="78" t="s">
        <v>7</v>
      </c>
      <c r="B31" s="44">
        <v>114350</v>
      </c>
      <c r="C31" s="44"/>
      <c r="D31" s="44"/>
      <c r="E31" s="44"/>
      <c r="F31" s="44">
        <v>182520</v>
      </c>
      <c r="G31" s="44"/>
      <c r="H31" s="44"/>
      <c r="I31" s="44"/>
      <c r="J31" s="44">
        <v>200000</v>
      </c>
      <c r="K31" s="44"/>
      <c r="L31" s="44"/>
      <c r="M31" s="44"/>
    </row>
    <row r="32" spans="1:13" ht="21" thickBot="1" x14ac:dyDescent="0.35">
      <c r="A32" s="78" t="s">
        <v>111</v>
      </c>
      <c r="B32" s="45">
        <f t="shared" ref="B32:M32" si="5">B30-B31</f>
        <v>0</v>
      </c>
      <c r="C32" s="46">
        <f t="shared" si="5"/>
        <v>45380</v>
      </c>
      <c r="D32" s="46">
        <f t="shared" si="5"/>
        <v>90760</v>
      </c>
      <c r="E32" s="46">
        <f t="shared" si="5"/>
        <v>136140</v>
      </c>
      <c r="F32" s="46">
        <f t="shared" si="5"/>
        <v>0</v>
      </c>
      <c r="G32" s="46">
        <f t="shared" si="5"/>
        <v>47820</v>
      </c>
      <c r="H32" s="46">
        <f t="shared" si="5"/>
        <v>95640</v>
      </c>
      <c r="I32" s="46">
        <f t="shared" si="5"/>
        <v>145280</v>
      </c>
      <c r="J32" s="46">
        <f t="shared" si="5"/>
        <v>-5020</v>
      </c>
      <c r="K32" s="46">
        <f t="shared" si="5"/>
        <v>46680</v>
      </c>
      <c r="L32" s="46">
        <f t="shared" si="5"/>
        <v>98380</v>
      </c>
      <c r="M32" s="47">
        <f t="shared" si="5"/>
        <v>150080</v>
      </c>
    </row>
    <row r="33" spans="1:13" x14ac:dyDescent="0.3">
      <c r="J33" s="60" t="s">
        <v>755</v>
      </c>
    </row>
    <row r="34" spans="1:13" x14ac:dyDescent="0.3">
      <c r="J34" s="60" t="s">
        <v>756</v>
      </c>
    </row>
    <row r="35" spans="1:13" x14ac:dyDescent="0.3">
      <c r="A35" s="32" t="s">
        <v>0</v>
      </c>
      <c r="B35" s="32" t="s">
        <v>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x14ac:dyDescent="0.3">
      <c r="A36" s="81"/>
      <c r="B36" s="82">
        <v>45292</v>
      </c>
      <c r="C36" s="82">
        <v>45323</v>
      </c>
      <c r="D36" s="82">
        <v>45352</v>
      </c>
      <c r="E36" s="82">
        <v>45383</v>
      </c>
      <c r="F36" s="82">
        <v>45413</v>
      </c>
      <c r="G36" s="82">
        <v>45444</v>
      </c>
      <c r="H36" s="82">
        <v>45474</v>
      </c>
      <c r="I36" s="82">
        <v>45505</v>
      </c>
      <c r="J36" s="82">
        <v>45536</v>
      </c>
      <c r="K36" s="82">
        <v>45566</v>
      </c>
      <c r="L36" s="82">
        <v>45597</v>
      </c>
      <c r="M36" s="82">
        <v>45627</v>
      </c>
    </row>
    <row r="37" spans="1:13" x14ac:dyDescent="0.3">
      <c r="A37" s="78" t="s">
        <v>110</v>
      </c>
      <c r="B37" s="42"/>
      <c r="C37" s="42">
        <f t="shared" ref="C37:M37" si="6">B48</f>
        <v>21430</v>
      </c>
      <c r="D37" s="42">
        <f t="shared" si="6"/>
        <v>0</v>
      </c>
      <c r="E37" s="42">
        <f t="shared" si="6"/>
        <v>22460</v>
      </c>
      <c r="F37" s="42">
        <f t="shared" si="6"/>
        <v>44630</v>
      </c>
      <c r="G37" s="42">
        <f t="shared" si="6"/>
        <v>0</v>
      </c>
      <c r="H37" s="42">
        <f t="shared" si="6"/>
        <v>22170</v>
      </c>
      <c r="I37" s="42">
        <f t="shared" si="6"/>
        <v>44340</v>
      </c>
      <c r="J37" s="42">
        <f t="shared" si="6"/>
        <v>0</v>
      </c>
      <c r="K37" s="42">
        <f t="shared" si="6"/>
        <v>28870</v>
      </c>
      <c r="L37" s="42">
        <f t="shared" si="6"/>
        <v>17740</v>
      </c>
      <c r="M37" s="42">
        <f t="shared" si="6"/>
        <v>46610</v>
      </c>
    </row>
    <row r="38" spans="1:13" x14ac:dyDescent="0.3">
      <c r="A38" s="78" t="s">
        <v>2</v>
      </c>
      <c r="B38" s="42">
        <v>3460</v>
      </c>
      <c r="C38" s="42">
        <v>3460</v>
      </c>
      <c r="D38" s="42">
        <v>3460</v>
      </c>
      <c r="E38" s="42">
        <v>3460</v>
      </c>
      <c r="F38" s="42">
        <v>3460</v>
      </c>
      <c r="G38" s="42">
        <v>3460</v>
      </c>
      <c r="H38" s="42">
        <v>3460</v>
      </c>
      <c r="I38" s="42">
        <v>5700</v>
      </c>
      <c r="J38" s="42">
        <v>5700</v>
      </c>
      <c r="K38" s="42">
        <v>5700</v>
      </c>
      <c r="L38" s="42">
        <v>5700</v>
      </c>
      <c r="M38" s="42">
        <v>5700</v>
      </c>
    </row>
    <row r="39" spans="1:13" x14ac:dyDescent="0.3">
      <c r="A39" s="78" t="s">
        <v>3</v>
      </c>
      <c r="B39" s="42">
        <v>2970</v>
      </c>
      <c r="C39" s="42">
        <v>2970</v>
      </c>
      <c r="D39" s="42">
        <v>4000</v>
      </c>
      <c r="E39" s="42">
        <v>3710</v>
      </c>
      <c r="F39" s="42">
        <v>3710</v>
      </c>
      <c r="G39" s="42">
        <v>3710</v>
      </c>
      <c r="H39" s="42">
        <v>3710</v>
      </c>
      <c r="I39" s="42">
        <v>3170</v>
      </c>
      <c r="J39" s="42">
        <v>3170</v>
      </c>
      <c r="K39" s="42">
        <v>3170</v>
      </c>
      <c r="L39" s="42">
        <v>3170</v>
      </c>
      <c r="M39" s="42">
        <v>3170</v>
      </c>
    </row>
    <row r="40" spans="1:13" x14ac:dyDescent="0.3">
      <c r="A40" s="78" t="s">
        <v>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3">
      <c r="A41" s="78" t="s">
        <v>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3">
      <c r="A42" s="78" t="s">
        <v>73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78" t="s">
        <v>74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3">
      <c r="A44" s="78" t="s">
        <v>75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78" t="s">
        <v>5</v>
      </c>
      <c r="B45" s="42">
        <v>15000</v>
      </c>
      <c r="C45" s="42">
        <v>15000</v>
      </c>
      <c r="D45" s="42">
        <v>15000</v>
      </c>
      <c r="E45" s="42">
        <v>15000</v>
      </c>
      <c r="F45" s="42">
        <v>15000</v>
      </c>
      <c r="G45" s="42">
        <v>15000</v>
      </c>
      <c r="H45" s="42">
        <v>15000</v>
      </c>
      <c r="I45" s="42">
        <v>20000</v>
      </c>
      <c r="J45" s="42">
        <v>20000</v>
      </c>
      <c r="K45" s="42">
        <v>20000</v>
      </c>
      <c r="L45" s="42">
        <v>20000</v>
      </c>
      <c r="M45" s="42">
        <v>20000</v>
      </c>
    </row>
    <row r="46" spans="1:13" x14ac:dyDescent="0.3">
      <c r="A46" s="78" t="s">
        <v>6</v>
      </c>
      <c r="B46" s="43">
        <f t="shared" ref="B46:M46" si="7">SUM(B37:B45)</f>
        <v>21430</v>
      </c>
      <c r="C46" s="43">
        <f t="shared" si="7"/>
        <v>42860</v>
      </c>
      <c r="D46" s="43">
        <f t="shared" si="7"/>
        <v>22460</v>
      </c>
      <c r="E46" s="43">
        <f t="shared" si="7"/>
        <v>44630</v>
      </c>
      <c r="F46" s="43">
        <f t="shared" si="7"/>
        <v>66800</v>
      </c>
      <c r="G46" s="43">
        <f t="shared" si="7"/>
        <v>22170</v>
      </c>
      <c r="H46" s="43">
        <f t="shared" si="7"/>
        <v>44340</v>
      </c>
      <c r="I46" s="43">
        <f t="shared" si="7"/>
        <v>73210</v>
      </c>
      <c r="J46" s="43">
        <f t="shared" si="7"/>
        <v>28870</v>
      </c>
      <c r="K46" s="43">
        <f t="shared" si="7"/>
        <v>57740</v>
      </c>
      <c r="L46" s="43">
        <f t="shared" si="7"/>
        <v>46610</v>
      </c>
      <c r="M46" s="43">
        <f t="shared" si="7"/>
        <v>75480</v>
      </c>
    </row>
    <row r="47" spans="1:13" ht="21" thickBot="1" x14ac:dyDescent="0.35">
      <c r="A47" s="78" t="s">
        <v>7</v>
      </c>
      <c r="B47" s="44"/>
      <c r="C47" s="44">
        <v>42860</v>
      </c>
      <c r="D47" s="44"/>
      <c r="E47" s="44"/>
      <c r="F47" s="44">
        <v>66800</v>
      </c>
      <c r="G47" s="44"/>
      <c r="H47" s="44"/>
      <c r="I47" s="44">
        <v>73210</v>
      </c>
      <c r="J47" s="44"/>
      <c r="K47" s="44">
        <v>40000</v>
      </c>
      <c r="L47" s="44"/>
      <c r="M47" s="44"/>
    </row>
    <row r="48" spans="1:13" ht="21" thickBot="1" x14ac:dyDescent="0.35">
      <c r="A48" s="78" t="s">
        <v>111</v>
      </c>
      <c r="B48" s="45">
        <f t="shared" ref="B48:M48" si="8">B46-B47</f>
        <v>21430</v>
      </c>
      <c r="C48" s="46">
        <f t="shared" si="8"/>
        <v>0</v>
      </c>
      <c r="D48" s="46">
        <f t="shared" si="8"/>
        <v>22460</v>
      </c>
      <c r="E48" s="46">
        <f t="shared" si="8"/>
        <v>44630</v>
      </c>
      <c r="F48" s="46">
        <f t="shared" si="8"/>
        <v>0</v>
      </c>
      <c r="G48" s="46">
        <f t="shared" si="8"/>
        <v>22170</v>
      </c>
      <c r="H48" s="46">
        <f t="shared" si="8"/>
        <v>44340</v>
      </c>
      <c r="I48" s="46">
        <f t="shared" si="8"/>
        <v>0</v>
      </c>
      <c r="J48" s="46">
        <f t="shared" si="8"/>
        <v>28870</v>
      </c>
      <c r="K48" s="46">
        <f t="shared" si="8"/>
        <v>17740</v>
      </c>
      <c r="L48" s="46">
        <f t="shared" si="8"/>
        <v>46610</v>
      </c>
      <c r="M48" s="47">
        <f t="shared" si="8"/>
        <v>75480</v>
      </c>
    </row>
    <row r="52" spans="2:3" x14ac:dyDescent="0.3">
      <c r="B52" s="2" t="s">
        <v>402</v>
      </c>
      <c r="C52" s="2">
        <v>4000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8"/>
  <dimension ref="A3:M29"/>
  <sheetViews>
    <sheetView topLeftCell="A13" workbookViewId="0">
      <selection activeCell="F26" sqref="F26"/>
    </sheetView>
  </sheetViews>
  <sheetFormatPr baseColWidth="10" defaultRowHeight="12.75" x14ac:dyDescent="0.2"/>
  <cols>
    <col min="1" max="1" width="32.5703125" customWidth="1"/>
    <col min="5" max="5" width="12.85546875" bestFit="1" customWidth="1"/>
  </cols>
  <sheetData>
    <row r="3" spans="1:13" ht="15.75" x14ac:dyDescent="0.25">
      <c r="A3" s="8"/>
      <c r="B3" s="15">
        <v>45658</v>
      </c>
      <c r="C3" s="15">
        <v>45689</v>
      </c>
      <c r="D3" s="15">
        <v>45717</v>
      </c>
      <c r="E3" s="15">
        <v>45748</v>
      </c>
      <c r="F3" s="15">
        <v>45778</v>
      </c>
      <c r="G3" s="15">
        <v>45809</v>
      </c>
      <c r="H3" s="15">
        <v>45839</v>
      </c>
      <c r="I3" s="15">
        <v>45870</v>
      </c>
      <c r="J3" s="15">
        <v>45901</v>
      </c>
      <c r="K3" s="15">
        <v>45931</v>
      </c>
      <c r="L3" s="15">
        <v>45962</v>
      </c>
      <c r="M3" s="15">
        <v>45992</v>
      </c>
    </row>
    <row r="4" spans="1:13" x14ac:dyDescent="0.2">
      <c r="A4" s="78" t="s">
        <v>110</v>
      </c>
      <c r="B4" s="42"/>
      <c r="C4" s="42">
        <f t="shared" ref="C4:M4" si="0">B15</f>
        <v>80000</v>
      </c>
      <c r="D4" s="42">
        <f t="shared" si="0"/>
        <v>0</v>
      </c>
      <c r="E4" s="42">
        <f t="shared" si="0"/>
        <v>80000</v>
      </c>
      <c r="F4" s="42">
        <f t="shared" si="0"/>
        <v>160000</v>
      </c>
      <c r="G4" s="42">
        <f t="shared" si="0"/>
        <v>0</v>
      </c>
      <c r="H4" s="42">
        <f t="shared" si="0"/>
        <v>90000</v>
      </c>
      <c r="I4" s="42">
        <f t="shared" si="0"/>
        <v>0</v>
      </c>
      <c r="J4" s="42">
        <f t="shared" si="0"/>
        <v>95000</v>
      </c>
      <c r="K4" s="42">
        <f t="shared" si="0"/>
        <v>0</v>
      </c>
      <c r="L4" s="42">
        <f t="shared" si="0"/>
        <v>100000</v>
      </c>
      <c r="M4" s="42">
        <f t="shared" si="0"/>
        <v>0</v>
      </c>
    </row>
    <row r="5" spans="1:13" x14ac:dyDescent="0.2">
      <c r="A5" s="78" t="s">
        <v>425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649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405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404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391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80000</v>
      </c>
      <c r="C12" s="42">
        <v>80000</v>
      </c>
      <c r="D12" s="42">
        <v>80000</v>
      </c>
      <c r="E12" s="42">
        <v>80000</v>
      </c>
      <c r="F12" s="42">
        <v>86350</v>
      </c>
      <c r="G12" s="42">
        <v>90000</v>
      </c>
      <c r="H12" s="42">
        <v>90000</v>
      </c>
      <c r="I12" s="42">
        <v>95000</v>
      </c>
      <c r="J12" s="42">
        <v>95000</v>
      </c>
      <c r="K12" s="42">
        <v>100000</v>
      </c>
      <c r="L12" s="42">
        <v>120000</v>
      </c>
      <c r="M12" s="42">
        <v>200000</v>
      </c>
    </row>
    <row r="13" spans="1:13" x14ac:dyDescent="0.2">
      <c r="A13" s="78" t="s">
        <v>6</v>
      </c>
      <c r="B13" s="43">
        <f>SUM(B4:B12)</f>
        <v>80000</v>
      </c>
      <c r="C13" s="43">
        <f t="shared" ref="C13:M13" si="1">SUM(C4:C12)</f>
        <v>160000</v>
      </c>
      <c r="D13" s="43">
        <f t="shared" si="1"/>
        <v>80000</v>
      </c>
      <c r="E13" s="43">
        <f t="shared" si="1"/>
        <v>160000</v>
      </c>
      <c r="F13" s="43">
        <f t="shared" si="1"/>
        <v>246350</v>
      </c>
      <c r="G13" s="43">
        <f t="shared" si="1"/>
        <v>90000</v>
      </c>
      <c r="H13" s="43">
        <f t="shared" si="1"/>
        <v>180000</v>
      </c>
      <c r="I13" s="43">
        <f t="shared" si="1"/>
        <v>95000</v>
      </c>
      <c r="J13" s="43">
        <f t="shared" si="1"/>
        <v>190000</v>
      </c>
      <c r="K13" s="43">
        <f t="shared" si="1"/>
        <v>100000</v>
      </c>
      <c r="L13" s="43">
        <f t="shared" si="1"/>
        <v>220000</v>
      </c>
      <c r="M13" s="43">
        <f t="shared" si="1"/>
        <v>200000</v>
      </c>
    </row>
    <row r="14" spans="1:13" x14ac:dyDescent="0.2">
      <c r="A14" s="78" t="s">
        <v>7</v>
      </c>
      <c r="B14" s="44"/>
      <c r="C14" s="44">
        <v>160000</v>
      </c>
      <c r="D14" s="44"/>
      <c r="E14" s="44"/>
      <c r="F14" s="44">
        <v>246350</v>
      </c>
      <c r="G14" s="44"/>
      <c r="H14" s="44">
        <v>180000</v>
      </c>
      <c r="I14" s="44"/>
      <c r="J14" s="44">
        <v>190000</v>
      </c>
      <c r="K14" s="44"/>
      <c r="L14" s="44">
        <v>220000</v>
      </c>
      <c r="M14" s="44"/>
    </row>
    <row r="15" spans="1:13" x14ac:dyDescent="0.2">
      <c r="A15" s="78" t="s">
        <v>111</v>
      </c>
      <c r="B15" s="43">
        <f>B13-B14</f>
        <v>80000</v>
      </c>
      <c r="C15" s="43">
        <f>C13-C14</f>
        <v>0</v>
      </c>
      <c r="D15" s="43">
        <f t="shared" ref="D15:M15" si="2">D13-D14</f>
        <v>80000</v>
      </c>
      <c r="E15" s="43">
        <f t="shared" si="2"/>
        <v>160000</v>
      </c>
      <c r="F15" s="43">
        <f t="shared" si="2"/>
        <v>0</v>
      </c>
      <c r="G15" s="43">
        <f t="shared" si="2"/>
        <v>90000</v>
      </c>
      <c r="H15" s="43">
        <f t="shared" si="2"/>
        <v>0</v>
      </c>
      <c r="I15" s="43">
        <f t="shared" si="2"/>
        <v>95000</v>
      </c>
      <c r="J15" s="43">
        <f t="shared" si="2"/>
        <v>0</v>
      </c>
      <c r="K15" s="43">
        <f t="shared" si="2"/>
        <v>100000</v>
      </c>
      <c r="L15" s="43">
        <f t="shared" si="2"/>
        <v>0</v>
      </c>
      <c r="M15" s="43">
        <f t="shared" si="2"/>
        <v>200000</v>
      </c>
    </row>
    <row r="17" spans="1:13" x14ac:dyDescent="0.2">
      <c r="A17" s="78"/>
      <c r="B17" s="79">
        <v>46023</v>
      </c>
      <c r="C17" s="79">
        <v>46054</v>
      </c>
      <c r="D17" s="79">
        <v>46082</v>
      </c>
      <c r="E17" s="79">
        <v>46113</v>
      </c>
      <c r="F17" s="79">
        <v>46143</v>
      </c>
      <c r="G17" s="79">
        <v>46174</v>
      </c>
      <c r="H17" s="79">
        <v>46204</v>
      </c>
      <c r="I17" s="79">
        <v>46235</v>
      </c>
      <c r="J17" s="79">
        <v>46266</v>
      </c>
      <c r="K17" s="79">
        <v>46296</v>
      </c>
      <c r="L17" s="79">
        <v>46327</v>
      </c>
      <c r="M17" s="79">
        <v>46357</v>
      </c>
    </row>
    <row r="18" spans="1:13" x14ac:dyDescent="0.2">
      <c r="A18" s="78" t="s">
        <v>110</v>
      </c>
      <c r="B18" s="42">
        <v>200000</v>
      </c>
      <c r="C18" s="42">
        <f t="shared" ref="C18:M18" si="3">B29</f>
        <v>0</v>
      </c>
      <c r="D18" s="42">
        <f t="shared" si="3"/>
        <v>180000</v>
      </c>
      <c r="E18" s="42">
        <f t="shared" si="3"/>
        <v>0</v>
      </c>
      <c r="F18" s="42">
        <f t="shared" si="3"/>
        <v>230000</v>
      </c>
      <c r="G18" s="42">
        <f t="shared" si="3"/>
        <v>460000</v>
      </c>
      <c r="H18" s="42">
        <f t="shared" si="3"/>
        <v>460000</v>
      </c>
      <c r="I18" s="42">
        <f t="shared" si="3"/>
        <v>460000</v>
      </c>
      <c r="J18" s="42">
        <f t="shared" si="3"/>
        <v>460000</v>
      </c>
      <c r="K18" s="42">
        <f t="shared" si="3"/>
        <v>460000</v>
      </c>
      <c r="L18" s="42">
        <f t="shared" si="3"/>
        <v>460000</v>
      </c>
      <c r="M18" s="42">
        <f t="shared" si="3"/>
        <v>460000</v>
      </c>
    </row>
    <row r="19" spans="1:13" x14ac:dyDescent="0.2">
      <c r="A19" s="78" t="s">
        <v>425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2">
      <c r="A20" s="78" t="s">
        <v>3</v>
      </c>
      <c r="B20" s="42">
        <v>25960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4</v>
      </c>
      <c r="B21" s="42"/>
      <c r="C21" s="42"/>
      <c r="D21" s="42"/>
      <c r="E21" s="42">
        <v>30000</v>
      </c>
      <c r="F21" s="42">
        <v>30000</v>
      </c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240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405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672</v>
      </c>
      <c r="B24" s="42"/>
      <c r="C24" s="42"/>
      <c r="D24" s="42">
        <v>50000</v>
      </c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793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5</v>
      </c>
      <c r="B26" s="42">
        <v>180000</v>
      </c>
      <c r="C26" s="42">
        <v>180000</v>
      </c>
      <c r="D26" s="42">
        <v>200000</v>
      </c>
      <c r="E26" s="42">
        <v>200000</v>
      </c>
      <c r="F26" s="42">
        <v>200000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6</v>
      </c>
      <c r="B27" s="43">
        <f>SUM(B18:B26)</f>
        <v>405960</v>
      </c>
      <c r="C27" s="43">
        <f t="shared" ref="C27:M27" si="4">SUM(C18:C26)</f>
        <v>180000</v>
      </c>
      <c r="D27" s="43">
        <f t="shared" si="4"/>
        <v>430000</v>
      </c>
      <c r="E27" s="43">
        <f t="shared" si="4"/>
        <v>230000</v>
      </c>
      <c r="F27" s="43">
        <f t="shared" si="4"/>
        <v>460000</v>
      </c>
      <c r="G27" s="43">
        <f t="shared" si="4"/>
        <v>460000</v>
      </c>
      <c r="H27" s="43">
        <f t="shared" si="4"/>
        <v>460000</v>
      </c>
      <c r="I27" s="43">
        <f t="shared" si="4"/>
        <v>460000</v>
      </c>
      <c r="J27" s="43">
        <f t="shared" si="4"/>
        <v>460000</v>
      </c>
      <c r="K27" s="43">
        <f t="shared" si="4"/>
        <v>460000</v>
      </c>
      <c r="L27" s="43">
        <f t="shared" si="4"/>
        <v>460000</v>
      </c>
      <c r="M27" s="43">
        <f t="shared" si="4"/>
        <v>460000</v>
      </c>
    </row>
    <row r="28" spans="1:13" x14ac:dyDescent="0.2">
      <c r="A28" s="78" t="s">
        <v>7</v>
      </c>
      <c r="B28" s="44">
        <v>405960</v>
      </c>
      <c r="C28" s="44"/>
      <c r="D28" s="44">
        <v>430000</v>
      </c>
      <c r="E28" s="44"/>
      <c r="F28" s="44"/>
      <c r="G28" s="44"/>
      <c r="H28" s="44"/>
      <c r="I28" s="44"/>
      <c r="J28" s="44"/>
      <c r="K28" s="44"/>
      <c r="L28" s="44"/>
      <c r="M28" s="44"/>
    </row>
    <row r="29" spans="1:13" x14ac:dyDescent="0.2">
      <c r="A29" s="78" t="s">
        <v>111</v>
      </c>
      <c r="B29" s="43">
        <f>B27-B28</f>
        <v>0</v>
      </c>
      <c r="C29" s="43">
        <f>C27-C28</f>
        <v>180000</v>
      </c>
      <c r="D29" s="43">
        <f t="shared" ref="D29:M29" si="5">D27-D28</f>
        <v>0</v>
      </c>
      <c r="E29" s="43">
        <f t="shared" si="5"/>
        <v>230000</v>
      </c>
      <c r="F29" s="43">
        <f t="shared" si="5"/>
        <v>460000</v>
      </c>
      <c r="G29" s="43">
        <f t="shared" si="5"/>
        <v>460000</v>
      </c>
      <c r="H29" s="43">
        <f t="shared" si="5"/>
        <v>460000</v>
      </c>
      <c r="I29" s="43">
        <f t="shared" si="5"/>
        <v>460000</v>
      </c>
      <c r="J29" s="43">
        <f t="shared" si="5"/>
        <v>460000</v>
      </c>
      <c r="K29" s="43">
        <f t="shared" si="5"/>
        <v>460000</v>
      </c>
      <c r="L29" s="43">
        <f t="shared" si="5"/>
        <v>460000</v>
      </c>
      <c r="M29" s="43">
        <f t="shared" si="5"/>
        <v>460000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9"/>
  <dimension ref="A4:M48"/>
  <sheetViews>
    <sheetView workbookViewId="0">
      <selection activeCell="F19" sqref="F19"/>
    </sheetView>
  </sheetViews>
  <sheetFormatPr baseColWidth="10" defaultRowHeight="12.75" x14ac:dyDescent="0.2"/>
  <cols>
    <col min="1" max="1" width="31.7109375" customWidth="1"/>
    <col min="2" max="2" width="13" bestFit="1" customWidth="1"/>
    <col min="3" max="3" width="12.7109375" customWidth="1"/>
    <col min="4" max="4" width="13" bestFit="1" customWidth="1"/>
    <col min="5" max="5" width="14" bestFit="1" customWidth="1"/>
    <col min="6" max="6" width="12.28515625" customWidth="1"/>
    <col min="7" max="7" width="12.7109375" customWidth="1"/>
    <col min="8" max="9" width="12.85546875" bestFit="1" customWidth="1"/>
    <col min="10" max="10" width="13" customWidth="1"/>
    <col min="11" max="13" width="12.85546875" bestFit="1" customWidth="1"/>
  </cols>
  <sheetData>
    <row r="4" spans="1:13" ht="20.25" x14ac:dyDescent="0.3">
      <c r="A4" s="11" t="s">
        <v>11</v>
      </c>
      <c r="B4" s="216" t="s">
        <v>36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67" t="s">
        <v>0</v>
      </c>
      <c r="B6" s="67" t="s">
        <v>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spans="1:13" x14ac:dyDescent="0.2">
      <c r="A7" s="65"/>
      <c r="B7" s="68">
        <v>46023</v>
      </c>
      <c r="C7" s="68">
        <v>46054</v>
      </c>
      <c r="D7" s="68">
        <v>46082</v>
      </c>
      <c r="E7" s="68">
        <v>46113</v>
      </c>
      <c r="F7" s="68">
        <v>46143</v>
      </c>
      <c r="G7" s="68">
        <v>46174</v>
      </c>
      <c r="H7" s="68">
        <v>46204</v>
      </c>
      <c r="I7" s="68">
        <v>46235</v>
      </c>
      <c r="J7" s="68">
        <v>46266</v>
      </c>
      <c r="K7" s="68">
        <v>46296</v>
      </c>
      <c r="L7" s="68">
        <v>46327</v>
      </c>
      <c r="M7" s="68">
        <v>46357</v>
      </c>
    </row>
    <row r="8" spans="1:13" x14ac:dyDescent="0.2">
      <c r="A8" s="65" t="s">
        <v>110</v>
      </c>
      <c r="B8" s="69"/>
      <c r="C8" s="69">
        <f>B19</f>
        <v>744939</v>
      </c>
      <c r="D8" s="69">
        <f t="shared" ref="D8:M8" si="0">C19</f>
        <v>0</v>
      </c>
      <c r="E8" s="69">
        <f t="shared" si="0"/>
        <v>0</v>
      </c>
      <c r="F8" s="69">
        <f t="shared" si="0"/>
        <v>0</v>
      </c>
      <c r="G8" s="69">
        <f t="shared" si="0"/>
        <v>0</v>
      </c>
      <c r="H8" s="69">
        <f t="shared" si="0"/>
        <v>0</v>
      </c>
      <c r="I8" s="69">
        <f t="shared" si="0"/>
        <v>0</v>
      </c>
      <c r="J8" s="69">
        <f t="shared" si="0"/>
        <v>0</v>
      </c>
      <c r="K8" s="69">
        <f>J19</f>
        <v>0</v>
      </c>
      <c r="L8" s="69">
        <f t="shared" si="0"/>
        <v>0</v>
      </c>
      <c r="M8" s="69">
        <f t="shared" si="0"/>
        <v>0</v>
      </c>
    </row>
    <row r="9" spans="1:13" x14ac:dyDescent="0.2">
      <c r="A9" s="65" t="s">
        <v>586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3</v>
      </c>
      <c r="B10" s="69">
        <v>370000</v>
      </c>
      <c r="C10" s="69">
        <v>355000</v>
      </c>
      <c r="D10" s="69">
        <v>330000</v>
      </c>
      <c r="E10" s="69">
        <v>190700</v>
      </c>
      <c r="F10" s="69">
        <v>89675</v>
      </c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4</v>
      </c>
      <c r="B11" s="69">
        <f>57215+92724</f>
        <v>149939</v>
      </c>
      <c r="C11" s="69">
        <v>134200</v>
      </c>
      <c r="D11" s="69">
        <v>154580</v>
      </c>
      <c r="E11" s="69">
        <f>120000+57000</f>
        <v>177000</v>
      </c>
      <c r="F11" s="69">
        <f>57000+81000</f>
        <v>138000</v>
      </c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582</v>
      </c>
      <c r="B12" s="69">
        <v>25000</v>
      </c>
      <c r="C12" s="69">
        <v>25000</v>
      </c>
      <c r="D12" s="69">
        <v>25000</v>
      </c>
      <c r="E12" s="69">
        <v>25000</v>
      </c>
      <c r="F12" s="69">
        <v>25000</v>
      </c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405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5</v>
      </c>
      <c r="B16" s="69">
        <v>200000</v>
      </c>
      <c r="C16" s="69">
        <v>200000</v>
      </c>
      <c r="D16" s="69">
        <v>200000</v>
      </c>
      <c r="E16" s="69">
        <v>250000</v>
      </c>
      <c r="F16" s="69">
        <v>250000</v>
      </c>
      <c r="G16" s="69"/>
      <c r="H16" s="69"/>
      <c r="I16" s="69"/>
      <c r="J16" s="69"/>
      <c r="K16" s="69"/>
      <c r="L16" s="69"/>
      <c r="M16" s="69"/>
    </row>
    <row r="17" spans="1:13" x14ac:dyDescent="0.2">
      <c r="A17" s="65" t="s">
        <v>6</v>
      </c>
      <c r="B17" s="70">
        <f>SUM(B8:B16)</f>
        <v>744939</v>
      </c>
      <c r="C17" s="70">
        <f t="shared" ref="C17:M17" si="1">SUM(C8:C16)</f>
        <v>1459139</v>
      </c>
      <c r="D17" s="70">
        <f t="shared" si="1"/>
        <v>709580</v>
      </c>
      <c r="E17" s="70">
        <f t="shared" si="1"/>
        <v>642700</v>
      </c>
      <c r="F17" s="70">
        <f t="shared" si="1"/>
        <v>502675</v>
      </c>
      <c r="G17" s="70">
        <f t="shared" si="1"/>
        <v>0</v>
      </c>
      <c r="H17" s="70">
        <f t="shared" si="1"/>
        <v>0</v>
      </c>
      <c r="I17" s="70">
        <f t="shared" si="1"/>
        <v>0</v>
      </c>
      <c r="J17" s="70">
        <f t="shared" si="1"/>
        <v>0</v>
      </c>
      <c r="K17" s="70">
        <f t="shared" si="1"/>
        <v>0</v>
      </c>
      <c r="L17" s="70">
        <f t="shared" si="1"/>
        <v>0</v>
      </c>
      <c r="M17" s="70">
        <f t="shared" si="1"/>
        <v>0</v>
      </c>
    </row>
    <row r="18" spans="1:13" x14ac:dyDescent="0.2">
      <c r="A18" s="65" t="s">
        <v>7</v>
      </c>
      <c r="B18" s="71"/>
      <c r="C18" s="71">
        <v>1459139</v>
      </c>
      <c r="D18" s="71">
        <v>709580</v>
      </c>
      <c r="E18" s="71">
        <v>642700</v>
      </c>
      <c r="F18" s="71">
        <v>502675</v>
      </c>
      <c r="G18" s="71"/>
      <c r="H18" s="71"/>
      <c r="I18" s="71"/>
      <c r="J18" s="71"/>
      <c r="K18" s="71"/>
      <c r="L18" s="71"/>
      <c r="M18" s="71"/>
    </row>
    <row r="19" spans="1:13" x14ac:dyDescent="0.2">
      <c r="A19" s="65" t="s">
        <v>111</v>
      </c>
      <c r="B19" s="70">
        <f>B17-B18</f>
        <v>744939</v>
      </c>
      <c r="C19" s="70">
        <f>C17-C18</f>
        <v>0</v>
      </c>
      <c r="D19" s="70">
        <f t="shared" ref="D19:M19" si="2">D17-D18</f>
        <v>0</v>
      </c>
      <c r="E19" s="70">
        <f t="shared" si="2"/>
        <v>0</v>
      </c>
      <c r="F19" s="70">
        <f t="shared" si="2"/>
        <v>0</v>
      </c>
      <c r="G19" s="70">
        <f t="shared" si="2"/>
        <v>0</v>
      </c>
      <c r="H19" s="70">
        <f t="shared" si="2"/>
        <v>0</v>
      </c>
      <c r="I19" s="70">
        <f t="shared" si="2"/>
        <v>0</v>
      </c>
      <c r="J19" s="70">
        <f t="shared" si="2"/>
        <v>0</v>
      </c>
      <c r="K19" s="70">
        <f t="shared" si="2"/>
        <v>0</v>
      </c>
      <c r="L19" s="70">
        <f t="shared" si="2"/>
        <v>0</v>
      </c>
      <c r="M19" s="70">
        <f t="shared" si="2"/>
        <v>0</v>
      </c>
    </row>
    <row r="20" spans="1:13" x14ac:dyDescent="0.2">
      <c r="D20" s="128">
        <v>44658</v>
      </c>
    </row>
    <row r="21" spans="1:13" x14ac:dyDescent="0.2">
      <c r="D21">
        <f>83810+2290+200</f>
        <v>86300</v>
      </c>
      <c r="G21" t="s">
        <v>466</v>
      </c>
    </row>
    <row r="25" spans="1:13" x14ac:dyDescent="0.2">
      <c r="A25" s="78"/>
      <c r="B25" s="79">
        <v>45658</v>
      </c>
      <c r="C25" s="79">
        <v>45689</v>
      </c>
      <c r="D25" s="79">
        <v>45717</v>
      </c>
      <c r="E25" s="79">
        <v>45748</v>
      </c>
      <c r="F25" s="79">
        <v>45778</v>
      </c>
      <c r="G25" s="79">
        <v>45809</v>
      </c>
      <c r="H25" s="79">
        <v>45839</v>
      </c>
      <c r="I25" s="79">
        <v>45870</v>
      </c>
      <c r="J25" s="79">
        <v>45901</v>
      </c>
      <c r="K25" s="79">
        <v>45931</v>
      </c>
      <c r="L25" s="79">
        <v>45962</v>
      </c>
      <c r="M25" s="79">
        <v>45992</v>
      </c>
    </row>
    <row r="26" spans="1:13" x14ac:dyDescent="0.2">
      <c r="A26" s="78" t="s">
        <v>110</v>
      </c>
      <c r="B26" s="42"/>
      <c r="C26" s="42">
        <f t="shared" ref="C26:M26" si="3">B37</f>
        <v>0</v>
      </c>
      <c r="D26" s="42">
        <f t="shared" si="3"/>
        <v>0</v>
      </c>
      <c r="E26" s="42">
        <f t="shared" si="3"/>
        <v>0</v>
      </c>
      <c r="F26" s="42">
        <f t="shared" si="3"/>
        <v>0</v>
      </c>
      <c r="G26" s="42">
        <f t="shared" si="3"/>
        <v>655350</v>
      </c>
      <c r="H26" s="42">
        <f t="shared" si="3"/>
        <v>0</v>
      </c>
      <c r="I26" s="42">
        <f t="shared" si="3"/>
        <v>0</v>
      </c>
      <c r="J26" s="42">
        <f t="shared" si="3"/>
        <v>31800</v>
      </c>
      <c r="K26" s="42">
        <f t="shared" si="3"/>
        <v>839596.7</v>
      </c>
      <c r="L26" s="42">
        <f t="shared" si="3"/>
        <v>0</v>
      </c>
      <c r="M26" s="42">
        <f t="shared" si="3"/>
        <v>17005</v>
      </c>
    </row>
    <row r="27" spans="1:13" x14ac:dyDescent="0.2">
      <c r="A27" s="78" t="s">
        <v>512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3</v>
      </c>
      <c r="B28" s="42">
        <v>251000</v>
      </c>
      <c r="C28" s="42">
        <v>260000</v>
      </c>
      <c r="D28" s="42">
        <v>310000</v>
      </c>
      <c r="E28" s="42">
        <v>380000</v>
      </c>
      <c r="F28" s="42">
        <v>360350</v>
      </c>
      <c r="G28" s="42">
        <v>261350</v>
      </c>
      <c r="H28" s="42">
        <v>250000</v>
      </c>
      <c r="I28" s="42">
        <v>260000</v>
      </c>
      <c r="J28" s="42">
        <v>263000</v>
      </c>
      <c r="K28" s="42">
        <v>286000</v>
      </c>
      <c r="L28" s="42">
        <v>300000</v>
      </c>
      <c r="M28" s="42">
        <v>290000</v>
      </c>
    </row>
    <row r="29" spans="1:13" x14ac:dyDescent="0.2">
      <c r="A29" s="78" t="s">
        <v>4</v>
      </c>
      <c r="B29" s="42">
        <f>44420+90100</f>
        <v>134520</v>
      </c>
      <c r="C29" s="42">
        <f>82000+45000</f>
        <v>127000</v>
      </c>
      <c r="D29" s="42">
        <v>150100</v>
      </c>
      <c r="E29" s="42">
        <v>149500</v>
      </c>
      <c r="F29" s="42">
        <v>150000</v>
      </c>
      <c r="G29" s="42">
        <v>118600</v>
      </c>
      <c r="H29" s="42">
        <f>70536+50897</f>
        <v>121433</v>
      </c>
      <c r="I29" s="42">
        <f>50900+79970</f>
        <v>130870</v>
      </c>
      <c r="J29" s="42">
        <f>50896.7+72900</f>
        <v>123796.7</v>
      </c>
      <c r="K29" s="42">
        <f>70000+51000</f>
        <v>121000</v>
      </c>
      <c r="L29" s="42">
        <f>73000+50905</f>
        <v>123905</v>
      </c>
      <c r="M29" s="42">
        <f>50897+65665</f>
        <v>116562</v>
      </c>
    </row>
    <row r="30" spans="1:13" x14ac:dyDescent="0.2">
      <c r="A30" s="78" t="s">
        <v>240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727</v>
      </c>
      <c r="B31" s="42"/>
      <c r="C31" s="42"/>
      <c r="D31" s="42"/>
      <c r="E31" s="42">
        <v>256480</v>
      </c>
      <c r="F31" s="42"/>
      <c r="G31" s="42"/>
      <c r="H31" s="42">
        <v>254100</v>
      </c>
      <c r="I31" s="42">
        <v>255000</v>
      </c>
      <c r="J31" s="42">
        <v>256000</v>
      </c>
      <c r="K31" s="42">
        <v>280000</v>
      </c>
      <c r="L31" s="42">
        <v>255000</v>
      </c>
      <c r="M31" s="42">
        <v>256000</v>
      </c>
    </row>
    <row r="32" spans="1:13" x14ac:dyDescent="0.2">
      <c r="A32" s="78" t="s">
        <v>404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597</v>
      </c>
      <c r="B33" s="42">
        <v>16000</v>
      </c>
      <c r="C33" s="42">
        <v>14980</v>
      </c>
      <c r="D33" s="42">
        <v>15000</v>
      </c>
      <c r="E33" s="42">
        <v>15000</v>
      </c>
      <c r="F33" s="42">
        <v>15000</v>
      </c>
      <c r="G33" s="42">
        <v>15000</v>
      </c>
      <c r="H33" s="42">
        <v>15000</v>
      </c>
      <c r="I33" s="42">
        <v>15000</v>
      </c>
      <c r="J33" s="42">
        <v>15000</v>
      </c>
      <c r="K33" s="42">
        <v>15000</v>
      </c>
      <c r="L33" s="42">
        <v>15000</v>
      </c>
      <c r="M33" s="42">
        <v>15000</v>
      </c>
    </row>
    <row r="34" spans="1:13" x14ac:dyDescent="0.2">
      <c r="A34" s="78" t="s">
        <v>5</v>
      </c>
      <c r="B34" s="42">
        <v>120000</v>
      </c>
      <c r="C34" s="42">
        <v>120000</v>
      </c>
      <c r="D34" s="42">
        <v>120000</v>
      </c>
      <c r="E34" s="42">
        <v>130000</v>
      </c>
      <c r="F34" s="42">
        <v>130000</v>
      </c>
      <c r="G34" s="42">
        <v>130000</v>
      </c>
      <c r="H34" s="42">
        <v>130000</v>
      </c>
      <c r="I34" s="42">
        <v>150000</v>
      </c>
      <c r="J34" s="42">
        <v>150000</v>
      </c>
      <c r="K34" s="42">
        <v>150000</v>
      </c>
      <c r="L34" s="42">
        <v>150000</v>
      </c>
      <c r="M34" s="42">
        <v>180000</v>
      </c>
    </row>
    <row r="35" spans="1:13" x14ac:dyDescent="0.2">
      <c r="A35" s="78" t="s">
        <v>6</v>
      </c>
      <c r="B35" s="43">
        <f>SUM(B26:B34)</f>
        <v>521520</v>
      </c>
      <c r="C35" s="43">
        <f t="shared" ref="C35:M35" si="4">SUM(C26:C34)</f>
        <v>521980</v>
      </c>
      <c r="D35" s="43">
        <f t="shared" si="4"/>
        <v>595100</v>
      </c>
      <c r="E35" s="43">
        <f t="shared" si="4"/>
        <v>930980</v>
      </c>
      <c r="F35" s="43">
        <f t="shared" si="4"/>
        <v>655350</v>
      </c>
      <c r="G35" s="43">
        <f t="shared" si="4"/>
        <v>1180300</v>
      </c>
      <c r="H35" s="43">
        <f t="shared" si="4"/>
        <v>770533</v>
      </c>
      <c r="I35" s="43">
        <f t="shared" si="4"/>
        <v>810870</v>
      </c>
      <c r="J35" s="43">
        <f t="shared" si="4"/>
        <v>839596.7</v>
      </c>
      <c r="K35" s="43">
        <f t="shared" si="4"/>
        <v>1691596.7</v>
      </c>
      <c r="L35" s="43">
        <f t="shared" si="4"/>
        <v>843905</v>
      </c>
      <c r="M35" s="43">
        <f t="shared" si="4"/>
        <v>874567</v>
      </c>
    </row>
    <row r="36" spans="1:13" x14ac:dyDescent="0.2">
      <c r="A36" s="78" t="s">
        <v>7</v>
      </c>
      <c r="B36" s="44">
        <v>521520</v>
      </c>
      <c r="C36" s="44">
        <v>521980</v>
      </c>
      <c r="D36" s="44">
        <v>595100</v>
      </c>
      <c r="E36" s="44">
        <v>930980</v>
      </c>
      <c r="F36" s="44"/>
      <c r="G36" s="44">
        <v>1180300</v>
      </c>
      <c r="H36" s="44">
        <v>770533</v>
      </c>
      <c r="I36" s="44">
        <v>779070</v>
      </c>
      <c r="J36" s="44"/>
      <c r="K36" s="44">
        <v>1691596.7</v>
      </c>
      <c r="L36" s="44">
        <f>798100+28800</f>
        <v>826900</v>
      </c>
      <c r="M36" s="44">
        <v>874567</v>
      </c>
    </row>
    <row r="37" spans="1:13" x14ac:dyDescent="0.2">
      <c r="A37" s="78" t="s">
        <v>111</v>
      </c>
      <c r="B37" s="43">
        <f>B35-B36</f>
        <v>0</v>
      </c>
      <c r="C37" s="43">
        <f>C35-C36</f>
        <v>0</v>
      </c>
      <c r="D37" s="43">
        <f t="shared" ref="D37:M37" si="5">D35-D36</f>
        <v>0</v>
      </c>
      <c r="E37" s="43">
        <f t="shared" si="5"/>
        <v>0</v>
      </c>
      <c r="F37" s="43">
        <f t="shared" si="5"/>
        <v>655350</v>
      </c>
      <c r="G37" s="43">
        <f t="shared" si="5"/>
        <v>0</v>
      </c>
      <c r="H37" s="43">
        <f t="shared" si="5"/>
        <v>0</v>
      </c>
      <c r="I37" s="43">
        <f t="shared" si="5"/>
        <v>31800</v>
      </c>
      <c r="J37" s="43">
        <f t="shared" si="5"/>
        <v>839596.7</v>
      </c>
      <c r="K37" s="43">
        <f t="shared" si="5"/>
        <v>0</v>
      </c>
      <c r="L37" s="43">
        <f t="shared" si="5"/>
        <v>17005</v>
      </c>
      <c r="M37" s="43">
        <f t="shared" si="5"/>
        <v>0</v>
      </c>
    </row>
    <row r="38" spans="1:13" x14ac:dyDescent="0.2">
      <c r="B38" s="128">
        <v>44231</v>
      </c>
      <c r="G38" s="128">
        <v>45106</v>
      </c>
    </row>
    <row r="39" spans="1:13" x14ac:dyDescent="0.2">
      <c r="B39">
        <v>58000</v>
      </c>
      <c r="F39" s="84" t="s">
        <v>628</v>
      </c>
      <c r="G39" s="84" t="s">
        <v>629</v>
      </c>
    </row>
    <row r="40" spans="1:13" x14ac:dyDescent="0.2">
      <c r="B40">
        <v>8500</v>
      </c>
      <c r="F40">
        <v>13880</v>
      </c>
      <c r="G40">
        <f>220700-13880</f>
        <v>206820</v>
      </c>
    </row>
    <row r="41" spans="1:13" x14ac:dyDescent="0.2">
      <c r="A41" t="s">
        <v>596</v>
      </c>
      <c r="B41">
        <v>310</v>
      </c>
    </row>
    <row r="42" spans="1:13" x14ac:dyDescent="0.2">
      <c r="A42">
        <f>13500</f>
        <v>13500</v>
      </c>
      <c r="B42">
        <f>SUM(B39:B41)</f>
        <v>66810</v>
      </c>
      <c r="C42" t="s">
        <v>334</v>
      </c>
    </row>
    <row r="43" spans="1:13" x14ac:dyDescent="0.2">
      <c r="B43">
        <f>2286.65+1660</f>
        <v>3946.65</v>
      </c>
      <c r="C43" t="s">
        <v>503</v>
      </c>
    </row>
    <row r="44" spans="1:13" x14ac:dyDescent="0.2">
      <c r="B44">
        <f>SUM(B42:B43)</f>
        <v>70756.649999999994</v>
      </c>
    </row>
    <row r="46" spans="1:13" x14ac:dyDescent="0.2">
      <c r="B46" t="s">
        <v>614</v>
      </c>
      <c r="C46" s="55">
        <v>13500</v>
      </c>
      <c r="D46" s="174">
        <f>13500+3500+2000</f>
        <v>19000</v>
      </c>
      <c r="E46" s="194">
        <v>19000</v>
      </c>
    </row>
    <row r="47" spans="1:13" x14ac:dyDescent="0.2">
      <c r="B47" t="s">
        <v>615</v>
      </c>
      <c r="C47" s="55">
        <f>C37-C46</f>
        <v>-13500</v>
      </c>
      <c r="D47" s="174">
        <v>91350</v>
      </c>
      <c r="E47" s="194">
        <v>92503</v>
      </c>
      <c r="F47">
        <v>7900</v>
      </c>
    </row>
    <row r="48" spans="1:13" x14ac:dyDescent="0.2">
      <c r="C48" s="55">
        <f>C46+C47</f>
        <v>0</v>
      </c>
      <c r="D48" s="174">
        <f>D46+D47</f>
        <v>110350</v>
      </c>
      <c r="E48" s="194">
        <v>111503</v>
      </c>
    </row>
  </sheetData>
  <mergeCells count="1">
    <mergeCell ref="B4:G4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5"/>
  <dimension ref="B1:N14"/>
  <sheetViews>
    <sheetView workbookViewId="0">
      <selection activeCell="J14" sqref="J14"/>
    </sheetView>
  </sheetViews>
  <sheetFormatPr baseColWidth="10" defaultRowHeight="12.75" x14ac:dyDescent="0.2"/>
  <cols>
    <col min="1" max="1" width="3.140625" customWidth="1"/>
    <col min="2" max="2" width="25.7109375" customWidth="1"/>
  </cols>
  <sheetData>
    <row r="1" spans="2:14" x14ac:dyDescent="0.2">
      <c r="B1" s="50" t="s">
        <v>0</v>
      </c>
      <c r="C1" s="50" t="s">
        <v>1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2:14" x14ac:dyDescent="0.2">
      <c r="B2" s="78"/>
      <c r="C2" s="79">
        <v>45658</v>
      </c>
      <c r="D2" s="79">
        <v>45689</v>
      </c>
      <c r="E2" s="79">
        <v>45717</v>
      </c>
      <c r="F2" s="79">
        <v>45748</v>
      </c>
      <c r="G2" s="79">
        <v>45778</v>
      </c>
      <c r="H2" s="79">
        <v>45809</v>
      </c>
      <c r="I2" s="79">
        <v>45839</v>
      </c>
      <c r="J2" s="79">
        <v>45870</v>
      </c>
      <c r="K2" s="79">
        <v>45901</v>
      </c>
      <c r="L2" s="79">
        <v>45931</v>
      </c>
      <c r="M2" s="79">
        <v>45962</v>
      </c>
      <c r="N2" s="79">
        <v>45992</v>
      </c>
    </row>
    <row r="3" spans="2:14" x14ac:dyDescent="0.2">
      <c r="B3" s="78" t="s">
        <v>110</v>
      </c>
      <c r="C3" s="42"/>
      <c r="D3" s="42">
        <f t="shared" ref="D3:N3" si="0">C14</f>
        <v>0</v>
      </c>
      <c r="E3" s="42">
        <f t="shared" si="0"/>
        <v>0</v>
      </c>
      <c r="F3" s="42">
        <f t="shared" si="0"/>
        <v>0</v>
      </c>
      <c r="G3" s="42">
        <f t="shared" si="0"/>
        <v>0</v>
      </c>
      <c r="H3" s="42">
        <f t="shared" si="0"/>
        <v>0</v>
      </c>
      <c r="I3" s="42">
        <f t="shared" si="0"/>
        <v>15000</v>
      </c>
      <c r="J3" s="42">
        <f t="shared" si="0"/>
        <v>0</v>
      </c>
      <c r="K3" s="42">
        <f t="shared" si="0"/>
        <v>0</v>
      </c>
      <c r="L3" s="42">
        <f t="shared" si="0"/>
        <v>0</v>
      </c>
      <c r="M3" s="42">
        <f t="shared" si="0"/>
        <v>0</v>
      </c>
      <c r="N3" s="42">
        <f t="shared" si="0"/>
        <v>0</v>
      </c>
    </row>
    <row r="4" spans="2:14" x14ac:dyDescent="0.2">
      <c r="B4" s="78" t="s">
        <v>732</v>
      </c>
      <c r="C4" s="42"/>
      <c r="D4" s="42"/>
      <c r="E4" s="42">
        <v>15000</v>
      </c>
      <c r="F4" s="42">
        <v>15000</v>
      </c>
      <c r="G4" s="42">
        <v>15000</v>
      </c>
      <c r="H4" s="42">
        <v>15000</v>
      </c>
      <c r="I4" s="42">
        <v>15000</v>
      </c>
      <c r="J4" s="42">
        <v>15000</v>
      </c>
      <c r="K4" s="42"/>
      <c r="L4" s="42"/>
      <c r="M4" s="42"/>
      <c r="N4" s="42"/>
    </row>
    <row r="5" spans="2:14" x14ac:dyDescent="0.2">
      <c r="B5" s="78" t="s">
        <v>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2:14" x14ac:dyDescent="0.2">
      <c r="B6" s="78" t="s">
        <v>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2:14" x14ac:dyDescent="0.2">
      <c r="B7" s="78" t="s">
        <v>9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">
      <c r="B8" s="78" t="s">
        <v>73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">
      <c r="B9" s="78" t="s">
        <v>659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712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">
      <c r="B11" s="78" t="s">
        <v>5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6</v>
      </c>
      <c r="C12" s="43">
        <f>SUM(C3:C11)</f>
        <v>0</v>
      </c>
      <c r="D12" s="43">
        <f t="shared" ref="D12:N12" si="1">SUM(D3:D11)</f>
        <v>0</v>
      </c>
      <c r="E12" s="43">
        <f t="shared" si="1"/>
        <v>15000</v>
      </c>
      <c r="F12" s="43">
        <f t="shared" si="1"/>
        <v>15000</v>
      </c>
      <c r="G12" s="43">
        <f t="shared" si="1"/>
        <v>15000</v>
      </c>
      <c r="H12" s="43">
        <f t="shared" si="1"/>
        <v>15000</v>
      </c>
      <c r="I12" s="43">
        <f t="shared" si="1"/>
        <v>30000</v>
      </c>
      <c r="J12" s="43">
        <f t="shared" si="1"/>
        <v>15000</v>
      </c>
      <c r="K12" s="43">
        <f t="shared" si="1"/>
        <v>0</v>
      </c>
      <c r="L12" s="43">
        <f t="shared" si="1"/>
        <v>0</v>
      </c>
      <c r="M12" s="43">
        <f t="shared" si="1"/>
        <v>0</v>
      </c>
      <c r="N12" s="43">
        <f t="shared" si="1"/>
        <v>0</v>
      </c>
    </row>
    <row r="13" spans="2:14" x14ac:dyDescent="0.2">
      <c r="B13" s="78" t="s">
        <v>7</v>
      </c>
      <c r="C13" s="44"/>
      <c r="D13" s="44"/>
      <c r="E13" s="44">
        <v>15000</v>
      </c>
      <c r="F13" s="44">
        <v>15000</v>
      </c>
      <c r="G13" s="44">
        <v>15000</v>
      </c>
      <c r="H13" s="44"/>
      <c r="I13" s="44">
        <v>30000</v>
      </c>
      <c r="J13" s="44">
        <v>15000</v>
      </c>
      <c r="K13" s="44"/>
      <c r="L13" s="44"/>
      <c r="M13" s="44"/>
      <c r="N13" s="44"/>
    </row>
    <row r="14" spans="2:14" x14ac:dyDescent="0.2">
      <c r="B14" s="78" t="s">
        <v>111</v>
      </c>
      <c r="C14" s="43">
        <f>C12-C13</f>
        <v>0</v>
      </c>
      <c r="D14" s="43">
        <f>D12-D13</f>
        <v>0</v>
      </c>
      <c r="E14" s="43">
        <f t="shared" ref="E14:N14" si="2">E12-E13</f>
        <v>0</v>
      </c>
      <c r="F14" s="43">
        <f t="shared" si="2"/>
        <v>0</v>
      </c>
      <c r="G14" s="43">
        <f t="shared" si="2"/>
        <v>0</v>
      </c>
      <c r="H14" s="43">
        <f t="shared" si="2"/>
        <v>15000</v>
      </c>
      <c r="I14" s="43">
        <f t="shared" si="2"/>
        <v>0</v>
      </c>
      <c r="J14" s="43">
        <f t="shared" si="2"/>
        <v>0</v>
      </c>
      <c r="K14" s="43">
        <f t="shared" si="2"/>
        <v>0</v>
      </c>
      <c r="L14" s="43">
        <f t="shared" si="2"/>
        <v>0</v>
      </c>
      <c r="M14" s="43">
        <f t="shared" si="2"/>
        <v>0</v>
      </c>
      <c r="N14" s="43">
        <f t="shared" si="2"/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0"/>
  <dimension ref="A4:M35"/>
  <sheetViews>
    <sheetView topLeftCell="A4" workbookViewId="0">
      <selection activeCell="F18" sqref="F18"/>
    </sheetView>
  </sheetViews>
  <sheetFormatPr baseColWidth="10" defaultRowHeight="12.75" x14ac:dyDescent="0.2"/>
  <cols>
    <col min="1" max="1" width="27.7109375" customWidth="1"/>
    <col min="2" max="2" width="12.5703125" customWidth="1"/>
    <col min="3" max="3" width="13" customWidth="1"/>
    <col min="4" max="4" width="13.7109375" customWidth="1"/>
    <col min="5" max="6" width="13.42578125" customWidth="1"/>
    <col min="7" max="7" width="12.85546875" customWidth="1"/>
    <col min="8" max="8" width="13" customWidth="1"/>
    <col min="9" max="9" width="12.5703125" customWidth="1"/>
    <col min="10" max="10" width="12.85546875" customWidth="1"/>
    <col min="11" max="11" width="13.7109375" customWidth="1"/>
    <col min="12" max="12" width="13.42578125" customWidth="1"/>
    <col min="13" max="13" width="12.7109375" customWidth="1"/>
  </cols>
  <sheetData>
    <row r="4" spans="1:13" ht="20.25" x14ac:dyDescent="0.3">
      <c r="A4" s="11" t="s">
        <v>11</v>
      </c>
      <c r="B4" s="216" t="s">
        <v>621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x14ac:dyDescent="0.2">
      <c r="A7" s="78"/>
      <c r="B7" s="79">
        <v>46023</v>
      </c>
      <c r="C7" s="79">
        <v>46054</v>
      </c>
      <c r="D7" s="79">
        <v>46082</v>
      </c>
      <c r="E7" s="79">
        <v>46113</v>
      </c>
      <c r="F7" s="79">
        <v>46143</v>
      </c>
      <c r="G7" s="79">
        <v>46174</v>
      </c>
      <c r="H7" s="79">
        <v>46204</v>
      </c>
      <c r="I7" s="79">
        <v>46235</v>
      </c>
      <c r="J7" s="79">
        <v>46266</v>
      </c>
      <c r="K7" s="79">
        <v>46296</v>
      </c>
      <c r="L7" s="79">
        <v>46327</v>
      </c>
      <c r="M7" s="79">
        <v>46357</v>
      </c>
    </row>
    <row r="8" spans="1:13" x14ac:dyDescent="0.2">
      <c r="A8" s="78" t="s">
        <v>110</v>
      </c>
      <c r="B8" s="42"/>
      <c r="C8" s="42">
        <f>B19</f>
        <v>0</v>
      </c>
      <c r="D8" s="42">
        <f t="shared" ref="D8:M8" si="0">C19</f>
        <v>0</v>
      </c>
      <c r="E8" s="42">
        <f t="shared" si="0"/>
        <v>0</v>
      </c>
      <c r="F8" s="42">
        <f t="shared" si="0"/>
        <v>0</v>
      </c>
      <c r="G8" s="42">
        <f t="shared" si="0"/>
        <v>299500</v>
      </c>
      <c r="H8" s="42">
        <f t="shared" si="0"/>
        <v>299500</v>
      </c>
      <c r="I8" s="42">
        <f t="shared" si="0"/>
        <v>299500</v>
      </c>
      <c r="J8" s="42">
        <f t="shared" si="0"/>
        <v>299500</v>
      </c>
      <c r="K8" s="42">
        <f>J19</f>
        <v>299500</v>
      </c>
      <c r="L8" s="42">
        <f t="shared" si="0"/>
        <v>299500</v>
      </c>
      <c r="M8" s="42">
        <f t="shared" si="0"/>
        <v>299500</v>
      </c>
    </row>
    <row r="9" spans="1:13" x14ac:dyDescent="0.2">
      <c r="A9" s="78" t="s">
        <v>76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772</v>
      </c>
      <c r="B13" s="42">
        <v>25000</v>
      </c>
      <c r="C13" s="42">
        <v>25000</v>
      </c>
      <c r="D13" s="42">
        <v>25000</v>
      </c>
      <c r="E13" s="42">
        <v>25000</v>
      </c>
      <c r="F13" s="42">
        <v>25000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659</v>
      </c>
      <c r="B14" s="42">
        <v>25000</v>
      </c>
      <c r="C14" s="42">
        <v>25000</v>
      </c>
      <c r="D14" s="42">
        <v>25000</v>
      </c>
      <c r="E14" s="42">
        <v>25000</v>
      </c>
      <c r="F14" s="42">
        <v>25000</v>
      </c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200000</v>
      </c>
      <c r="C16" s="42">
        <v>200000</v>
      </c>
      <c r="D16" s="42">
        <v>200000</v>
      </c>
      <c r="E16" s="42">
        <v>249700</v>
      </c>
      <c r="F16" s="42">
        <v>249500</v>
      </c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6</v>
      </c>
      <c r="B17" s="43">
        <f>SUM(B8:B16)</f>
        <v>250000</v>
      </c>
      <c r="C17" s="43">
        <f t="shared" ref="C17:M17" si="1">SUM(C8:C16)</f>
        <v>250000</v>
      </c>
      <c r="D17" s="43">
        <f t="shared" si="1"/>
        <v>250000</v>
      </c>
      <c r="E17" s="43">
        <f t="shared" si="1"/>
        <v>299700</v>
      </c>
      <c r="F17" s="43">
        <f t="shared" si="1"/>
        <v>299500</v>
      </c>
      <c r="G17" s="43">
        <f t="shared" si="1"/>
        <v>299500</v>
      </c>
      <c r="H17" s="43">
        <f t="shared" si="1"/>
        <v>299500</v>
      </c>
      <c r="I17" s="43">
        <f t="shared" si="1"/>
        <v>299500</v>
      </c>
      <c r="J17" s="43">
        <f t="shared" si="1"/>
        <v>299500</v>
      </c>
      <c r="K17" s="43">
        <f t="shared" si="1"/>
        <v>299500</v>
      </c>
      <c r="L17" s="43">
        <f t="shared" si="1"/>
        <v>299500</v>
      </c>
      <c r="M17" s="43">
        <f t="shared" si="1"/>
        <v>299500</v>
      </c>
    </row>
    <row r="18" spans="1:13" x14ac:dyDescent="0.2">
      <c r="A18" s="78" t="s">
        <v>7</v>
      </c>
      <c r="B18" s="44">
        <v>250000</v>
      </c>
      <c r="C18" s="44">
        <v>250000</v>
      </c>
      <c r="D18" s="44">
        <v>250000</v>
      </c>
      <c r="E18" s="44">
        <v>299700</v>
      </c>
      <c r="F18" s="44"/>
      <c r="G18" s="44"/>
      <c r="H18" s="44"/>
      <c r="I18" s="44"/>
      <c r="J18" s="44"/>
      <c r="K18" s="44"/>
      <c r="L18" s="44"/>
      <c r="M18" s="44"/>
    </row>
    <row r="19" spans="1:13" x14ac:dyDescent="0.2">
      <c r="A19" s="78" t="s">
        <v>111</v>
      </c>
      <c r="B19" s="43">
        <f>B17-B18</f>
        <v>0</v>
      </c>
      <c r="C19" s="43">
        <f>C17-C18</f>
        <v>0</v>
      </c>
      <c r="D19" s="43">
        <f t="shared" ref="D19:M19" si="2">D17-D18</f>
        <v>0</v>
      </c>
      <c r="E19" s="43">
        <f t="shared" si="2"/>
        <v>0</v>
      </c>
      <c r="F19" s="43">
        <f t="shared" si="2"/>
        <v>299500</v>
      </c>
      <c r="G19" s="43">
        <f t="shared" si="2"/>
        <v>299500</v>
      </c>
      <c r="H19" s="43">
        <f t="shared" si="2"/>
        <v>299500</v>
      </c>
      <c r="I19" s="43">
        <f t="shared" si="2"/>
        <v>299500</v>
      </c>
      <c r="J19" s="43">
        <f t="shared" si="2"/>
        <v>299500</v>
      </c>
      <c r="K19" s="43">
        <f t="shared" si="2"/>
        <v>299500</v>
      </c>
      <c r="L19" s="43">
        <f t="shared" si="2"/>
        <v>299500</v>
      </c>
      <c r="M19" s="43">
        <f t="shared" si="2"/>
        <v>299500</v>
      </c>
    </row>
    <row r="22" spans="1:13" x14ac:dyDescent="0.2">
      <c r="A22" s="50" t="s">
        <v>0</v>
      </c>
      <c r="B22" s="50" t="s">
        <v>1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9">
        <v>45658</v>
      </c>
      <c r="C23" s="79">
        <v>45689</v>
      </c>
      <c r="D23" s="79">
        <v>45717</v>
      </c>
      <c r="E23" s="79">
        <v>45748</v>
      </c>
      <c r="F23" s="79">
        <v>45778</v>
      </c>
      <c r="G23" s="79">
        <v>45809</v>
      </c>
      <c r="H23" s="79">
        <v>45839</v>
      </c>
      <c r="I23" s="79">
        <v>45870</v>
      </c>
      <c r="J23" s="79">
        <v>45901</v>
      </c>
      <c r="K23" s="79">
        <v>45931</v>
      </c>
      <c r="L23" s="79">
        <v>45962</v>
      </c>
      <c r="M23" s="79">
        <v>45992</v>
      </c>
    </row>
    <row r="24" spans="1:13" x14ac:dyDescent="0.2">
      <c r="A24" s="78" t="s">
        <v>110</v>
      </c>
      <c r="B24" s="42"/>
      <c r="C24" s="42">
        <f t="shared" ref="C24:M24" si="3">B35</f>
        <v>-30.069999999948777</v>
      </c>
      <c r="D24" s="42">
        <f t="shared" si="3"/>
        <v>0.93000000005122274</v>
      </c>
      <c r="E24" s="42">
        <f t="shared" si="3"/>
        <v>-68.069999999948777</v>
      </c>
      <c r="F24" s="42">
        <f t="shared" si="3"/>
        <v>0.93000000005122274</v>
      </c>
      <c r="G24" s="42">
        <f t="shared" si="3"/>
        <v>0.93000000005122274</v>
      </c>
      <c r="H24" s="42">
        <f t="shared" si="3"/>
        <v>0.93000000005122274</v>
      </c>
      <c r="I24" s="42">
        <f t="shared" si="3"/>
        <v>151000.93000000005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2">
      <c r="A25" s="78" t="s">
        <v>76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567209.93000000005</v>
      </c>
      <c r="C27" s="42"/>
      <c r="D27" s="42"/>
      <c r="E27" s="42"/>
      <c r="F27" s="42"/>
      <c r="G27" s="42"/>
      <c r="H27" s="42"/>
      <c r="I27" s="42">
        <v>300488</v>
      </c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>
        <v>11</v>
      </c>
      <c r="D29" s="42">
        <v>11</v>
      </c>
      <c r="E29" s="42"/>
      <c r="F29" s="42">
        <v>-10</v>
      </c>
      <c r="G29" s="42"/>
      <c r="H29" s="42"/>
      <c r="I29" s="42">
        <v>11.07</v>
      </c>
      <c r="J29" s="42"/>
      <c r="K29" s="42"/>
      <c r="L29" s="42"/>
      <c r="M29" s="42"/>
    </row>
    <row r="30" spans="1:13" x14ac:dyDescent="0.2">
      <c r="A30" s="78" t="s">
        <v>659</v>
      </c>
      <c r="B30" s="42">
        <v>11880</v>
      </c>
      <c r="C30" s="42">
        <v>14460</v>
      </c>
      <c r="D30" s="42">
        <v>14460</v>
      </c>
      <c r="E30" s="42">
        <v>15000</v>
      </c>
      <c r="F30" s="42">
        <v>15000</v>
      </c>
      <c r="G30" s="42">
        <v>15000</v>
      </c>
      <c r="H30" s="42">
        <v>16000</v>
      </c>
      <c r="I30" s="42">
        <v>20000</v>
      </c>
      <c r="J30" s="42">
        <v>20000</v>
      </c>
      <c r="K30" s="42">
        <v>20000</v>
      </c>
      <c r="L30" s="42">
        <v>20000</v>
      </c>
      <c r="M30" s="42">
        <v>20000</v>
      </c>
    </row>
    <row r="31" spans="1:13" x14ac:dyDescent="0.2">
      <c r="A31" s="78" t="s">
        <v>712</v>
      </c>
      <c r="B31" s="42">
        <v>11880</v>
      </c>
      <c r="C31" s="42">
        <v>14460</v>
      </c>
      <c r="D31" s="42">
        <v>14460</v>
      </c>
      <c r="E31" s="42">
        <v>15000</v>
      </c>
      <c r="F31" s="42">
        <v>15000</v>
      </c>
      <c r="G31" s="42">
        <v>15000</v>
      </c>
      <c r="H31" s="42">
        <v>15000</v>
      </c>
      <c r="I31" s="42">
        <v>20000</v>
      </c>
      <c r="J31" s="42">
        <v>20000</v>
      </c>
      <c r="K31" s="42">
        <v>20000</v>
      </c>
      <c r="L31" s="42">
        <v>20000</v>
      </c>
      <c r="M31" s="42">
        <v>20000</v>
      </c>
    </row>
    <row r="32" spans="1:13" x14ac:dyDescent="0.2">
      <c r="A32" s="78" t="s">
        <v>5</v>
      </c>
      <c r="B32" s="42">
        <v>110000</v>
      </c>
      <c r="C32" s="42">
        <v>120000</v>
      </c>
      <c r="D32" s="42">
        <v>120000</v>
      </c>
      <c r="E32" s="42">
        <v>120000</v>
      </c>
      <c r="F32" s="42">
        <v>120000</v>
      </c>
      <c r="G32" s="42">
        <v>120000</v>
      </c>
      <c r="H32" s="42">
        <v>120000</v>
      </c>
      <c r="I32" s="42">
        <v>150000</v>
      </c>
      <c r="J32" s="42">
        <v>150000</v>
      </c>
      <c r="K32" s="42">
        <v>158000</v>
      </c>
      <c r="L32" s="42">
        <v>158000</v>
      </c>
      <c r="M32" s="42">
        <v>200000</v>
      </c>
    </row>
    <row r="33" spans="1:13" x14ac:dyDescent="0.2">
      <c r="A33" s="78" t="s">
        <v>6</v>
      </c>
      <c r="B33" s="43">
        <f>SUM(B24:B32)</f>
        <v>700969.93</v>
      </c>
      <c r="C33" s="43">
        <f t="shared" ref="C33:M33" si="4">SUM(C24:C32)</f>
        <v>148900.93000000005</v>
      </c>
      <c r="D33" s="43">
        <f t="shared" si="4"/>
        <v>148931.93000000005</v>
      </c>
      <c r="E33" s="43">
        <f t="shared" si="4"/>
        <v>149931.93000000005</v>
      </c>
      <c r="F33" s="43">
        <f t="shared" si="4"/>
        <v>149990.93000000005</v>
      </c>
      <c r="G33" s="43">
        <f t="shared" si="4"/>
        <v>150000.93000000005</v>
      </c>
      <c r="H33" s="43">
        <f t="shared" si="4"/>
        <v>151000.93000000005</v>
      </c>
      <c r="I33" s="43">
        <f t="shared" si="4"/>
        <v>641500</v>
      </c>
      <c r="J33" s="43">
        <f t="shared" si="4"/>
        <v>190000</v>
      </c>
      <c r="K33" s="43">
        <f t="shared" si="4"/>
        <v>198000</v>
      </c>
      <c r="L33" s="43">
        <f t="shared" si="4"/>
        <v>198000</v>
      </c>
      <c r="M33" s="43">
        <f t="shared" si="4"/>
        <v>240000</v>
      </c>
    </row>
    <row r="34" spans="1:13" x14ac:dyDescent="0.2">
      <c r="A34" s="78" t="s">
        <v>7</v>
      </c>
      <c r="B34" s="44">
        <v>701000</v>
      </c>
      <c r="C34" s="44">
        <v>148900</v>
      </c>
      <c r="D34" s="44">
        <v>149000</v>
      </c>
      <c r="E34" s="44">
        <v>149931</v>
      </c>
      <c r="F34" s="44">
        <v>149990</v>
      </c>
      <c r="G34" s="44">
        <v>150000</v>
      </c>
      <c r="H34" s="44"/>
      <c r="I34" s="44">
        <v>641500</v>
      </c>
      <c r="J34" s="44">
        <v>190000</v>
      </c>
      <c r="K34" s="44">
        <v>198000</v>
      </c>
      <c r="L34" s="44">
        <v>198000</v>
      </c>
      <c r="M34" s="44">
        <v>240000</v>
      </c>
    </row>
    <row r="35" spans="1:13" x14ac:dyDescent="0.2">
      <c r="A35" s="78" t="s">
        <v>111</v>
      </c>
      <c r="B35" s="43">
        <f>B33-B34</f>
        <v>-30.069999999948777</v>
      </c>
      <c r="C35" s="43">
        <f>C33-C34</f>
        <v>0.93000000005122274</v>
      </c>
      <c r="D35" s="43">
        <f t="shared" ref="D35:M35" si="5">D33-D34</f>
        <v>-68.069999999948777</v>
      </c>
      <c r="E35" s="43">
        <f t="shared" si="5"/>
        <v>0.93000000005122274</v>
      </c>
      <c r="F35" s="43">
        <f t="shared" si="5"/>
        <v>0.93000000005122274</v>
      </c>
      <c r="G35" s="43">
        <f t="shared" si="5"/>
        <v>0.93000000005122274</v>
      </c>
      <c r="H35" s="43">
        <f t="shared" si="5"/>
        <v>151000.93000000005</v>
      </c>
      <c r="I35" s="43">
        <f t="shared" si="5"/>
        <v>0</v>
      </c>
      <c r="J35" s="43">
        <f t="shared" si="5"/>
        <v>0</v>
      </c>
      <c r="K35" s="43">
        <f t="shared" si="5"/>
        <v>0</v>
      </c>
      <c r="L35" s="43">
        <f t="shared" si="5"/>
        <v>0</v>
      </c>
      <c r="M35" s="43">
        <f t="shared" si="5"/>
        <v>0</v>
      </c>
    </row>
  </sheetData>
  <mergeCells count="1">
    <mergeCell ref="B4:G4"/>
  </mergeCells>
  <phoneticPr fontId="4" type="noConversion"/>
  <pageMargins left="0.75" right="0.75" top="1" bottom="1" header="0" footer="0"/>
  <pageSetup paperSize="9" orientation="portrait" horizontalDpi="4294967295" verticalDpi="4294967295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1"/>
  <dimension ref="A3:M35"/>
  <sheetViews>
    <sheetView topLeftCell="A4" workbookViewId="0">
      <selection activeCell="F22" sqref="F22"/>
    </sheetView>
  </sheetViews>
  <sheetFormatPr baseColWidth="10" defaultRowHeight="12.75" x14ac:dyDescent="0.2"/>
  <cols>
    <col min="1" max="1" width="30.7109375" customWidth="1"/>
    <col min="10" max="10" width="12.5703125" bestFit="1" customWidth="1"/>
  </cols>
  <sheetData>
    <row r="3" spans="1:13" ht="20.25" x14ac:dyDescent="0.3">
      <c r="A3" s="11" t="s">
        <v>11</v>
      </c>
      <c r="B3" s="216" t="s">
        <v>87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A6" s="65"/>
      <c r="B6" s="68">
        <v>43831</v>
      </c>
      <c r="C6" s="68">
        <v>43497</v>
      </c>
      <c r="D6" s="68">
        <v>43525</v>
      </c>
      <c r="E6" s="68">
        <v>43556</v>
      </c>
      <c r="F6" s="68">
        <v>43586</v>
      </c>
      <c r="G6" s="68">
        <v>43617</v>
      </c>
      <c r="H6" s="68">
        <v>43647</v>
      </c>
      <c r="I6" s="68">
        <v>43678</v>
      </c>
      <c r="J6" s="68">
        <v>43709</v>
      </c>
      <c r="K6" s="68">
        <v>43739</v>
      </c>
      <c r="L6" s="68">
        <v>43770</v>
      </c>
      <c r="M6" s="68">
        <v>43800</v>
      </c>
    </row>
    <row r="7" spans="1:13" x14ac:dyDescent="0.2">
      <c r="A7" s="65" t="s">
        <v>110</v>
      </c>
      <c r="B7" s="69"/>
      <c r="C7" s="69">
        <f>B18</f>
        <v>0</v>
      </c>
      <c r="D7" s="69">
        <f t="shared" ref="D7:M7" si="0">C18</f>
        <v>0</v>
      </c>
      <c r="E7" s="69">
        <f t="shared" si="0"/>
        <v>0</v>
      </c>
      <c r="F7" s="69">
        <f t="shared" si="0"/>
        <v>0</v>
      </c>
      <c r="G7" s="69">
        <f t="shared" si="0"/>
        <v>0</v>
      </c>
      <c r="H7" s="69">
        <f t="shared" si="0"/>
        <v>0</v>
      </c>
      <c r="I7" s="69">
        <f t="shared" si="0"/>
        <v>0</v>
      </c>
      <c r="J7" s="69">
        <f t="shared" si="0"/>
        <v>0</v>
      </c>
      <c r="K7" s="69">
        <f>J18</f>
        <v>0</v>
      </c>
      <c r="L7" s="69">
        <f t="shared" si="0"/>
        <v>0</v>
      </c>
      <c r="M7" s="69">
        <f t="shared" si="0"/>
        <v>0</v>
      </c>
    </row>
    <row r="8" spans="1:13" x14ac:dyDescent="0.2">
      <c r="A8" s="65" t="s">
        <v>76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74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219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5</v>
      </c>
      <c r="B15" s="69">
        <v>1000</v>
      </c>
      <c r="C15" s="69">
        <v>1000</v>
      </c>
      <c r="D15" s="69">
        <v>1000</v>
      </c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6</v>
      </c>
      <c r="B16" s="70">
        <f>SUM(B7:B15)</f>
        <v>1000</v>
      </c>
      <c r="C16" s="70">
        <f t="shared" ref="C16:M16" si="1">SUM(C7:C15)</f>
        <v>1000</v>
      </c>
      <c r="D16" s="70">
        <f t="shared" si="1"/>
        <v>1000</v>
      </c>
      <c r="E16" s="70">
        <f t="shared" si="1"/>
        <v>0</v>
      </c>
      <c r="F16" s="70">
        <f t="shared" si="1"/>
        <v>0</v>
      </c>
      <c r="G16" s="70">
        <f t="shared" si="1"/>
        <v>0</v>
      </c>
      <c r="H16" s="70">
        <f t="shared" si="1"/>
        <v>0</v>
      </c>
      <c r="I16" s="70">
        <f t="shared" si="1"/>
        <v>0</v>
      </c>
      <c r="J16" s="70">
        <f t="shared" si="1"/>
        <v>0</v>
      </c>
      <c r="K16" s="70">
        <f t="shared" si="1"/>
        <v>0</v>
      </c>
      <c r="L16" s="70">
        <f t="shared" si="1"/>
        <v>0</v>
      </c>
      <c r="M16" s="70">
        <f t="shared" si="1"/>
        <v>0</v>
      </c>
    </row>
    <row r="17" spans="1:13" x14ac:dyDescent="0.2">
      <c r="A17" s="65" t="s">
        <v>7</v>
      </c>
      <c r="B17" s="71">
        <v>1000</v>
      </c>
      <c r="C17" s="71">
        <v>1000</v>
      </c>
      <c r="D17" s="71">
        <v>1000</v>
      </c>
      <c r="E17" s="71"/>
      <c r="F17" s="71"/>
      <c r="G17" s="71"/>
      <c r="H17" s="71"/>
      <c r="I17" s="71"/>
      <c r="J17" s="71"/>
      <c r="K17" s="71"/>
      <c r="L17" s="71"/>
      <c r="M17" s="71"/>
    </row>
    <row r="18" spans="1:13" x14ac:dyDescent="0.2">
      <c r="A18" s="65" t="s">
        <v>111</v>
      </c>
      <c r="B18" s="70">
        <f>B16-B17</f>
        <v>0</v>
      </c>
      <c r="C18" s="70">
        <f>C16-C17</f>
        <v>0</v>
      </c>
      <c r="D18" s="70">
        <f t="shared" ref="D18:M18" si="2">D16-D17</f>
        <v>0</v>
      </c>
      <c r="E18" s="70">
        <f t="shared" si="2"/>
        <v>0</v>
      </c>
      <c r="F18" s="70">
        <f t="shared" si="2"/>
        <v>0</v>
      </c>
      <c r="G18" s="70">
        <f>G16-G17</f>
        <v>0</v>
      </c>
      <c r="H18" s="70">
        <f t="shared" si="2"/>
        <v>0</v>
      </c>
      <c r="I18" s="70">
        <f t="shared" si="2"/>
        <v>0</v>
      </c>
      <c r="J18" s="70">
        <f t="shared" si="2"/>
        <v>0</v>
      </c>
      <c r="K18" s="70">
        <f t="shared" si="2"/>
        <v>0</v>
      </c>
      <c r="L18" s="70">
        <f t="shared" si="2"/>
        <v>0</v>
      </c>
      <c r="M18" s="70">
        <f t="shared" si="2"/>
        <v>0</v>
      </c>
    </row>
    <row r="22" spans="1:13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2">
      <c r="A23" s="81"/>
      <c r="B23" s="82">
        <v>42370</v>
      </c>
      <c r="C23" s="82">
        <v>42401</v>
      </c>
      <c r="D23" s="82">
        <v>42430</v>
      </c>
      <c r="E23" s="82">
        <v>42461</v>
      </c>
      <c r="F23" s="82">
        <v>42491</v>
      </c>
      <c r="G23" s="82">
        <v>42522</v>
      </c>
      <c r="H23" s="82">
        <v>42552</v>
      </c>
      <c r="I23" s="82">
        <v>42583</v>
      </c>
      <c r="J23" s="82">
        <v>42614</v>
      </c>
      <c r="K23" s="82">
        <v>42644</v>
      </c>
      <c r="L23" s="82">
        <v>42675</v>
      </c>
      <c r="M23" s="82">
        <v>42705</v>
      </c>
    </row>
    <row r="24" spans="1:13" x14ac:dyDescent="0.2">
      <c r="A24" s="78" t="s">
        <v>110</v>
      </c>
      <c r="B24" s="42">
        <v>156</v>
      </c>
      <c r="C24" s="42">
        <f>B35</f>
        <v>156</v>
      </c>
      <c r="D24" s="42">
        <f t="shared" ref="D24:M24" si="3">C35</f>
        <v>0</v>
      </c>
      <c r="E24" s="42">
        <f t="shared" si="3"/>
        <v>0</v>
      </c>
      <c r="F24" s="42">
        <f t="shared" si="3"/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80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2">
      <c r="A25" s="78" t="s">
        <v>169</v>
      </c>
      <c r="B25" s="42"/>
      <c r="C25" s="42"/>
      <c r="D25" s="42"/>
      <c r="E25" s="42"/>
      <c r="F25" s="42"/>
      <c r="G25" s="42"/>
      <c r="H25" s="42"/>
      <c r="I25" s="42">
        <v>80</v>
      </c>
      <c r="J25" s="42">
        <v>3772</v>
      </c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>
        <v>700</v>
      </c>
      <c r="H26" s="42"/>
      <c r="I26" s="42"/>
      <c r="J26" s="42">
        <v>1287.67</v>
      </c>
      <c r="K26" s="42"/>
      <c r="L26" s="42"/>
      <c r="M26" s="42"/>
    </row>
    <row r="27" spans="1:13" x14ac:dyDescent="0.2">
      <c r="A27" s="78" t="s">
        <v>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165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800</v>
      </c>
      <c r="C32" s="42">
        <v>800</v>
      </c>
      <c r="D32" s="42">
        <v>800</v>
      </c>
      <c r="E32" s="42">
        <v>800</v>
      </c>
      <c r="F32" s="42">
        <v>800</v>
      </c>
      <c r="G32" s="42">
        <v>800</v>
      </c>
      <c r="H32" s="42">
        <v>800</v>
      </c>
      <c r="I32" s="42">
        <v>800</v>
      </c>
      <c r="J32" s="42">
        <v>800</v>
      </c>
      <c r="K32" s="42">
        <v>800</v>
      </c>
      <c r="L32" s="42">
        <v>800</v>
      </c>
      <c r="M32" s="42">
        <v>800</v>
      </c>
    </row>
    <row r="33" spans="1:13" x14ac:dyDescent="0.2">
      <c r="A33" s="78" t="s">
        <v>6</v>
      </c>
      <c r="B33" s="43">
        <f t="shared" ref="B33:M33" si="4">SUM(B24:B32)</f>
        <v>956</v>
      </c>
      <c r="C33" s="43">
        <f t="shared" si="4"/>
        <v>956</v>
      </c>
      <c r="D33" s="43">
        <f t="shared" si="4"/>
        <v>800</v>
      </c>
      <c r="E33" s="43">
        <f t="shared" si="4"/>
        <v>800</v>
      </c>
      <c r="F33" s="43">
        <f t="shared" si="4"/>
        <v>800</v>
      </c>
      <c r="G33" s="43">
        <f t="shared" si="4"/>
        <v>1500</v>
      </c>
      <c r="H33" s="43">
        <f t="shared" si="4"/>
        <v>800</v>
      </c>
      <c r="I33" s="43">
        <f t="shared" si="4"/>
        <v>880</v>
      </c>
      <c r="J33" s="43">
        <f t="shared" si="4"/>
        <v>5939.67</v>
      </c>
      <c r="K33" s="43">
        <f t="shared" si="4"/>
        <v>800</v>
      </c>
      <c r="L33" s="43">
        <f t="shared" si="4"/>
        <v>800</v>
      </c>
      <c r="M33" s="43">
        <f t="shared" si="4"/>
        <v>800</v>
      </c>
    </row>
    <row r="34" spans="1:13" ht="13.5" thickBot="1" x14ac:dyDescent="0.25">
      <c r="A34" s="78" t="s">
        <v>7</v>
      </c>
      <c r="B34" s="44">
        <v>800</v>
      </c>
      <c r="C34" s="44">
        <v>956</v>
      </c>
      <c r="D34" s="44">
        <v>800</v>
      </c>
      <c r="E34" s="44">
        <v>800</v>
      </c>
      <c r="F34" s="44">
        <v>800</v>
      </c>
      <c r="G34" s="44">
        <f>800+700</f>
        <v>1500</v>
      </c>
      <c r="H34" s="44">
        <v>800</v>
      </c>
      <c r="I34" s="44">
        <v>800</v>
      </c>
      <c r="J34" s="44">
        <v>5939.67</v>
      </c>
      <c r="K34" s="44">
        <v>800</v>
      </c>
      <c r="L34" s="44">
        <v>800</v>
      </c>
      <c r="M34" s="44">
        <v>800</v>
      </c>
    </row>
    <row r="35" spans="1:13" ht="13.5" thickBot="1" x14ac:dyDescent="0.25">
      <c r="A35" s="78" t="s">
        <v>111</v>
      </c>
      <c r="B35" s="45">
        <f t="shared" ref="B35:M35" si="5">B33-B34</f>
        <v>156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80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7">
        <f t="shared" si="5"/>
        <v>0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2"/>
  <dimension ref="A4:M33"/>
  <sheetViews>
    <sheetView topLeftCell="A4" workbookViewId="0">
      <selection activeCell="F17" sqref="F17"/>
    </sheetView>
  </sheetViews>
  <sheetFormatPr baseColWidth="10" defaultRowHeight="12.75" x14ac:dyDescent="0.2"/>
  <cols>
    <col min="1" max="1" width="31.7109375" customWidth="1"/>
    <col min="5" max="5" width="12.140625" bestFit="1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65"/>
      <c r="B5" s="68">
        <v>46023</v>
      </c>
      <c r="C5" s="68">
        <v>46054</v>
      </c>
      <c r="D5" s="68">
        <v>46082</v>
      </c>
      <c r="E5" s="68">
        <v>46113</v>
      </c>
      <c r="F5" s="68">
        <v>46143</v>
      </c>
      <c r="G5" s="68">
        <v>46174</v>
      </c>
      <c r="H5" s="68">
        <v>46204</v>
      </c>
      <c r="I5" s="68">
        <v>46235</v>
      </c>
      <c r="J5" s="68">
        <v>46266</v>
      </c>
      <c r="K5" s="68">
        <v>46296</v>
      </c>
      <c r="L5" s="68">
        <v>46327</v>
      </c>
      <c r="M5" s="68">
        <v>46357</v>
      </c>
    </row>
    <row r="6" spans="1:13" x14ac:dyDescent="0.2">
      <c r="A6" s="65" t="s">
        <v>110</v>
      </c>
      <c r="B6" s="69"/>
      <c r="C6" s="69">
        <f>B17</f>
        <v>0</v>
      </c>
      <c r="D6" s="69">
        <f t="shared" ref="D6:M6" si="0">C17</f>
        <v>0</v>
      </c>
      <c r="E6" s="69">
        <f t="shared" si="0"/>
        <v>1000</v>
      </c>
      <c r="F6" s="69">
        <f t="shared" si="0"/>
        <v>0</v>
      </c>
      <c r="G6" s="69">
        <f t="shared" si="0"/>
        <v>0</v>
      </c>
      <c r="H6" s="69">
        <f t="shared" si="0"/>
        <v>0</v>
      </c>
      <c r="I6" s="69">
        <f t="shared" si="0"/>
        <v>0</v>
      </c>
      <c r="J6" s="69">
        <f t="shared" si="0"/>
        <v>0</v>
      </c>
      <c r="K6" s="69">
        <f>J17</f>
        <v>0</v>
      </c>
      <c r="L6" s="69">
        <f t="shared" si="0"/>
        <v>0</v>
      </c>
      <c r="M6" s="69">
        <f t="shared" si="0"/>
        <v>0</v>
      </c>
    </row>
    <row r="7" spans="1:13" x14ac:dyDescent="0.2">
      <c r="A7" s="65" t="s">
        <v>556</v>
      </c>
      <c r="B7" s="69">
        <v>260000</v>
      </c>
      <c r="C7" s="69">
        <v>391000</v>
      </c>
      <c r="D7" s="69">
        <v>391000</v>
      </c>
      <c r="E7" s="69">
        <v>391000</v>
      </c>
      <c r="F7" s="69">
        <v>391000</v>
      </c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477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219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>
        <v>50000</v>
      </c>
      <c r="C14" s="69">
        <v>60000</v>
      </c>
      <c r="D14" s="69">
        <v>60000</v>
      </c>
      <c r="E14" s="69">
        <v>70000</v>
      </c>
      <c r="F14" s="69">
        <v>71000</v>
      </c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6</v>
      </c>
      <c r="B15" s="70">
        <f>SUM(B6:B14)</f>
        <v>310000</v>
      </c>
      <c r="C15" s="70">
        <f t="shared" ref="C15:M15" si="1">SUM(C6:C14)</f>
        <v>451000</v>
      </c>
      <c r="D15" s="70">
        <f t="shared" si="1"/>
        <v>451000</v>
      </c>
      <c r="E15" s="70">
        <f t="shared" si="1"/>
        <v>462000</v>
      </c>
      <c r="F15" s="70">
        <f t="shared" si="1"/>
        <v>462000</v>
      </c>
      <c r="G15" s="70">
        <f t="shared" si="1"/>
        <v>0</v>
      </c>
      <c r="H15" s="70">
        <f t="shared" si="1"/>
        <v>0</v>
      </c>
      <c r="I15" s="70">
        <f t="shared" si="1"/>
        <v>0</v>
      </c>
      <c r="J15" s="70">
        <f t="shared" si="1"/>
        <v>0</v>
      </c>
      <c r="K15" s="70">
        <f t="shared" si="1"/>
        <v>0</v>
      </c>
      <c r="L15" s="70">
        <f t="shared" si="1"/>
        <v>0</v>
      </c>
      <c r="M15" s="70">
        <f t="shared" si="1"/>
        <v>0</v>
      </c>
    </row>
    <row r="16" spans="1:13" x14ac:dyDescent="0.2">
      <c r="A16" s="65" t="s">
        <v>7</v>
      </c>
      <c r="B16" s="71">
        <v>310000</v>
      </c>
      <c r="C16" s="71">
        <v>451000</v>
      </c>
      <c r="D16" s="71">
        <v>450000</v>
      </c>
      <c r="E16" s="71">
        <v>462000</v>
      </c>
      <c r="F16" s="71">
        <v>462000</v>
      </c>
      <c r="G16" s="71"/>
      <c r="H16" s="71"/>
      <c r="I16" s="71"/>
      <c r="J16" s="71"/>
      <c r="K16" s="71"/>
      <c r="L16" s="71"/>
      <c r="M16" s="71"/>
    </row>
    <row r="17" spans="1:13" x14ac:dyDescent="0.2">
      <c r="A17" s="65" t="s">
        <v>111</v>
      </c>
      <c r="B17" s="70">
        <f>B15-B16</f>
        <v>0</v>
      </c>
      <c r="C17" s="70"/>
      <c r="D17" s="70">
        <f t="shared" ref="D17:M17" si="2">D15-D16</f>
        <v>1000</v>
      </c>
      <c r="E17" s="70">
        <f t="shared" si="2"/>
        <v>0</v>
      </c>
      <c r="F17" s="70">
        <f t="shared" si="2"/>
        <v>0</v>
      </c>
      <c r="G17" s="70">
        <f>G15-G16</f>
        <v>0</v>
      </c>
      <c r="H17" s="70">
        <f t="shared" si="2"/>
        <v>0</v>
      </c>
      <c r="I17" s="70">
        <f t="shared" si="2"/>
        <v>0</v>
      </c>
      <c r="J17" s="70">
        <f t="shared" si="2"/>
        <v>0</v>
      </c>
      <c r="K17" s="70">
        <f t="shared" si="2"/>
        <v>0</v>
      </c>
      <c r="L17" s="70">
        <f t="shared" si="2"/>
        <v>0</v>
      </c>
      <c r="M17" s="70">
        <f t="shared" si="2"/>
        <v>0</v>
      </c>
    </row>
    <row r="18" spans="1:13" x14ac:dyDescent="0.2">
      <c r="D18" s="128">
        <v>46100</v>
      </c>
      <c r="E18" s="128"/>
    </row>
    <row r="20" spans="1:13" x14ac:dyDescent="0.2">
      <c r="A20" s="65"/>
      <c r="B20" s="68">
        <v>45658</v>
      </c>
      <c r="C20" s="68">
        <v>45689</v>
      </c>
      <c r="D20" s="68">
        <v>45717</v>
      </c>
      <c r="E20" s="68">
        <v>45748</v>
      </c>
      <c r="F20" s="68">
        <v>45778</v>
      </c>
      <c r="G20" s="68">
        <v>45809</v>
      </c>
      <c r="H20" s="68">
        <v>45839</v>
      </c>
      <c r="I20" s="68">
        <v>45870</v>
      </c>
      <c r="J20" s="68">
        <v>45901</v>
      </c>
      <c r="K20" s="68">
        <v>45931</v>
      </c>
      <c r="L20" s="68">
        <v>45962</v>
      </c>
      <c r="M20" s="68">
        <v>45992</v>
      </c>
    </row>
    <row r="21" spans="1:13" x14ac:dyDescent="0.2">
      <c r="A21" s="65" t="s">
        <v>110</v>
      </c>
      <c r="B21" s="69"/>
      <c r="C21" s="69">
        <f t="shared" ref="C21:M21" si="3">B32</f>
        <v>0</v>
      </c>
      <c r="D21" s="69">
        <f t="shared" si="3"/>
        <v>0</v>
      </c>
      <c r="E21" s="69">
        <f t="shared" si="3"/>
        <v>0</v>
      </c>
      <c r="F21" s="69">
        <f t="shared" si="3"/>
        <v>0</v>
      </c>
      <c r="G21" s="69">
        <f t="shared" si="3"/>
        <v>0</v>
      </c>
      <c r="H21" s="69">
        <f t="shared" si="3"/>
        <v>0</v>
      </c>
      <c r="I21" s="69">
        <f t="shared" si="3"/>
        <v>0</v>
      </c>
      <c r="J21" s="69">
        <f t="shared" si="3"/>
        <v>0</v>
      </c>
      <c r="K21" s="69">
        <f t="shared" si="3"/>
        <v>0</v>
      </c>
      <c r="L21" s="69">
        <f t="shared" si="3"/>
        <v>0</v>
      </c>
      <c r="M21" s="69">
        <f t="shared" si="3"/>
        <v>0</v>
      </c>
    </row>
    <row r="22" spans="1:13" x14ac:dyDescent="0.2">
      <c r="A22" s="65" t="s">
        <v>556</v>
      </c>
      <c r="B22" s="69">
        <v>38400</v>
      </c>
      <c r="C22" s="69">
        <v>255000</v>
      </c>
      <c r="D22" s="69">
        <v>255000</v>
      </c>
      <c r="E22" s="69">
        <v>255000</v>
      </c>
      <c r="F22" s="69">
        <v>255000</v>
      </c>
      <c r="G22" s="69">
        <v>255000</v>
      </c>
      <c r="H22" s="69">
        <v>255000</v>
      </c>
      <c r="I22" s="69">
        <v>153363</v>
      </c>
      <c r="J22" s="69">
        <v>153363</v>
      </c>
      <c r="K22" s="69">
        <v>153363</v>
      </c>
      <c r="L22" s="69">
        <v>153363</v>
      </c>
      <c r="M22" s="69">
        <v>153363</v>
      </c>
    </row>
    <row r="23" spans="1:13" x14ac:dyDescent="0.2">
      <c r="A23" s="65" t="s">
        <v>3</v>
      </c>
      <c r="B23" s="69"/>
      <c r="C23" s="69">
        <v>5000</v>
      </c>
      <c r="D23" s="69">
        <v>5000</v>
      </c>
      <c r="E23" s="69">
        <v>5000</v>
      </c>
      <c r="F23" s="69">
        <v>5000</v>
      </c>
      <c r="G23" s="69">
        <v>5000</v>
      </c>
      <c r="H23" s="69">
        <v>5000</v>
      </c>
      <c r="I23" s="69">
        <v>20000</v>
      </c>
      <c r="J23" s="69">
        <v>20000</v>
      </c>
      <c r="K23" s="69">
        <v>20000</v>
      </c>
      <c r="L23" s="69">
        <v>20000</v>
      </c>
      <c r="M23" s="69">
        <v>20000</v>
      </c>
    </row>
    <row r="24" spans="1:13" x14ac:dyDescent="0.2">
      <c r="A24" s="65" t="s">
        <v>506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477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74</v>
      </c>
      <c r="B27" s="69"/>
      <c r="C27" s="69"/>
      <c r="D27" s="69"/>
      <c r="E27" s="69"/>
      <c r="F27" s="69"/>
      <c r="G27" s="69"/>
      <c r="H27" s="69"/>
      <c r="I27" s="69">
        <v>85000</v>
      </c>
      <c r="J27" s="69">
        <v>85000</v>
      </c>
      <c r="K27" s="69">
        <v>85000</v>
      </c>
      <c r="L27" s="69">
        <v>85000</v>
      </c>
      <c r="M27" s="69">
        <v>85000</v>
      </c>
    </row>
    <row r="28" spans="1:13" x14ac:dyDescent="0.2">
      <c r="A28" s="65" t="s">
        <v>219</v>
      </c>
      <c r="B28" s="69"/>
      <c r="C28" s="69"/>
      <c r="D28" s="69"/>
      <c r="E28" s="69"/>
      <c r="F28" s="69"/>
      <c r="G28" s="69"/>
      <c r="H28" s="69"/>
      <c r="I28" s="69">
        <v>1637</v>
      </c>
      <c r="J28" s="69">
        <v>1637</v>
      </c>
      <c r="K28" s="69">
        <v>1637</v>
      </c>
      <c r="L28" s="69">
        <v>1637</v>
      </c>
      <c r="M28" s="69">
        <v>1637</v>
      </c>
    </row>
    <row r="29" spans="1:13" x14ac:dyDescent="0.2">
      <c r="A29" s="65" t="s">
        <v>5</v>
      </c>
      <c r="B29" s="69">
        <v>40000</v>
      </c>
      <c r="C29" s="69">
        <v>50000</v>
      </c>
      <c r="D29" s="69">
        <v>50000</v>
      </c>
      <c r="E29" s="69">
        <v>50000</v>
      </c>
      <c r="F29" s="69">
        <v>50000</v>
      </c>
      <c r="G29" s="69">
        <v>50000</v>
      </c>
      <c r="H29" s="69">
        <v>50000</v>
      </c>
      <c r="I29" s="69">
        <v>50000</v>
      </c>
      <c r="J29" s="69">
        <v>50000</v>
      </c>
      <c r="K29" s="69">
        <v>50000</v>
      </c>
      <c r="L29" s="69">
        <v>50000</v>
      </c>
      <c r="M29" s="69">
        <v>50000</v>
      </c>
    </row>
    <row r="30" spans="1:13" x14ac:dyDescent="0.2">
      <c r="A30" s="65" t="s">
        <v>6</v>
      </c>
      <c r="B30" s="70">
        <f>SUM(B21:B29)</f>
        <v>78400</v>
      </c>
      <c r="C30" s="70">
        <f t="shared" ref="C30:M30" si="4">SUM(C21:C29)</f>
        <v>310000</v>
      </c>
      <c r="D30" s="70">
        <f t="shared" si="4"/>
        <v>310000</v>
      </c>
      <c r="E30" s="70">
        <f t="shared" si="4"/>
        <v>310000</v>
      </c>
      <c r="F30" s="70">
        <f t="shared" si="4"/>
        <v>310000</v>
      </c>
      <c r="G30" s="70">
        <f t="shared" si="4"/>
        <v>310000</v>
      </c>
      <c r="H30" s="70">
        <f t="shared" si="4"/>
        <v>310000</v>
      </c>
      <c r="I30" s="70">
        <f t="shared" si="4"/>
        <v>310000</v>
      </c>
      <c r="J30" s="70">
        <f t="shared" si="4"/>
        <v>310000</v>
      </c>
      <c r="K30" s="70">
        <f t="shared" si="4"/>
        <v>310000</v>
      </c>
      <c r="L30" s="70">
        <f t="shared" si="4"/>
        <v>310000</v>
      </c>
      <c r="M30" s="70">
        <f t="shared" si="4"/>
        <v>310000</v>
      </c>
    </row>
    <row r="31" spans="1:13" x14ac:dyDescent="0.2">
      <c r="A31" s="65" t="s">
        <v>7</v>
      </c>
      <c r="B31" s="71">
        <v>78400</v>
      </c>
      <c r="C31" s="71">
        <v>310000</v>
      </c>
      <c r="D31" s="71">
        <v>310000</v>
      </c>
      <c r="E31" s="71">
        <v>310000</v>
      </c>
      <c r="F31" s="71">
        <v>310000</v>
      </c>
      <c r="G31" s="71">
        <v>310000</v>
      </c>
      <c r="H31" s="71">
        <v>310000</v>
      </c>
      <c r="I31" s="71">
        <v>310000</v>
      </c>
      <c r="J31" s="71">
        <v>310000</v>
      </c>
      <c r="K31" s="71">
        <v>310000</v>
      </c>
      <c r="L31" s="71">
        <v>310000</v>
      </c>
      <c r="M31" s="71">
        <v>310000</v>
      </c>
    </row>
    <row r="32" spans="1:13" x14ac:dyDescent="0.2">
      <c r="A32" s="65" t="s">
        <v>111</v>
      </c>
      <c r="B32" s="70">
        <f t="shared" ref="B32:G32" si="5">B30-B31</f>
        <v>0</v>
      </c>
      <c r="C32" s="70">
        <f t="shared" si="5"/>
        <v>0</v>
      </c>
      <c r="D32" s="70">
        <f t="shared" si="5"/>
        <v>0</v>
      </c>
      <c r="E32" s="70">
        <f t="shared" si="5"/>
        <v>0</v>
      </c>
      <c r="F32" s="70">
        <f t="shared" si="5"/>
        <v>0</v>
      </c>
      <c r="G32" s="70">
        <f t="shared" si="5"/>
        <v>0</v>
      </c>
      <c r="H32" s="70">
        <f>H30-H31</f>
        <v>0</v>
      </c>
      <c r="I32" s="70">
        <f>I30-I31</f>
        <v>0</v>
      </c>
      <c r="J32" s="70">
        <f>J30-J31</f>
        <v>0</v>
      </c>
      <c r="K32" s="70">
        <f>K30-K31</f>
        <v>0</v>
      </c>
      <c r="L32" s="70">
        <f>L30-L31</f>
        <v>0</v>
      </c>
      <c r="M32" s="70"/>
    </row>
    <row r="33" spans="6:13" x14ac:dyDescent="0.2">
      <c r="F33" s="128">
        <v>44336</v>
      </c>
      <c r="I33" s="128">
        <v>45887</v>
      </c>
      <c r="K33" s="128">
        <v>44489</v>
      </c>
      <c r="M33" s="128">
        <v>45280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3"/>
  <dimension ref="A1:M104"/>
  <sheetViews>
    <sheetView showGridLines="0" topLeftCell="A4" workbookViewId="0">
      <selection activeCell="C9" sqref="C9"/>
    </sheetView>
  </sheetViews>
  <sheetFormatPr baseColWidth="10" defaultRowHeight="20.25" x14ac:dyDescent="0.3"/>
  <cols>
    <col min="1" max="1" width="33.7109375" style="2" customWidth="1"/>
    <col min="2" max="13" width="12.7109375" style="2" customWidth="1"/>
    <col min="14" max="16384" width="11.42578125" style="2"/>
  </cols>
  <sheetData>
    <row r="1" spans="1:13" ht="25.5" x14ac:dyDescent="0.35">
      <c r="A1" s="13" t="s">
        <v>102</v>
      </c>
    </row>
    <row r="2" spans="1:13" x14ac:dyDescent="0.3">
      <c r="A2" s="11" t="s">
        <v>11</v>
      </c>
      <c r="B2" s="216" t="s">
        <v>106</v>
      </c>
      <c r="C2" s="216"/>
      <c r="D2" s="216"/>
      <c r="E2" s="216"/>
      <c r="F2" s="216"/>
      <c r="G2" s="216"/>
    </row>
    <row r="4" spans="1:13" x14ac:dyDescent="0.3">
      <c r="A4" s="67" t="s">
        <v>0</v>
      </c>
      <c r="B4" s="67" t="s">
        <v>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 x14ac:dyDescent="0.3">
      <c r="A5" s="65"/>
      <c r="B5" s="68">
        <v>46023</v>
      </c>
      <c r="C5" s="68">
        <v>46054</v>
      </c>
      <c r="D5" s="68">
        <v>46082</v>
      </c>
      <c r="E5" s="68">
        <v>46113</v>
      </c>
      <c r="F5" s="68">
        <v>46143</v>
      </c>
      <c r="G5" s="68">
        <v>46174</v>
      </c>
      <c r="H5" s="68">
        <v>46204</v>
      </c>
      <c r="I5" s="68">
        <v>46235</v>
      </c>
      <c r="J5" s="68">
        <v>46266</v>
      </c>
      <c r="K5" s="68">
        <v>46296</v>
      </c>
      <c r="L5" s="68">
        <v>46327</v>
      </c>
      <c r="M5" s="68">
        <v>46357</v>
      </c>
    </row>
    <row r="6" spans="1:13" x14ac:dyDescent="0.3">
      <c r="A6" s="65" t="s">
        <v>110</v>
      </c>
      <c r="B6" s="69"/>
      <c r="C6" s="69">
        <f>B17</f>
        <v>355802</v>
      </c>
      <c r="D6" s="69">
        <f t="shared" ref="D6:M6" si="0">C17</f>
        <v>590802</v>
      </c>
      <c r="E6" s="69">
        <f t="shared" si="0"/>
        <v>590802</v>
      </c>
      <c r="F6" s="69">
        <f t="shared" si="0"/>
        <v>590802</v>
      </c>
      <c r="G6" s="69">
        <f t="shared" si="0"/>
        <v>590802</v>
      </c>
      <c r="H6" s="69">
        <f t="shared" si="0"/>
        <v>590802</v>
      </c>
      <c r="I6" s="69">
        <f t="shared" si="0"/>
        <v>590802</v>
      </c>
      <c r="J6" s="69">
        <f t="shared" si="0"/>
        <v>590802</v>
      </c>
      <c r="K6" s="69">
        <f>J17</f>
        <v>590802</v>
      </c>
      <c r="L6" s="69">
        <f t="shared" si="0"/>
        <v>590802</v>
      </c>
      <c r="M6" s="69">
        <f t="shared" si="0"/>
        <v>590802</v>
      </c>
    </row>
    <row r="7" spans="1:13" x14ac:dyDescent="0.3">
      <c r="A7" s="65" t="s">
        <v>76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3">
      <c r="A8" s="65" t="s">
        <v>3</v>
      </c>
      <c r="B8" s="69">
        <v>175802</v>
      </c>
      <c r="C8" s="69">
        <v>55000</v>
      </c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3">
      <c r="A9" s="65" t="s">
        <v>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3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3">
      <c r="A11" s="65" t="s">
        <v>73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3">
      <c r="A12" s="65" t="s">
        <v>74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3">
      <c r="A13" s="65" t="s">
        <v>75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3">
      <c r="A14" s="65" t="s">
        <v>5</v>
      </c>
      <c r="B14" s="69">
        <v>180000</v>
      </c>
      <c r="C14" s="69">
        <v>180000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3">
      <c r="A15" s="65" t="s">
        <v>6</v>
      </c>
      <c r="B15" s="70">
        <f>SUM(B6:B14)</f>
        <v>355802</v>
      </c>
      <c r="C15" s="70">
        <f t="shared" ref="C15:M15" si="1">SUM(C6:C14)</f>
        <v>590802</v>
      </c>
      <c r="D15" s="70">
        <f t="shared" si="1"/>
        <v>590802</v>
      </c>
      <c r="E15" s="70">
        <f t="shared" si="1"/>
        <v>590802</v>
      </c>
      <c r="F15" s="70">
        <f t="shared" si="1"/>
        <v>590802</v>
      </c>
      <c r="G15" s="70">
        <f t="shared" si="1"/>
        <v>590802</v>
      </c>
      <c r="H15" s="70">
        <f t="shared" si="1"/>
        <v>590802</v>
      </c>
      <c r="I15" s="70">
        <f t="shared" si="1"/>
        <v>590802</v>
      </c>
      <c r="J15" s="70">
        <f t="shared" si="1"/>
        <v>590802</v>
      </c>
      <c r="K15" s="70">
        <f t="shared" si="1"/>
        <v>590802</v>
      </c>
      <c r="L15" s="70">
        <f t="shared" si="1"/>
        <v>590802</v>
      </c>
      <c r="M15" s="70">
        <f t="shared" si="1"/>
        <v>590802</v>
      </c>
    </row>
    <row r="16" spans="1:13" x14ac:dyDescent="0.3">
      <c r="A16" s="65" t="s">
        <v>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1:13" x14ac:dyDescent="0.3">
      <c r="A17" s="65" t="s">
        <v>111</v>
      </c>
      <c r="B17" s="70">
        <f>B15-B16</f>
        <v>355802</v>
      </c>
      <c r="C17" s="70">
        <f>C15-C16</f>
        <v>590802</v>
      </c>
      <c r="D17" s="70">
        <f t="shared" ref="D17:M17" si="2">D15-D16</f>
        <v>590802</v>
      </c>
      <c r="E17" s="70">
        <f t="shared" si="2"/>
        <v>590802</v>
      </c>
      <c r="F17" s="70">
        <f t="shared" si="2"/>
        <v>590802</v>
      </c>
      <c r="G17" s="70">
        <f t="shared" si="2"/>
        <v>590802</v>
      </c>
      <c r="H17" s="70">
        <f t="shared" si="2"/>
        <v>590802</v>
      </c>
      <c r="I17" s="70">
        <f t="shared" si="2"/>
        <v>590802</v>
      </c>
      <c r="J17" s="70">
        <f t="shared" si="2"/>
        <v>590802</v>
      </c>
      <c r="K17" s="70">
        <f t="shared" si="2"/>
        <v>590802</v>
      </c>
      <c r="L17" s="70">
        <f t="shared" si="2"/>
        <v>590802</v>
      </c>
      <c r="M17" s="70">
        <f t="shared" si="2"/>
        <v>590802</v>
      </c>
    </row>
    <row r="21" spans="1:13" x14ac:dyDescent="0.3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3">
      <c r="A22" s="81"/>
      <c r="B22" s="82">
        <v>45658</v>
      </c>
      <c r="C22" s="82">
        <v>45689</v>
      </c>
      <c r="D22" s="82">
        <v>45717</v>
      </c>
      <c r="E22" s="82">
        <v>45748</v>
      </c>
      <c r="F22" s="82">
        <v>45778</v>
      </c>
      <c r="G22" s="82">
        <v>45809</v>
      </c>
      <c r="H22" s="82">
        <v>45839</v>
      </c>
      <c r="I22" s="82">
        <v>45870</v>
      </c>
      <c r="J22" s="82">
        <v>45901</v>
      </c>
      <c r="K22" s="82">
        <v>45931</v>
      </c>
      <c r="L22" s="82">
        <v>45962</v>
      </c>
      <c r="M22" s="82">
        <v>45992</v>
      </c>
    </row>
    <row r="23" spans="1:13" x14ac:dyDescent="0.3">
      <c r="A23" s="78" t="s">
        <v>110</v>
      </c>
      <c r="B23" s="42"/>
      <c r="C23" s="42">
        <f t="shared" ref="C23:M23" si="3">B34</f>
        <v>0</v>
      </c>
      <c r="D23" s="42">
        <f t="shared" si="3"/>
        <v>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3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165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>
        <v>80000</v>
      </c>
    </row>
    <row r="30" spans="1:13" x14ac:dyDescent="0.3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>
        <v>150000</v>
      </c>
    </row>
    <row r="32" spans="1:13" x14ac:dyDescent="0.3">
      <c r="A32" s="78" t="s">
        <v>6</v>
      </c>
      <c r="B32" s="43">
        <f t="shared" ref="B32:M32" si="4">SUM(B23:B31)</f>
        <v>0</v>
      </c>
      <c r="C32" s="43">
        <f t="shared" si="4"/>
        <v>0</v>
      </c>
      <c r="D32" s="43">
        <f t="shared" si="4"/>
        <v>0</v>
      </c>
      <c r="E32" s="43">
        <f t="shared" si="4"/>
        <v>0</v>
      </c>
      <c r="F32" s="43">
        <f t="shared" si="4"/>
        <v>0</v>
      </c>
      <c r="G32" s="43">
        <f t="shared" si="4"/>
        <v>0</v>
      </c>
      <c r="H32" s="43">
        <f t="shared" si="4"/>
        <v>0</v>
      </c>
      <c r="I32" s="43">
        <f t="shared" si="4"/>
        <v>0</v>
      </c>
      <c r="J32" s="43">
        <f t="shared" si="4"/>
        <v>0</v>
      </c>
      <c r="K32" s="43">
        <f t="shared" si="4"/>
        <v>0</v>
      </c>
      <c r="L32" s="43">
        <f t="shared" si="4"/>
        <v>0</v>
      </c>
      <c r="M32" s="43">
        <f t="shared" si="4"/>
        <v>230000</v>
      </c>
    </row>
    <row r="33" spans="1:13" ht="21" thickBot="1" x14ac:dyDescent="0.35">
      <c r="A33" s="78" t="s">
        <v>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>
        <v>230000</v>
      </c>
    </row>
    <row r="34" spans="1:13" ht="21" thickBot="1" x14ac:dyDescent="0.35">
      <c r="A34" s="78" t="s">
        <v>111</v>
      </c>
      <c r="B34" s="45">
        <f t="shared" ref="B34:M34" si="5">B32-B33</f>
        <v>0</v>
      </c>
      <c r="C34" s="46">
        <f t="shared" si="5"/>
        <v>0</v>
      </c>
      <c r="D34" s="46">
        <f t="shared" si="5"/>
        <v>0</v>
      </c>
      <c r="E34" s="46">
        <f t="shared" si="5"/>
        <v>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7">
        <f t="shared" si="5"/>
        <v>0</v>
      </c>
    </row>
    <row r="36" spans="1:13" x14ac:dyDescent="0.3">
      <c r="A36" s="2">
        <v>75000</v>
      </c>
    </row>
    <row r="40" spans="1:13" x14ac:dyDescent="0.3">
      <c r="A40" s="62" t="s">
        <v>0</v>
      </c>
      <c r="B40" s="62" t="s">
        <v>1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</row>
    <row r="41" spans="1:13" x14ac:dyDescent="0.3">
      <c r="A41" s="63"/>
      <c r="B41" s="97">
        <v>44197</v>
      </c>
      <c r="C41" s="97">
        <v>44228</v>
      </c>
      <c r="D41" s="97">
        <v>44256</v>
      </c>
      <c r="E41" s="97">
        <v>44287</v>
      </c>
      <c r="F41" s="97">
        <v>44317</v>
      </c>
      <c r="G41" s="97">
        <v>44348</v>
      </c>
      <c r="H41" s="97">
        <v>44378</v>
      </c>
      <c r="I41" s="97">
        <v>44409</v>
      </c>
      <c r="J41" s="97">
        <v>44440</v>
      </c>
      <c r="K41" s="97">
        <v>44470</v>
      </c>
      <c r="L41" s="97">
        <v>44501</v>
      </c>
      <c r="M41" s="97">
        <v>44531</v>
      </c>
    </row>
    <row r="42" spans="1:13" x14ac:dyDescent="0.3">
      <c r="A42" s="60" t="s">
        <v>110</v>
      </c>
      <c r="B42" s="94">
        <v>1590000</v>
      </c>
      <c r="C42" s="94">
        <f>B53</f>
        <v>1650000</v>
      </c>
      <c r="D42" s="94">
        <f t="shared" ref="D42:M42" si="6">C53</f>
        <v>1710000</v>
      </c>
      <c r="E42" s="94">
        <f t="shared" si="6"/>
        <v>1770000</v>
      </c>
      <c r="F42" s="94">
        <f t="shared" si="6"/>
        <v>1830000</v>
      </c>
      <c r="G42" s="94">
        <f t="shared" si="6"/>
        <v>1890000</v>
      </c>
      <c r="H42" s="94">
        <f t="shared" si="6"/>
        <v>1950000</v>
      </c>
      <c r="I42" s="94">
        <f t="shared" si="6"/>
        <v>2010000</v>
      </c>
      <c r="J42" s="94">
        <f t="shared" si="6"/>
        <v>2070000</v>
      </c>
      <c r="K42" s="94">
        <f t="shared" si="6"/>
        <v>2130000</v>
      </c>
      <c r="L42" s="94">
        <f t="shared" si="6"/>
        <v>2190000</v>
      </c>
      <c r="M42" s="94">
        <f t="shared" si="6"/>
        <v>2250000</v>
      </c>
    </row>
    <row r="43" spans="1:13" x14ac:dyDescent="0.3">
      <c r="A43" s="60" t="s">
        <v>2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</row>
    <row r="44" spans="1:13" x14ac:dyDescent="0.3">
      <c r="A44" s="60" t="s">
        <v>3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</row>
    <row r="45" spans="1:13" x14ac:dyDescent="0.3">
      <c r="A45" s="60" t="s">
        <v>4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</row>
    <row r="46" spans="1:13" x14ac:dyDescent="0.3">
      <c r="A46" s="60" t="s">
        <v>9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 spans="1:13" x14ac:dyDescent="0.3">
      <c r="A47" s="60" t="s">
        <v>165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</row>
    <row r="48" spans="1:13" x14ac:dyDescent="0.3">
      <c r="A48" s="60" t="s">
        <v>74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</row>
    <row r="49" spans="1:13" x14ac:dyDescent="0.3">
      <c r="A49" s="60" t="s">
        <v>75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 spans="1:13" x14ac:dyDescent="0.3">
      <c r="A50" s="60" t="s">
        <v>5</v>
      </c>
      <c r="B50" s="94">
        <v>60000</v>
      </c>
      <c r="C50" s="94">
        <v>60000</v>
      </c>
      <c r="D50" s="94">
        <v>60000</v>
      </c>
      <c r="E50" s="94">
        <v>60000</v>
      </c>
      <c r="F50" s="94">
        <v>60000</v>
      </c>
      <c r="G50" s="94">
        <v>60000</v>
      </c>
      <c r="H50" s="94">
        <v>60000</v>
      </c>
      <c r="I50" s="94">
        <v>60000</v>
      </c>
      <c r="J50" s="94">
        <v>60000</v>
      </c>
      <c r="K50" s="94">
        <v>60000</v>
      </c>
      <c r="L50" s="94">
        <v>60000</v>
      </c>
      <c r="M50" s="94">
        <v>60000</v>
      </c>
    </row>
    <row r="51" spans="1:13" x14ac:dyDescent="0.3">
      <c r="A51" s="60" t="s">
        <v>6</v>
      </c>
      <c r="B51" s="95">
        <f t="shared" ref="B51:M51" si="7">SUM(B42:B50)</f>
        <v>1650000</v>
      </c>
      <c r="C51" s="95">
        <f t="shared" si="7"/>
        <v>1710000</v>
      </c>
      <c r="D51" s="95">
        <f t="shared" si="7"/>
        <v>1770000</v>
      </c>
      <c r="E51" s="95">
        <f t="shared" si="7"/>
        <v>1830000</v>
      </c>
      <c r="F51" s="95">
        <f t="shared" si="7"/>
        <v>1890000</v>
      </c>
      <c r="G51" s="95">
        <f t="shared" si="7"/>
        <v>1950000</v>
      </c>
      <c r="H51" s="95">
        <f t="shared" si="7"/>
        <v>2010000</v>
      </c>
      <c r="I51" s="95">
        <f t="shared" si="7"/>
        <v>2070000</v>
      </c>
      <c r="J51" s="95">
        <f t="shared" si="7"/>
        <v>2130000</v>
      </c>
      <c r="K51" s="95">
        <f t="shared" si="7"/>
        <v>2190000</v>
      </c>
      <c r="L51" s="95">
        <f t="shared" si="7"/>
        <v>2250000</v>
      </c>
      <c r="M51" s="95">
        <f t="shared" si="7"/>
        <v>2310000</v>
      </c>
    </row>
    <row r="52" spans="1:13" ht="21" thickBot="1" x14ac:dyDescent="0.35">
      <c r="A52" s="60" t="s">
        <v>7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</row>
    <row r="53" spans="1:13" ht="21" thickBot="1" x14ac:dyDescent="0.35">
      <c r="A53" s="60" t="s">
        <v>111</v>
      </c>
      <c r="B53" s="98">
        <f t="shared" ref="B53:M53" si="8">B51-B52</f>
        <v>1650000</v>
      </c>
      <c r="C53" s="99">
        <f t="shared" si="8"/>
        <v>1710000</v>
      </c>
      <c r="D53" s="99">
        <f t="shared" si="8"/>
        <v>1770000</v>
      </c>
      <c r="E53" s="99">
        <f t="shared" si="8"/>
        <v>1830000</v>
      </c>
      <c r="F53" s="99">
        <f t="shared" si="8"/>
        <v>1890000</v>
      </c>
      <c r="G53" s="99">
        <f t="shared" si="8"/>
        <v>1950000</v>
      </c>
      <c r="H53" s="99">
        <f t="shared" si="8"/>
        <v>2010000</v>
      </c>
      <c r="I53" s="99">
        <f t="shared" si="8"/>
        <v>2070000</v>
      </c>
      <c r="J53" s="99">
        <f t="shared" si="8"/>
        <v>2130000</v>
      </c>
      <c r="K53" s="99">
        <f t="shared" si="8"/>
        <v>2190000</v>
      </c>
      <c r="L53" s="99">
        <f t="shared" si="8"/>
        <v>2250000</v>
      </c>
      <c r="M53" s="100">
        <f t="shared" si="8"/>
        <v>2310000</v>
      </c>
    </row>
    <row r="55" spans="1:13" x14ac:dyDescent="0.3">
      <c r="A55" s="72" t="s">
        <v>0</v>
      </c>
      <c r="B55" s="72" t="s">
        <v>1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</row>
    <row r="56" spans="1:13" x14ac:dyDescent="0.3">
      <c r="A56" s="73"/>
      <c r="B56" s="74">
        <v>44562</v>
      </c>
      <c r="C56" s="74">
        <v>44593</v>
      </c>
      <c r="D56" s="74">
        <v>44621</v>
      </c>
      <c r="E56" s="74">
        <v>44652</v>
      </c>
      <c r="F56" s="74">
        <v>44682</v>
      </c>
      <c r="G56" s="74">
        <v>44713</v>
      </c>
      <c r="H56" s="74">
        <v>44743</v>
      </c>
      <c r="I56" s="74">
        <v>44774</v>
      </c>
      <c r="J56" s="74">
        <v>44805</v>
      </c>
      <c r="K56" s="74">
        <v>44835</v>
      </c>
      <c r="L56" s="74">
        <v>44866</v>
      </c>
      <c r="M56" s="74">
        <v>44896</v>
      </c>
    </row>
    <row r="57" spans="1:13" x14ac:dyDescent="0.3">
      <c r="A57" s="65" t="s">
        <v>110</v>
      </c>
      <c r="B57" s="69">
        <v>2300000</v>
      </c>
      <c r="C57" s="69">
        <f t="shared" ref="C57:M57" si="9">B68</f>
        <v>2350000</v>
      </c>
      <c r="D57" s="69">
        <f t="shared" si="9"/>
        <v>2400000</v>
      </c>
      <c r="E57" s="69">
        <f t="shared" si="9"/>
        <v>2450000</v>
      </c>
      <c r="F57" s="69">
        <f t="shared" si="9"/>
        <v>2500000</v>
      </c>
      <c r="G57" s="69">
        <f t="shared" si="9"/>
        <v>2550000</v>
      </c>
      <c r="H57" s="69">
        <f t="shared" si="9"/>
        <v>2600000</v>
      </c>
      <c r="I57" s="69">
        <f t="shared" si="9"/>
        <v>2650000</v>
      </c>
      <c r="J57" s="69">
        <f t="shared" si="9"/>
        <v>2700000</v>
      </c>
      <c r="K57" s="69">
        <f t="shared" si="9"/>
        <v>2750000</v>
      </c>
      <c r="L57" s="69">
        <f t="shared" si="9"/>
        <v>2800000</v>
      </c>
      <c r="M57" s="69">
        <f t="shared" si="9"/>
        <v>2850000</v>
      </c>
    </row>
    <row r="58" spans="1:13" x14ac:dyDescent="0.3">
      <c r="A58" s="65" t="s">
        <v>2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spans="1:13" x14ac:dyDescent="0.3">
      <c r="A59" s="65" t="s">
        <v>3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spans="1:13" x14ac:dyDescent="0.3">
      <c r="A60" s="65" t="s">
        <v>4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spans="1:13" x14ac:dyDescent="0.3">
      <c r="A61" s="65" t="s">
        <v>9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spans="1:13" x14ac:dyDescent="0.3">
      <c r="A62" s="65" t="s">
        <v>165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spans="1:13" x14ac:dyDescent="0.3">
      <c r="A63" s="65" t="s">
        <v>74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spans="1:13" x14ac:dyDescent="0.3">
      <c r="A64" s="65" t="s">
        <v>75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spans="1:13" x14ac:dyDescent="0.3">
      <c r="A65" s="65" t="s">
        <v>5</v>
      </c>
      <c r="B65" s="69">
        <v>50000</v>
      </c>
      <c r="C65" s="69">
        <v>50000</v>
      </c>
      <c r="D65" s="69">
        <v>50000</v>
      </c>
      <c r="E65" s="69">
        <v>50000</v>
      </c>
      <c r="F65" s="69">
        <v>50000</v>
      </c>
      <c r="G65" s="69">
        <v>50000</v>
      </c>
      <c r="H65" s="69">
        <v>50000</v>
      </c>
      <c r="I65" s="69">
        <v>50000</v>
      </c>
      <c r="J65" s="69">
        <v>50000</v>
      </c>
      <c r="K65" s="69">
        <v>50000</v>
      </c>
      <c r="L65" s="69">
        <v>50000</v>
      </c>
      <c r="M65" s="69">
        <v>50000</v>
      </c>
    </row>
    <row r="66" spans="1:13" x14ac:dyDescent="0.3">
      <c r="A66" s="65" t="s">
        <v>6</v>
      </c>
      <c r="B66" s="70">
        <f t="shared" ref="B66:M66" si="10">SUM(B57:B65)</f>
        <v>2350000</v>
      </c>
      <c r="C66" s="70">
        <f t="shared" si="10"/>
        <v>2400000</v>
      </c>
      <c r="D66" s="70">
        <f t="shared" si="10"/>
        <v>2450000</v>
      </c>
      <c r="E66" s="70">
        <f t="shared" si="10"/>
        <v>2500000</v>
      </c>
      <c r="F66" s="70">
        <f t="shared" si="10"/>
        <v>2550000</v>
      </c>
      <c r="G66" s="70">
        <f t="shared" si="10"/>
        <v>2600000</v>
      </c>
      <c r="H66" s="70">
        <f t="shared" si="10"/>
        <v>2650000</v>
      </c>
      <c r="I66" s="70">
        <f t="shared" si="10"/>
        <v>2700000</v>
      </c>
      <c r="J66" s="70">
        <f t="shared" si="10"/>
        <v>2750000</v>
      </c>
      <c r="K66" s="70">
        <f t="shared" si="10"/>
        <v>2800000</v>
      </c>
      <c r="L66" s="70">
        <f t="shared" si="10"/>
        <v>2850000</v>
      </c>
      <c r="M66" s="70">
        <f t="shared" si="10"/>
        <v>2900000</v>
      </c>
    </row>
    <row r="67" spans="1:13" ht="21" thickBot="1" x14ac:dyDescent="0.35">
      <c r="A67" s="65" t="s">
        <v>7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spans="1:13" ht="21" thickBot="1" x14ac:dyDescent="0.35">
      <c r="A68" s="8" t="s">
        <v>111</v>
      </c>
      <c r="B68" s="98">
        <f t="shared" ref="B68:M68" si="11">B66-B67</f>
        <v>2350000</v>
      </c>
      <c r="C68" s="99">
        <f t="shared" si="11"/>
        <v>2400000</v>
      </c>
      <c r="D68" s="99">
        <f t="shared" si="11"/>
        <v>2450000</v>
      </c>
      <c r="E68" s="99">
        <f t="shared" si="11"/>
        <v>2500000</v>
      </c>
      <c r="F68" s="99">
        <f t="shared" si="11"/>
        <v>2550000</v>
      </c>
      <c r="G68" s="99">
        <f t="shared" si="11"/>
        <v>2600000</v>
      </c>
      <c r="H68" s="99">
        <f t="shared" si="11"/>
        <v>2650000</v>
      </c>
      <c r="I68" s="99">
        <f t="shared" si="11"/>
        <v>2700000</v>
      </c>
      <c r="J68" s="99">
        <f t="shared" si="11"/>
        <v>2750000</v>
      </c>
      <c r="K68" s="99">
        <f t="shared" si="11"/>
        <v>2800000</v>
      </c>
      <c r="L68" s="99">
        <f t="shared" si="11"/>
        <v>2850000</v>
      </c>
      <c r="M68" s="100">
        <f t="shared" si="11"/>
        <v>2900000</v>
      </c>
    </row>
    <row r="69" spans="1:13" ht="21" thickBot="1" x14ac:dyDescent="0.35">
      <c r="A69" s="8" t="s">
        <v>7</v>
      </c>
      <c r="B69" s="96"/>
      <c r="C69" s="96"/>
      <c r="D69" s="96">
        <v>285000</v>
      </c>
      <c r="E69" s="96"/>
      <c r="F69" s="96"/>
      <c r="G69" s="96"/>
      <c r="H69" s="96"/>
      <c r="I69" s="96"/>
      <c r="J69" s="96"/>
      <c r="K69" s="96"/>
      <c r="L69" s="96"/>
      <c r="M69" s="96"/>
    </row>
    <row r="70" spans="1:13" ht="21" thickBot="1" x14ac:dyDescent="0.35">
      <c r="A70" s="8" t="s">
        <v>111</v>
      </c>
      <c r="B70" s="98">
        <f t="shared" ref="B70:M70" si="12">B68-B69</f>
        <v>2350000</v>
      </c>
      <c r="C70" s="99">
        <f t="shared" si="12"/>
        <v>2400000</v>
      </c>
      <c r="D70" s="99">
        <f t="shared" si="12"/>
        <v>2165000</v>
      </c>
      <c r="E70" s="99">
        <f t="shared" si="12"/>
        <v>2500000</v>
      </c>
      <c r="F70" s="99">
        <f t="shared" si="12"/>
        <v>2550000</v>
      </c>
      <c r="G70" s="99">
        <f t="shared" si="12"/>
        <v>2600000</v>
      </c>
      <c r="H70" s="99">
        <f t="shared" si="12"/>
        <v>2650000</v>
      </c>
      <c r="I70" s="99">
        <f t="shared" si="12"/>
        <v>2700000</v>
      </c>
      <c r="J70" s="99">
        <f t="shared" si="12"/>
        <v>2750000</v>
      </c>
      <c r="K70" s="99">
        <f t="shared" si="12"/>
        <v>2800000</v>
      </c>
      <c r="L70" s="99">
        <f t="shared" si="12"/>
        <v>2850000</v>
      </c>
      <c r="M70" s="100">
        <f t="shared" si="12"/>
        <v>2900000</v>
      </c>
    </row>
    <row r="72" spans="1:13" x14ac:dyDescent="0.3">
      <c r="D72" s="78"/>
      <c r="E72" s="78" t="s">
        <v>625</v>
      </c>
      <c r="F72" s="78"/>
      <c r="G72" s="78"/>
      <c r="H72" s="78">
        <f>95*3000</f>
        <v>285000</v>
      </c>
    </row>
    <row r="74" spans="1:13" x14ac:dyDescent="0.3">
      <c r="A74" s="80" t="s">
        <v>0</v>
      </c>
      <c r="B74" s="80" t="s">
        <v>1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</row>
    <row r="75" spans="1:13" x14ac:dyDescent="0.3">
      <c r="A75" s="81"/>
      <c r="B75" s="82">
        <v>44927</v>
      </c>
      <c r="C75" s="82">
        <v>44958</v>
      </c>
      <c r="D75" s="82">
        <v>44986</v>
      </c>
      <c r="E75" s="82">
        <v>45017</v>
      </c>
      <c r="F75" s="82">
        <v>45047</v>
      </c>
      <c r="G75" s="82">
        <v>45078</v>
      </c>
      <c r="H75" s="82">
        <v>45108</v>
      </c>
      <c r="I75" s="82">
        <v>45139</v>
      </c>
      <c r="J75" s="82">
        <v>45170</v>
      </c>
      <c r="K75" s="82">
        <v>45200</v>
      </c>
      <c r="L75" s="82">
        <v>45231</v>
      </c>
      <c r="M75" s="82">
        <v>45261</v>
      </c>
    </row>
    <row r="76" spans="1:13" x14ac:dyDescent="0.3">
      <c r="A76" s="78" t="s">
        <v>110</v>
      </c>
      <c r="B76" s="42">
        <v>2900000</v>
      </c>
      <c r="C76" s="42">
        <f t="shared" ref="C76:M76" si="13">B87</f>
        <v>2960000</v>
      </c>
      <c r="D76" s="42">
        <f t="shared" si="13"/>
        <v>3020000</v>
      </c>
      <c r="E76" s="42">
        <f t="shared" si="13"/>
        <v>3080000</v>
      </c>
      <c r="F76" s="42">
        <f t="shared" si="13"/>
        <v>3140000</v>
      </c>
      <c r="G76" s="42">
        <f t="shared" si="13"/>
        <v>3200000</v>
      </c>
      <c r="H76" s="42">
        <f t="shared" si="13"/>
        <v>3260000</v>
      </c>
      <c r="I76" s="42">
        <f t="shared" si="13"/>
        <v>3320000</v>
      </c>
      <c r="J76" s="42">
        <f t="shared" si="13"/>
        <v>3380000</v>
      </c>
      <c r="K76" s="42">
        <f t="shared" si="13"/>
        <v>3440000</v>
      </c>
      <c r="L76" s="42">
        <f t="shared" si="13"/>
        <v>3500000</v>
      </c>
      <c r="M76" s="42">
        <f t="shared" si="13"/>
        <v>3560000</v>
      </c>
    </row>
    <row r="77" spans="1:13" x14ac:dyDescent="0.3">
      <c r="A77" s="78" t="s">
        <v>2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spans="1:13" x14ac:dyDescent="0.3">
      <c r="A78" s="78" t="s">
        <v>3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x14ac:dyDescent="0.3">
      <c r="A79" s="78" t="s">
        <v>4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</row>
    <row r="80" spans="1:13" x14ac:dyDescent="0.3">
      <c r="A80" s="78" t="s">
        <v>9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spans="1:13" x14ac:dyDescent="0.3">
      <c r="A81" s="78" t="s">
        <v>165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spans="1:13" x14ac:dyDescent="0.3">
      <c r="A82" s="78" t="s">
        <v>74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</row>
    <row r="83" spans="1:13" x14ac:dyDescent="0.3">
      <c r="A83" s="78" t="s">
        <v>75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</row>
    <row r="84" spans="1:13" x14ac:dyDescent="0.3">
      <c r="A84" s="78" t="s">
        <v>5</v>
      </c>
      <c r="B84" s="42">
        <v>60000</v>
      </c>
      <c r="C84" s="42">
        <v>60000</v>
      </c>
      <c r="D84" s="42">
        <v>60000</v>
      </c>
      <c r="E84" s="42">
        <v>60000</v>
      </c>
      <c r="F84" s="42">
        <v>60000</v>
      </c>
      <c r="G84" s="42">
        <v>60000</v>
      </c>
      <c r="H84" s="42">
        <v>60000</v>
      </c>
      <c r="I84" s="42">
        <v>60000</v>
      </c>
      <c r="J84" s="42">
        <v>60000</v>
      </c>
      <c r="K84" s="42">
        <v>60000</v>
      </c>
      <c r="L84" s="42">
        <v>60000</v>
      </c>
      <c r="M84" s="42">
        <v>60000</v>
      </c>
    </row>
    <row r="85" spans="1:13" x14ac:dyDescent="0.3">
      <c r="A85" s="78" t="s">
        <v>6</v>
      </c>
      <c r="B85" s="43">
        <f t="shared" ref="B85:M85" si="14">SUM(B76:B84)</f>
        <v>2960000</v>
      </c>
      <c r="C85" s="43">
        <f t="shared" si="14"/>
        <v>3020000</v>
      </c>
      <c r="D85" s="43">
        <f t="shared" si="14"/>
        <v>3080000</v>
      </c>
      <c r="E85" s="43">
        <f t="shared" si="14"/>
        <v>3140000</v>
      </c>
      <c r="F85" s="43">
        <f t="shared" si="14"/>
        <v>3200000</v>
      </c>
      <c r="G85" s="43">
        <f t="shared" si="14"/>
        <v>3260000</v>
      </c>
      <c r="H85" s="43">
        <f t="shared" si="14"/>
        <v>3320000</v>
      </c>
      <c r="I85" s="43">
        <f t="shared" si="14"/>
        <v>3380000</v>
      </c>
      <c r="J85" s="43">
        <f t="shared" si="14"/>
        <v>3440000</v>
      </c>
      <c r="K85" s="43">
        <f t="shared" si="14"/>
        <v>3500000</v>
      </c>
      <c r="L85" s="43">
        <f t="shared" si="14"/>
        <v>3560000</v>
      </c>
      <c r="M85" s="43">
        <f t="shared" si="14"/>
        <v>3620000</v>
      </c>
    </row>
    <row r="86" spans="1:13" ht="21" thickBot="1" x14ac:dyDescent="0.35">
      <c r="A86" s="78" t="s">
        <v>7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1:13" ht="21" thickBot="1" x14ac:dyDescent="0.35">
      <c r="A87" s="78" t="s">
        <v>111</v>
      </c>
      <c r="B87" s="45">
        <f t="shared" ref="B87:M87" si="15">B85-B86</f>
        <v>2960000</v>
      </c>
      <c r="C87" s="46">
        <f t="shared" si="15"/>
        <v>3020000</v>
      </c>
      <c r="D87" s="46">
        <f t="shared" si="15"/>
        <v>3080000</v>
      </c>
      <c r="E87" s="46">
        <f t="shared" si="15"/>
        <v>3140000</v>
      </c>
      <c r="F87" s="46">
        <f t="shared" si="15"/>
        <v>3200000</v>
      </c>
      <c r="G87" s="46">
        <f t="shared" si="15"/>
        <v>3260000</v>
      </c>
      <c r="H87" s="46">
        <f t="shared" si="15"/>
        <v>3320000</v>
      </c>
      <c r="I87" s="46">
        <f t="shared" si="15"/>
        <v>3380000</v>
      </c>
      <c r="J87" s="46">
        <f t="shared" si="15"/>
        <v>3440000</v>
      </c>
      <c r="K87" s="46">
        <f t="shared" si="15"/>
        <v>3500000</v>
      </c>
      <c r="L87" s="46">
        <f t="shared" si="15"/>
        <v>3560000</v>
      </c>
      <c r="M87" s="47">
        <f t="shared" si="15"/>
        <v>3620000</v>
      </c>
    </row>
    <row r="88" spans="1:13" x14ac:dyDescent="0.3">
      <c r="A88" s="78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</row>
    <row r="89" spans="1:13" x14ac:dyDescent="0.3">
      <c r="A89" s="78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</row>
    <row r="90" spans="1:13" x14ac:dyDescent="0.3">
      <c r="B90" s="80" t="s">
        <v>1</v>
      </c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</row>
    <row r="91" spans="1:13" x14ac:dyDescent="0.3">
      <c r="B91" s="82">
        <v>45292</v>
      </c>
      <c r="C91" s="82">
        <v>45323</v>
      </c>
      <c r="D91" s="82">
        <v>45352</v>
      </c>
      <c r="E91" s="82">
        <v>45383</v>
      </c>
      <c r="F91" s="82">
        <v>45413</v>
      </c>
      <c r="G91" s="82">
        <v>45444</v>
      </c>
      <c r="H91" s="82">
        <v>45474</v>
      </c>
      <c r="I91" s="82">
        <v>45505</v>
      </c>
      <c r="J91" s="82">
        <v>45536</v>
      </c>
      <c r="K91" s="82">
        <v>45566</v>
      </c>
      <c r="L91" s="82">
        <v>45597</v>
      </c>
      <c r="M91" s="82">
        <v>45627</v>
      </c>
    </row>
    <row r="92" spans="1:13" x14ac:dyDescent="0.3">
      <c r="B92" s="42">
        <v>3620000</v>
      </c>
      <c r="C92" s="42">
        <f t="shared" ref="C92:M92" si="16">B103</f>
        <v>3700000</v>
      </c>
      <c r="D92" s="42">
        <f t="shared" si="16"/>
        <v>3780000</v>
      </c>
      <c r="E92" s="42">
        <f t="shared" si="16"/>
        <v>3860000</v>
      </c>
      <c r="F92" s="42">
        <f t="shared" si="16"/>
        <v>3940000</v>
      </c>
      <c r="G92" s="42">
        <f t="shared" si="16"/>
        <v>2020000</v>
      </c>
      <c r="H92" s="42">
        <f t="shared" si="16"/>
        <v>2020000</v>
      </c>
      <c r="I92" s="42">
        <f t="shared" si="16"/>
        <v>2020000</v>
      </c>
      <c r="J92" s="42">
        <f t="shared" si="16"/>
        <v>2020000</v>
      </c>
      <c r="K92" s="42">
        <f t="shared" si="16"/>
        <v>2020000</v>
      </c>
      <c r="L92" s="42">
        <f t="shared" si="16"/>
        <v>2020000</v>
      </c>
      <c r="M92" s="42">
        <f t="shared" si="16"/>
        <v>2020000</v>
      </c>
    </row>
    <row r="93" spans="1:13" x14ac:dyDescent="0.3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</row>
    <row r="94" spans="1:13" x14ac:dyDescent="0.3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spans="1:13" x14ac:dyDescent="0.3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x14ac:dyDescent="0.3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7" spans="2:13" x14ac:dyDescent="0.3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</row>
    <row r="98" spans="2:13" x14ac:dyDescent="0.3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</row>
    <row r="99" spans="2:13" x14ac:dyDescent="0.3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</row>
    <row r="100" spans="2:13" x14ac:dyDescent="0.3">
      <c r="B100" s="42">
        <v>80000</v>
      </c>
      <c r="C100" s="42">
        <v>80000</v>
      </c>
      <c r="D100" s="42">
        <v>80000</v>
      </c>
      <c r="E100" s="42">
        <v>80000</v>
      </c>
      <c r="F100" s="42">
        <v>80000</v>
      </c>
      <c r="G100" s="42"/>
      <c r="H100" s="42"/>
      <c r="I100" s="42"/>
      <c r="J100" s="42"/>
      <c r="K100" s="42"/>
      <c r="L100" s="42"/>
      <c r="M100" s="42"/>
    </row>
    <row r="101" spans="2:13" x14ac:dyDescent="0.3">
      <c r="B101" s="43">
        <f t="shared" ref="B101:M101" si="17">SUM(B92:B100)</f>
        <v>3700000</v>
      </c>
      <c r="C101" s="43">
        <f t="shared" si="17"/>
        <v>3780000</v>
      </c>
      <c r="D101" s="43">
        <f t="shared" si="17"/>
        <v>3860000</v>
      </c>
      <c r="E101" s="43">
        <f t="shared" si="17"/>
        <v>3940000</v>
      </c>
      <c r="F101" s="43">
        <f t="shared" si="17"/>
        <v>4020000</v>
      </c>
      <c r="G101" s="43">
        <f t="shared" si="17"/>
        <v>2020000</v>
      </c>
      <c r="H101" s="43">
        <f t="shared" si="17"/>
        <v>2020000</v>
      </c>
      <c r="I101" s="43">
        <f t="shared" si="17"/>
        <v>2020000</v>
      </c>
      <c r="J101" s="43">
        <f t="shared" si="17"/>
        <v>2020000</v>
      </c>
      <c r="K101" s="43">
        <f t="shared" si="17"/>
        <v>2020000</v>
      </c>
      <c r="L101" s="43">
        <f t="shared" si="17"/>
        <v>2020000</v>
      </c>
      <c r="M101" s="43">
        <f t="shared" si="17"/>
        <v>2020000</v>
      </c>
    </row>
    <row r="102" spans="2:13" ht="21" thickBot="1" x14ac:dyDescent="0.35">
      <c r="B102" s="44"/>
      <c r="C102" s="44"/>
      <c r="D102" s="44"/>
      <c r="E102" s="44"/>
      <c r="F102" s="44">
        <v>2000000</v>
      </c>
      <c r="G102" s="44"/>
      <c r="H102" s="44"/>
      <c r="I102" s="44"/>
      <c r="J102" s="44"/>
      <c r="K102" s="44"/>
      <c r="L102" s="44"/>
      <c r="M102" s="44"/>
    </row>
    <row r="103" spans="2:13" ht="21" thickBot="1" x14ac:dyDescent="0.35">
      <c r="B103" s="45">
        <f t="shared" ref="B103:M103" si="18">B101-B102</f>
        <v>3700000</v>
      </c>
      <c r="C103" s="46">
        <f t="shared" si="18"/>
        <v>3780000</v>
      </c>
      <c r="D103" s="46">
        <f t="shared" si="18"/>
        <v>3860000</v>
      </c>
      <c r="E103" s="46">
        <f t="shared" si="18"/>
        <v>3940000</v>
      </c>
      <c r="F103" s="46">
        <f t="shared" si="18"/>
        <v>2020000</v>
      </c>
      <c r="G103" s="46">
        <f t="shared" si="18"/>
        <v>2020000</v>
      </c>
      <c r="H103" s="46">
        <f t="shared" si="18"/>
        <v>2020000</v>
      </c>
      <c r="I103" s="46">
        <f t="shared" si="18"/>
        <v>2020000</v>
      </c>
      <c r="J103" s="46">
        <f t="shared" si="18"/>
        <v>2020000</v>
      </c>
      <c r="K103" s="46">
        <f t="shared" si="18"/>
        <v>2020000</v>
      </c>
      <c r="L103" s="46">
        <f t="shared" si="18"/>
        <v>2020000</v>
      </c>
      <c r="M103" s="47">
        <f t="shared" si="18"/>
        <v>2020000</v>
      </c>
    </row>
    <row r="104" spans="2:13" x14ac:dyDescent="0.3">
      <c r="F104" s="78" t="s">
        <v>680</v>
      </c>
    </row>
  </sheetData>
  <mergeCells count="1">
    <mergeCell ref="B2:G2"/>
  </mergeCells>
  <phoneticPr fontId="4" type="noConversion"/>
  <hyperlinks>
    <hyperlink ref="A1" location="Clientes!A1" display="Volver"/>
  </hyperlinks>
  <pageMargins left="0.75" right="0.75" top="1" bottom="1" header="0" footer="0"/>
  <pageSetup orientation="portrait" verticalDpi="30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4">
    <tabColor theme="6" tint="0.79998168889431442"/>
  </sheetPr>
  <dimension ref="A5:N55"/>
  <sheetViews>
    <sheetView showGridLines="0" topLeftCell="A19" workbookViewId="0">
      <selection activeCell="I33" sqref="I33"/>
    </sheetView>
  </sheetViews>
  <sheetFormatPr baseColWidth="10" defaultRowHeight="12.75" x14ac:dyDescent="0.2"/>
  <cols>
    <col min="1" max="1" width="1.42578125" customWidth="1"/>
    <col min="2" max="2" width="29.5703125" customWidth="1"/>
    <col min="3" max="3" width="12.7109375" customWidth="1"/>
    <col min="4" max="5" width="11" customWidth="1"/>
    <col min="6" max="6" width="11.5703125" customWidth="1"/>
    <col min="7" max="7" width="12.5703125" customWidth="1"/>
    <col min="8" max="8" width="11.7109375" customWidth="1"/>
    <col min="9" max="9" width="10.7109375" customWidth="1"/>
    <col min="10" max="10" width="11.140625" customWidth="1"/>
    <col min="11" max="11" width="11.28515625" customWidth="1"/>
    <col min="12" max="12" width="11.42578125" customWidth="1"/>
    <col min="13" max="13" width="11.140625" customWidth="1"/>
    <col min="14" max="14" width="14.140625" customWidth="1"/>
  </cols>
  <sheetData>
    <row r="5" spans="2:14" ht="33" x14ac:dyDescent="0.45">
      <c r="B5" s="14" t="s">
        <v>102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15" x14ac:dyDescent="0.2">
      <c r="B6" s="83" t="s">
        <v>11</v>
      </c>
      <c r="C6" s="217" t="s">
        <v>800</v>
      </c>
      <c r="D6" s="217"/>
      <c r="E6" s="217"/>
      <c r="F6" s="217"/>
      <c r="G6" s="217"/>
      <c r="H6" s="217"/>
      <c r="I6" s="8"/>
      <c r="J6" s="8"/>
      <c r="K6" s="8"/>
      <c r="L6" s="8"/>
      <c r="M6" s="8"/>
      <c r="N6" s="8"/>
    </row>
    <row r="7" spans="2:14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</row>
    <row r="8" spans="2:14" x14ac:dyDescent="0.2">
      <c r="B8" s="50" t="s">
        <v>0</v>
      </c>
      <c r="C8" s="50" t="s">
        <v>1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</row>
    <row r="9" spans="2:14" x14ac:dyDescent="0.2">
      <c r="B9" s="78"/>
      <c r="C9" s="79">
        <v>46023</v>
      </c>
      <c r="D9" s="79">
        <v>46054</v>
      </c>
      <c r="E9" s="79">
        <v>46082</v>
      </c>
      <c r="F9" s="79">
        <v>46113</v>
      </c>
      <c r="G9" s="79">
        <v>46143</v>
      </c>
      <c r="H9" s="79">
        <v>46174</v>
      </c>
      <c r="I9" s="79">
        <v>46204</v>
      </c>
      <c r="J9" s="79">
        <v>46235</v>
      </c>
      <c r="K9" s="79">
        <v>46266</v>
      </c>
      <c r="L9" s="79">
        <v>46296</v>
      </c>
      <c r="M9" s="79">
        <v>46327</v>
      </c>
      <c r="N9" s="79">
        <v>46357</v>
      </c>
    </row>
    <row r="10" spans="2:14" x14ac:dyDescent="0.2">
      <c r="B10" s="78" t="s">
        <v>110</v>
      </c>
      <c r="C10" s="42"/>
      <c r="D10" s="42">
        <f>C21</f>
        <v>0</v>
      </c>
      <c r="E10" s="42">
        <f t="shared" ref="E10:K10" si="0">D21</f>
        <v>0</v>
      </c>
      <c r="F10" s="42">
        <f t="shared" si="0"/>
        <v>0</v>
      </c>
      <c r="G10" s="42">
        <f t="shared" si="0"/>
        <v>0</v>
      </c>
      <c r="H10" s="42">
        <f t="shared" si="0"/>
        <v>43000</v>
      </c>
      <c r="I10" s="42">
        <f t="shared" si="0"/>
        <v>43000</v>
      </c>
      <c r="J10" s="42">
        <f t="shared" si="0"/>
        <v>43000</v>
      </c>
      <c r="K10" s="42">
        <f t="shared" si="0"/>
        <v>43000</v>
      </c>
      <c r="L10" s="42">
        <f>K21</f>
        <v>43000</v>
      </c>
      <c r="M10" s="42">
        <f>L21</f>
        <v>43000</v>
      </c>
      <c r="N10" s="42">
        <f>M21</f>
        <v>43000</v>
      </c>
    </row>
    <row r="11" spans="2:14" x14ac:dyDescent="0.2">
      <c r="B11" s="78" t="s">
        <v>443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798</v>
      </c>
      <c r="C12" s="42"/>
      <c r="D12" s="42"/>
      <c r="E12" s="42"/>
      <c r="F12" s="42"/>
      <c r="G12" s="42">
        <v>23000</v>
      </c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799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4" x14ac:dyDescent="0.2">
      <c r="B14" s="78" t="s">
        <v>183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2:14" x14ac:dyDescent="0.2">
      <c r="B15" s="78" t="s">
        <v>443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2:14" x14ac:dyDescent="0.2">
      <c r="B16" s="78" t="s">
        <v>692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x14ac:dyDescent="0.2">
      <c r="B17" s="78" t="s">
        <v>179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x14ac:dyDescent="0.2">
      <c r="B18" s="78" t="s">
        <v>5</v>
      </c>
      <c r="C18" s="42"/>
      <c r="D18" s="42"/>
      <c r="E18" s="42"/>
      <c r="F18" s="42"/>
      <c r="G18" s="42">
        <v>20000</v>
      </c>
      <c r="H18" s="42"/>
      <c r="I18" s="42"/>
      <c r="J18" s="42"/>
      <c r="K18" s="42"/>
      <c r="L18" s="42"/>
      <c r="M18" s="42"/>
      <c r="N18" s="42"/>
    </row>
    <row r="19" spans="1:14" x14ac:dyDescent="0.2">
      <c r="B19" s="78" t="s">
        <v>6</v>
      </c>
      <c r="C19" s="43">
        <f>SUM(C10:C18)</f>
        <v>0</v>
      </c>
      <c r="D19" s="43">
        <f t="shared" ref="D19:N19" si="1">SUM(D10:D18)</f>
        <v>0</v>
      </c>
      <c r="E19" s="43">
        <f t="shared" si="1"/>
        <v>0</v>
      </c>
      <c r="F19" s="43">
        <f t="shared" si="1"/>
        <v>0</v>
      </c>
      <c r="G19" s="43">
        <f t="shared" si="1"/>
        <v>43000</v>
      </c>
      <c r="H19" s="43">
        <f t="shared" si="1"/>
        <v>43000</v>
      </c>
      <c r="I19" s="43">
        <f t="shared" si="1"/>
        <v>43000</v>
      </c>
      <c r="J19" s="43">
        <f t="shared" si="1"/>
        <v>43000</v>
      </c>
      <c r="K19" s="43">
        <f t="shared" si="1"/>
        <v>43000</v>
      </c>
      <c r="L19" s="43">
        <f t="shared" si="1"/>
        <v>43000</v>
      </c>
      <c r="M19" s="43">
        <f t="shared" si="1"/>
        <v>43000</v>
      </c>
      <c r="N19" s="43">
        <f t="shared" si="1"/>
        <v>43000</v>
      </c>
    </row>
    <row r="20" spans="1:14" x14ac:dyDescent="0.2">
      <c r="B20" s="78" t="s">
        <v>7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 x14ac:dyDescent="0.2">
      <c r="B21" s="78" t="s">
        <v>111</v>
      </c>
      <c r="C21" s="43">
        <f>C19-C20</f>
        <v>0</v>
      </c>
      <c r="D21" s="43">
        <f>D19-D20</f>
        <v>0</v>
      </c>
      <c r="E21" s="43">
        <f t="shared" ref="E21:N21" si="2">E19-E20</f>
        <v>0</v>
      </c>
      <c r="F21" s="43">
        <f t="shared" si="2"/>
        <v>0</v>
      </c>
      <c r="G21" s="43">
        <f t="shared" si="2"/>
        <v>43000</v>
      </c>
      <c r="H21" s="43">
        <f t="shared" si="2"/>
        <v>43000</v>
      </c>
      <c r="I21" s="43">
        <f t="shared" si="2"/>
        <v>43000</v>
      </c>
      <c r="J21" s="43">
        <f t="shared" si="2"/>
        <v>43000</v>
      </c>
      <c r="K21" s="43">
        <f t="shared" si="2"/>
        <v>43000</v>
      </c>
      <c r="L21" s="43">
        <f t="shared" si="2"/>
        <v>43000</v>
      </c>
      <c r="M21" s="43">
        <f t="shared" si="2"/>
        <v>43000</v>
      </c>
      <c r="N21" s="43">
        <f t="shared" si="2"/>
        <v>43000</v>
      </c>
    </row>
    <row r="22" spans="1:14" x14ac:dyDescent="0.2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</row>
    <row r="23" spans="1:14" x14ac:dyDescent="0.2">
      <c r="B23" s="152" t="s">
        <v>801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</row>
    <row r="24" spans="1:14" x14ac:dyDescent="0.2">
      <c r="B24" s="80" t="s">
        <v>0</v>
      </c>
      <c r="C24" s="80" t="s">
        <v>1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</row>
    <row r="25" spans="1:14" x14ac:dyDescent="0.2">
      <c r="B25" s="81"/>
      <c r="C25" s="82">
        <v>46023</v>
      </c>
      <c r="D25" s="82">
        <v>46054</v>
      </c>
      <c r="E25" s="82">
        <v>46082</v>
      </c>
      <c r="F25" s="82">
        <v>46113</v>
      </c>
      <c r="G25" s="82">
        <v>46143</v>
      </c>
      <c r="H25" s="82">
        <v>46174</v>
      </c>
      <c r="I25" s="82">
        <v>46204</v>
      </c>
      <c r="J25" s="82">
        <v>46235</v>
      </c>
      <c r="K25" s="82">
        <v>46266</v>
      </c>
      <c r="L25" s="82">
        <v>46296</v>
      </c>
      <c r="M25" s="82">
        <v>46327</v>
      </c>
      <c r="N25" s="82">
        <v>46357</v>
      </c>
    </row>
    <row r="26" spans="1:14" x14ac:dyDescent="0.2">
      <c r="B26" s="78" t="s">
        <v>110</v>
      </c>
      <c r="C26" s="42"/>
      <c r="D26" s="42">
        <f>C37</f>
        <v>0</v>
      </c>
      <c r="E26" s="42">
        <f t="shared" ref="E26:N26" si="3">D37</f>
        <v>0</v>
      </c>
      <c r="F26" s="42">
        <f t="shared" si="3"/>
        <v>0</v>
      </c>
      <c r="G26" s="42">
        <f t="shared" si="3"/>
        <v>0</v>
      </c>
      <c r="H26" s="42">
        <f t="shared" si="3"/>
        <v>0</v>
      </c>
      <c r="I26" s="42">
        <f t="shared" si="3"/>
        <v>23000</v>
      </c>
      <c r="J26" s="42">
        <f t="shared" si="3"/>
        <v>51000</v>
      </c>
      <c r="K26" s="42">
        <f t="shared" si="3"/>
        <v>51000</v>
      </c>
      <c r="L26" s="42">
        <f t="shared" si="3"/>
        <v>51000</v>
      </c>
      <c r="M26" s="42">
        <f t="shared" si="3"/>
        <v>51000</v>
      </c>
      <c r="N26" s="42">
        <f t="shared" si="3"/>
        <v>51000</v>
      </c>
    </row>
    <row r="27" spans="1:14" x14ac:dyDescent="0.2">
      <c r="B27" s="78" t="s">
        <v>384</v>
      </c>
      <c r="C27" s="42"/>
      <c r="D27" s="42"/>
      <c r="E27" s="42"/>
      <c r="F27" s="42">
        <v>4800</v>
      </c>
      <c r="G27" s="42">
        <v>4800</v>
      </c>
      <c r="H27" s="42">
        <v>4800</v>
      </c>
      <c r="I27" s="42">
        <v>4800</v>
      </c>
      <c r="J27" s="42">
        <v>4800</v>
      </c>
      <c r="K27" s="42">
        <v>4800</v>
      </c>
      <c r="L27" s="42"/>
      <c r="M27" s="42"/>
      <c r="N27" s="42"/>
    </row>
    <row r="28" spans="1:14" x14ac:dyDescent="0.2">
      <c r="B28" s="78" t="s">
        <v>3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4" x14ac:dyDescent="0.2">
      <c r="B29" s="78" t="s">
        <v>4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14" x14ac:dyDescent="0.2">
      <c r="B30" s="78" t="s">
        <v>805</v>
      </c>
      <c r="C30" s="42"/>
      <c r="D30" s="42"/>
      <c r="E30" s="42"/>
      <c r="F30" s="42"/>
      <c r="G30" s="42">
        <v>23000</v>
      </c>
      <c r="H30" s="42">
        <v>23000</v>
      </c>
      <c r="I30" s="42">
        <v>23000</v>
      </c>
      <c r="J30" s="42"/>
      <c r="K30" s="42"/>
      <c r="L30" s="42"/>
      <c r="M30" s="42"/>
      <c r="N30" s="42"/>
    </row>
    <row r="31" spans="1:14" x14ac:dyDescent="0.2">
      <c r="B31" s="78" t="s">
        <v>157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4" x14ac:dyDescent="0.2">
      <c r="A32">
        <v>6</v>
      </c>
      <c r="B32" s="78" t="s">
        <v>806</v>
      </c>
      <c r="C32" s="42"/>
      <c r="D32" s="42"/>
      <c r="E32" s="42"/>
      <c r="F32" s="42"/>
      <c r="G32" s="42"/>
      <c r="H32" s="42"/>
      <c r="I32" s="42">
        <v>5000</v>
      </c>
      <c r="J32" s="42"/>
      <c r="K32" s="42"/>
      <c r="L32" s="42"/>
      <c r="M32" s="42"/>
      <c r="N32" s="42"/>
    </row>
    <row r="33" spans="2:14" x14ac:dyDescent="0.2">
      <c r="B33" s="78" t="s">
        <v>152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2:14" x14ac:dyDescent="0.2">
      <c r="B34" s="78" t="s">
        <v>5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2:14" x14ac:dyDescent="0.2">
      <c r="B35" s="78" t="s">
        <v>6</v>
      </c>
      <c r="C35" s="43">
        <f t="shared" ref="C35:N35" si="4">SUM(C26:C34)</f>
        <v>0</v>
      </c>
      <c r="D35" s="43">
        <f t="shared" si="4"/>
        <v>0</v>
      </c>
      <c r="E35" s="43">
        <f t="shared" si="4"/>
        <v>0</v>
      </c>
      <c r="F35" s="43">
        <f t="shared" si="4"/>
        <v>4800</v>
      </c>
      <c r="G35" s="43">
        <f t="shared" si="4"/>
        <v>27800</v>
      </c>
      <c r="H35" s="43">
        <f t="shared" si="4"/>
        <v>27800</v>
      </c>
      <c r="I35" s="43">
        <f t="shared" si="4"/>
        <v>55800</v>
      </c>
      <c r="J35" s="43">
        <f t="shared" si="4"/>
        <v>55800</v>
      </c>
      <c r="K35" s="43">
        <f t="shared" si="4"/>
        <v>55800</v>
      </c>
      <c r="L35" s="43">
        <f t="shared" si="4"/>
        <v>51000</v>
      </c>
      <c r="M35" s="43">
        <f t="shared" si="4"/>
        <v>51000</v>
      </c>
      <c r="N35" s="43">
        <f t="shared" si="4"/>
        <v>51000</v>
      </c>
    </row>
    <row r="36" spans="2:14" ht="13.5" thickBot="1" x14ac:dyDescent="0.25">
      <c r="B36" s="78" t="s">
        <v>7</v>
      </c>
      <c r="C36" s="44"/>
      <c r="D36" s="44"/>
      <c r="E36" s="44"/>
      <c r="F36" s="44">
        <v>4800</v>
      </c>
      <c r="G36" s="44">
        <f>4800+23000</f>
        <v>27800</v>
      </c>
      <c r="H36" s="44">
        <v>4800</v>
      </c>
      <c r="I36" s="44">
        <v>4800</v>
      </c>
      <c r="J36" s="44">
        <v>4800</v>
      </c>
      <c r="K36" s="44">
        <v>4800</v>
      </c>
      <c r="L36" s="44"/>
      <c r="M36" s="44"/>
      <c r="N36" s="44"/>
    </row>
    <row r="37" spans="2:14" ht="15.75" thickBot="1" x14ac:dyDescent="0.25">
      <c r="B37" s="8" t="s">
        <v>111</v>
      </c>
      <c r="C37" s="45">
        <f t="shared" ref="C37:N37" si="5">C35-C36</f>
        <v>0</v>
      </c>
      <c r="D37" s="46">
        <f t="shared" si="5"/>
        <v>0</v>
      </c>
      <c r="E37" s="46">
        <f t="shared" si="5"/>
        <v>0</v>
      </c>
      <c r="F37" s="46">
        <f t="shared" si="5"/>
        <v>0</v>
      </c>
      <c r="G37" s="46">
        <f t="shared" si="5"/>
        <v>0</v>
      </c>
      <c r="H37" s="46">
        <f t="shared" si="5"/>
        <v>23000</v>
      </c>
      <c r="I37" s="46">
        <f t="shared" si="5"/>
        <v>51000</v>
      </c>
      <c r="J37" s="46">
        <f t="shared" si="5"/>
        <v>51000</v>
      </c>
      <c r="K37" s="46">
        <f t="shared" si="5"/>
        <v>51000</v>
      </c>
      <c r="L37" s="46">
        <f t="shared" si="5"/>
        <v>51000</v>
      </c>
      <c r="M37" s="46">
        <f t="shared" si="5"/>
        <v>51000</v>
      </c>
      <c r="N37" s="46">
        <f t="shared" si="5"/>
        <v>51000</v>
      </c>
    </row>
    <row r="38" spans="2:14" x14ac:dyDescent="0.2">
      <c r="K38" t="s">
        <v>802</v>
      </c>
    </row>
    <row r="42" spans="2:14" x14ac:dyDescent="0.2">
      <c r="B42" s="50" t="s">
        <v>0</v>
      </c>
      <c r="C42" s="50" t="s">
        <v>1</v>
      </c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spans="2:14" x14ac:dyDescent="0.2">
      <c r="B43" s="78"/>
      <c r="C43" s="79">
        <v>44197</v>
      </c>
      <c r="D43" s="79">
        <v>44228</v>
      </c>
      <c r="E43" s="79">
        <v>44256</v>
      </c>
      <c r="F43" s="79">
        <v>44287</v>
      </c>
      <c r="G43" s="79">
        <v>44317</v>
      </c>
      <c r="H43" s="79">
        <v>44348</v>
      </c>
      <c r="I43" s="79">
        <v>44378</v>
      </c>
      <c r="J43" s="79">
        <v>44409</v>
      </c>
      <c r="K43" s="79">
        <v>44440</v>
      </c>
      <c r="L43" s="79">
        <v>44470</v>
      </c>
      <c r="M43" s="79">
        <v>44501</v>
      </c>
      <c r="N43" s="79">
        <v>44531</v>
      </c>
    </row>
    <row r="44" spans="2:14" x14ac:dyDescent="0.2">
      <c r="B44" s="78" t="s">
        <v>110</v>
      </c>
      <c r="C44" s="42">
        <v>738</v>
      </c>
      <c r="D44" s="42">
        <f t="shared" ref="D44:N44" si="6">C55</f>
        <v>4000</v>
      </c>
      <c r="E44" s="42">
        <f t="shared" si="6"/>
        <v>0</v>
      </c>
      <c r="F44" s="42">
        <f t="shared" si="6"/>
        <v>0</v>
      </c>
      <c r="G44" s="42">
        <f t="shared" si="6"/>
        <v>4800</v>
      </c>
      <c r="H44" s="42">
        <f t="shared" si="6"/>
        <v>0</v>
      </c>
      <c r="I44" s="42">
        <f t="shared" si="6"/>
        <v>4920</v>
      </c>
      <c r="J44" s="42">
        <f t="shared" si="6"/>
        <v>9840</v>
      </c>
      <c r="K44" s="42">
        <f t="shared" si="6"/>
        <v>16144</v>
      </c>
      <c r="L44" s="42">
        <f t="shared" si="6"/>
        <v>22448</v>
      </c>
      <c r="M44" s="42">
        <f t="shared" si="6"/>
        <v>29752</v>
      </c>
      <c r="N44" s="42">
        <f t="shared" si="6"/>
        <v>37056</v>
      </c>
    </row>
    <row r="45" spans="2:14" x14ac:dyDescent="0.2">
      <c r="B45" s="78" t="s">
        <v>76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2:14" x14ac:dyDescent="0.2">
      <c r="B46" s="78" t="s">
        <v>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2:14" x14ac:dyDescent="0.2">
      <c r="B47" s="78" t="s">
        <v>4</v>
      </c>
      <c r="C47" s="42">
        <v>850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2:14" x14ac:dyDescent="0.2">
      <c r="B48" s="78" t="s">
        <v>183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2:14" x14ac:dyDescent="0.2">
      <c r="B49" s="78" t="s">
        <v>443</v>
      </c>
      <c r="C49" s="42">
        <v>4000</v>
      </c>
      <c r="D49" s="42">
        <v>4000</v>
      </c>
      <c r="E49" s="42">
        <v>4000</v>
      </c>
      <c r="F49" s="42">
        <v>4000</v>
      </c>
      <c r="G49" s="42">
        <v>4800</v>
      </c>
      <c r="H49" s="42">
        <v>3920</v>
      </c>
      <c r="I49" s="42">
        <v>3920</v>
      </c>
      <c r="J49" s="42">
        <v>5304</v>
      </c>
      <c r="K49" s="42">
        <v>5304</v>
      </c>
      <c r="L49" s="42">
        <v>5304</v>
      </c>
      <c r="M49" s="42">
        <v>5304</v>
      </c>
      <c r="N49" s="42">
        <v>5304</v>
      </c>
    </row>
    <row r="50" spans="2:14" x14ac:dyDescent="0.2">
      <c r="B50" s="78" t="s">
        <v>74</v>
      </c>
      <c r="C50" s="42">
        <v>4000</v>
      </c>
      <c r="D50" s="42"/>
      <c r="E50" s="42">
        <v>800</v>
      </c>
      <c r="F50" s="42">
        <v>800</v>
      </c>
      <c r="G50" s="42">
        <v>800</v>
      </c>
      <c r="H50" s="42"/>
      <c r="I50" s="42"/>
      <c r="J50" s="42"/>
      <c r="K50" s="42"/>
      <c r="L50" s="42"/>
      <c r="M50" s="42"/>
      <c r="N50" s="42"/>
    </row>
    <row r="51" spans="2:14" x14ac:dyDescent="0.2">
      <c r="B51" s="78" t="s">
        <v>179</v>
      </c>
      <c r="C51" s="42">
        <v>252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</row>
    <row r="52" spans="2:14" x14ac:dyDescent="0.2">
      <c r="B52" s="78" t="s">
        <v>5</v>
      </c>
      <c r="C52" s="42"/>
      <c r="D52" s="42"/>
      <c r="E52" s="42"/>
      <c r="F52" s="42"/>
      <c r="G52" s="42"/>
      <c r="H52" s="42">
        <v>1000</v>
      </c>
      <c r="I52" s="42">
        <v>1000</v>
      </c>
      <c r="J52" s="42">
        <v>1000</v>
      </c>
      <c r="K52" s="42">
        <v>1000</v>
      </c>
      <c r="L52" s="42">
        <v>2000</v>
      </c>
      <c r="M52" s="42">
        <v>2000</v>
      </c>
      <c r="N52" s="42">
        <v>2000</v>
      </c>
    </row>
    <row r="53" spans="2:14" x14ac:dyDescent="0.2">
      <c r="B53" s="78" t="s">
        <v>6</v>
      </c>
      <c r="C53" s="43">
        <f>SUM(C44:C52)</f>
        <v>9840</v>
      </c>
      <c r="D53" s="43">
        <f t="shared" ref="D53:N53" si="7">SUM(D44:D52)</f>
        <v>8000</v>
      </c>
      <c r="E53" s="43">
        <f t="shared" si="7"/>
        <v>4800</v>
      </c>
      <c r="F53" s="43">
        <f t="shared" si="7"/>
        <v>4800</v>
      </c>
      <c r="G53" s="43">
        <f t="shared" si="7"/>
        <v>10400</v>
      </c>
      <c r="H53" s="43">
        <f t="shared" si="7"/>
        <v>4920</v>
      </c>
      <c r="I53" s="43">
        <f t="shared" si="7"/>
        <v>9840</v>
      </c>
      <c r="J53" s="43">
        <f t="shared" si="7"/>
        <v>16144</v>
      </c>
      <c r="K53" s="43">
        <f t="shared" si="7"/>
        <v>22448</v>
      </c>
      <c r="L53" s="43">
        <f t="shared" si="7"/>
        <v>29752</v>
      </c>
      <c r="M53" s="43">
        <f t="shared" si="7"/>
        <v>37056</v>
      </c>
      <c r="N53" s="43">
        <f t="shared" si="7"/>
        <v>44360</v>
      </c>
    </row>
    <row r="54" spans="2:14" x14ac:dyDescent="0.2">
      <c r="B54" s="78" t="s">
        <v>7</v>
      </c>
      <c r="C54" s="44">
        <v>5840</v>
      </c>
      <c r="D54" s="44">
        <v>8000</v>
      </c>
      <c r="E54" s="44">
        <v>4800</v>
      </c>
      <c r="F54" s="44"/>
      <c r="G54" s="44">
        <v>10400</v>
      </c>
      <c r="H54" s="44"/>
      <c r="I54" s="44"/>
      <c r="J54" s="44"/>
      <c r="K54" s="44"/>
      <c r="L54" s="44">
        <v>0</v>
      </c>
      <c r="M54" s="44"/>
      <c r="N54" s="44">
        <v>20500</v>
      </c>
    </row>
    <row r="55" spans="2:14" x14ac:dyDescent="0.2">
      <c r="B55" s="78" t="s">
        <v>111</v>
      </c>
      <c r="C55" s="43">
        <f>C53-C54</f>
        <v>4000</v>
      </c>
      <c r="D55" s="43">
        <f>D53-D54</f>
        <v>0</v>
      </c>
      <c r="E55" s="43">
        <f t="shared" ref="E55:N55" si="8">E53-E54</f>
        <v>0</v>
      </c>
      <c r="F55" s="43">
        <f t="shared" si="8"/>
        <v>4800</v>
      </c>
      <c r="G55" s="43">
        <f t="shared" si="8"/>
        <v>0</v>
      </c>
      <c r="H55" s="43">
        <f t="shared" si="8"/>
        <v>4920</v>
      </c>
      <c r="I55" s="43">
        <f t="shared" si="8"/>
        <v>9840</v>
      </c>
      <c r="J55" s="43">
        <f t="shared" si="8"/>
        <v>16144</v>
      </c>
      <c r="K55" s="43">
        <f t="shared" si="8"/>
        <v>22448</v>
      </c>
      <c r="L55" s="43">
        <f t="shared" si="8"/>
        <v>29752</v>
      </c>
      <c r="M55" s="43">
        <f t="shared" si="8"/>
        <v>37056</v>
      </c>
      <c r="N55" s="43">
        <f t="shared" si="8"/>
        <v>23860</v>
      </c>
    </row>
  </sheetData>
  <mergeCells count="1">
    <mergeCell ref="C6:H6"/>
  </mergeCells>
  <phoneticPr fontId="4" type="noConversion"/>
  <hyperlinks>
    <hyperlink ref="B5" location="Clientes!A1" display="Volver"/>
  </hyperlinks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5"/>
  <dimension ref="A4:M51"/>
  <sheetViews>
    <sheetView topLeftCell="A34" workbookViewId="0">
      <selection activeCell="F43" sqref="F43"/>
    </sheetView>
  </sheetViews>
  <sheetFormatPr baseColWidth="10" defaultRowHeight="12.75" x14ac:dyDescent="0.2"/>
  <cols>
    <col min="1" max="1" width="31.85546875" bestFit="1" customWidth="1"/>
    <col min="5" max="5" width="12.85546875" bestFit="1" customWidth="1"/>
    <col min="6" max="6" width="12.5703125" bestFit="1" customWidth="1"/>
    <col min="9" max="9" width="13.85546875" bestFit="1" customWidth="1"/>
    <col min="13" max="13" width="12.85546875" bestFit="1" customWidth="1"/>
  </cols>
  <sheetData>
    <row r="4" spans="1:13" x14ac:dyDescent="0.2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2">
      <c r="A5" s="78"/>
      <c r="B5" s="79">
        <v>45292</v>
      </c>
      <c r="C5" s="79">
        <v>45323</v>
      </c>
      <c r="D5" s="79">
        <v>45352</v>
      </c>
      <c r="E5" s="79">
        <v>45383</v>
      </c>
      <c r="F5" s="79">
        <v>45413</v>
      </c>
      <c r="G5" s="79">
        <v>45444</v>
      </c>
      <c r="H5" s="79">
        <v>45474</v>
      </c>
      <c r="I5" s="79">
        <v>45505</v>
      </c>
      <c r="J5" s="79">
        <v>45536</v>
      </c>
      <c r="K5" s="79">
        <v>45566</v>
      </c>
      <c r="L5" s="79">
        <v>45597</v>
      </c>
      <c r="M5" s="79">
        <v>45627</v>
      </c>
    </row>
    <row r="6" spans="1:13" x14ac:dyDescent="0.2">
      <c r="A6" s="78" t="s">
        <v>110</v>
      </c>
      <c r="B6" s="42">
        <v>40000</v>
      </c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60000</v>
      </c>
      <c r="G6" s="42">
        <f t="shared" si="0"/>
        <v>3880</v>
      </c>
      <c r="H6" s="42">
        <f t="shared" si="0"/>
        <v>0</v>
      </c>
      <c r="I6" s="42">
        <f t="shared" si="0"/>
        <v>0</v>
      </c>
      <c r="J6" s="42">
        <f t="shared" si="0"/>
        <v>70000</v>
      </c>
      <c r="K6" s="42">
        <f>J17</f>
        <v>0</v>
      </c>
      <c r="L6" s="42">
        <f t="shared" si="0"/>
        <v>0</v>
      </c>
      <c r="M6" s="42">
        <f t="shared" si="0"/>
        <v>80000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>
        <v>24320</v>
      </c>
      <c r="E8" s="42"/>
      <c r="F8" s="42">
        <f>77120+3880</f>
        <v>81000</v>
      </c>
      <c r="G8" s="42">
        <v>65000</v>
      </c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163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310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40000</v>
      </c>
      <c r="C14" s="42">
        <v>40000</v>
      </c>
      <c r="D14" s="42">
        <v>50000</v>
      </c>
      <c r="E14" s="42">
        <v>60000</v>
      </c>
      <c r="F14" s="42">
        <v>60000</v>
      </c>
      <c r="G14" s="42">
        <v>60000</v>
      </c>
      <c r="H14" s="42">
        <v>60000</v>
      </c>
      <c r="I14" s="42">
        <v>70000</v>
      </c>
      <c r="J14" s="42">
        <v>70000</v>
      </c>
      <c r="K14" s="42">
        <v>70000</v>
      </c>
      <c r="L14" s="42">
        <v>80000</v>
      </c>
      <c r="M14" s="42">
        <v>80000</v>
      </c>
    </row>
    <row r="15" spans="1:13" x14ac:dyDescent="0.2">
      <c r="A15" s="78" t="s">
        <v>6</v>
      </c>
      <c r="B15" s="43">
        <f>SUM(B6:B14)</f>
        <v>80000</v>
      </c>
      <c r="C15" s="43">
        <f t="shared" ref="C15:M15" si="1">SUM(C6:C14)</f>
        <v>40000</v>
      </c>
      <c r="D15" s="43">
        <f t="shared" si="1"/>
        <v>74320</v>
      </c>
      <c r="E15" s="43">
        <f t="shared" si="1"/>
        <v>60000</v>
      </c>
      <c r="F15" s="43">
        <f t="shared" si="1"/>
        <v>201000</v>
      </c>
      <c r="G15" s="43">
        <f t="shared" si="1"/>
        <v>128880</v>
      </c>
      <c r="H15" s="43">
        <f t="shared" si="1"/>
        <v>60000</v>
      </c>
      <c r="I15" s="43">
        <f t="shared" si="1"/>
        <v>70000</v>
      </c>
      <c r="J15" s="43">
        <f>SUM(J6:J14)</f>
        <v>140000</v>
      </c>
      <c r="K15" s="43">
        <f t="shared" si="1"/>
        <v>70000</v>
      </c>
      <c r="L15" s="43">
        <f t="shared" si="1"/>
        <v>80000</v>
      </c>
      <c r="M15" s="43">
        <f t="shared" si="1"/>
        <v>160000</v>
      </c>
    </row>
    <row r="16" spans="1:13" x14ac:dyDescent="0.2">
      <c r="A16" s="78" t="s">
        <v>7</v>
      </c>
      <c r="B16" s="44">
        <v>80000</v>
      </c>
      <c r="C16" s="44">
        <v>40000</v>
      </c>
      <c r="D16" s="44">
        <v>74320</v>
      </c>
      <c r="E16" s="44"/>
      <c r="F16" s="44">
        <v>197120</v>
      </c>
      <c r="G16" s="44">
        <v>128880</v>
      </c>
      <c r="H16" s="44">
        <v>60000</v>
      </c>
      <c r="I16" s="44"/>
      <c r="J16" s="44">
        <v>140000</v>
      </c>
      <c r="K16" s="44">
        <v>70000</v>
      </c>
      <c r="L16" s="44"/>
      <c r="M16" s="44">
        <v>160000</v>
      </c>
    </row>
    <row r="17" spans="1:13" x14ac:dyDescent="0.2">
      <c r="A17" s="7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60000</v>
      </c>
      <c r="F17" s="43">
        <f t="shared" si="2"/>
        <v>3880</v>
      </c>
      <c r="G17" s="43">
        <f t="shared" si="2"/>
        <v>0</v>
      </c>
      <c r="H17" s="43">
        <f t="shared" si="2"/>
        <v>0</v>
      </c>
      <c r="I17" s="43">
        <f t="shared" si="2"/>
        <v>70000</v>
      </c>
      <c r="J17" s="43">
        <f t="shared" si="2"/>
        <v>0</v>
      </c>
      <c r="K17" s="43">
        <f t="shared" si="2"/>
        <v>0</v>
      </c>
      <c r="L17" s="43">
        <f t="shared" si="2"/>
        <v>80000</v>
      </c>
      <c r="M17" s="43">
        <f t="shared" si="2"/>
        <v>0</v>
      </c>
    </row>
    <row r="21" spans="1:13" x14ac:dyDescent="0.2">
      <c r="A21" s="50" t="s">
        <v>0</v>
      </c>
      <c r="B21" s="50" t="s">
        <v>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78"/>
      <c r="B22" s="79">
        <v>45658</v>
      </c>
      <c r="C22" s="79">
        <v>45689</v>
      </c>
      <c r="D22" s="79">
        <v>45717</v>
      </c>
      <c r="E22" s="79">
        <v>45748</v>
      </c>
      <c r="F22" s="79">
        <v>45778</v>
      </c>
      <c r="G22" s="79">
        <v>45809</v>
      </c>
      <c r="H22" s="79">
        <v>45839</v>
      </c>
      <c r="I22" s="79">
        <v>45870</v>
      </c>
      <c r="J22" s="79">
        <v>45901</v>
      </c>
      <c r="K22" s="79">
        <v>45931</v>
      </c>
      <c r="L22" s="79">
        <v>45962</v>
      </c>
      <c r="M22" s="79">
        <v>45992</v>
      </c>
    </row>
    <row r="23" spans="1:13" x14ac:dyDescent="0.2">
      <c r="A23" s="78" t="s">
        <v>110</v>
      </c>
      <c r="B23" s="42"/>
      <c r="C23" s="42">
        <f>B34</f>
        <v>0</v>
      </c>
      <c r="D23" s="42">
        <f t="shared" ref="D23:M23" si="3">C34</f>
        <v>0</v>
      </c>
      <c r="E23" s="42">
        <f t="shared" si="3"/>
        <v>85000</v>
      </c>
      <c r="F23" s="42">
        <f t="shared" si="3"/>
        <v>0</v>
      </c>
      <c r="G23" s="42">
        <f t="shared" si="3"/>
        <v>100000</v>
      </c>
      <c r="H23" s="42">
        <f t="shared" si="3"/>
        <v>0</v>
      </c>
      <c r="I23" s="42">
        <f t="shared" si="3"/>
        <v>110000</v>
      </c>
      <c r="J23" s="42">
        <f t="shared" si="3"/>
        <v>0</v>
      </c>
      <c r="K23" s="42">
        <f t="shared" si="3"/>
        <v>0</v>
      </c>
      <c r="L23" s="42">
        <f t="shared" si="3"/>
        <v>183000</v>
      </c>
      <c r="M23" s="42">
        <f t="shared" si="3"/>
        <v>0</v>
      </c>
    </row>
    <row r="24" spans="1:13" x14ac:dyDescent="0.2">
      <c r="A24" s="78" t="s">
        <v>76</v>
      </c>
      <c r="B24" s="42"/>
      <c r="C24" s="42"/>
      <c r="D24" s="42"/>
      <c r="E24" s="42"/>
      <c r="F24" s="42"/>
      <c r="G24" s="155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>
        <v>10000</v>
      </c>
      <c r="G25" s="42">
        <v>25550</v>
      </c>
      <c r="H25" s="42"/>
      <c r="I25" s="42">
        <v>7500</v>
      </c>
      <c r="J25" s="42">
        <v>11300</v>
      </c>
      <c r="K25" s="42">
        <v>33000</v>
      </c>
      <c r="L25" s="42">
        <v>8200</v>
      </c>
      <c r="M25" s="42">
        <v>9500</v>
      </c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163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310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85000</v>
      </c>
      <c r="C31" s="42">
        <v>85000</v>
      </c>
      <c r="D31" s="42">
        <v>85000</v>
      </c>
      <c r="E31" s="42">
        <v>90000</v>
      </c>
      <c r="F31" s="42">
        <v>90000</v>
      </c>
      <c r="G31" s="42">
        <v>90000</v>
      </c>
      <c r="H31" s="42">
        <v>110000</v>
      </c>
      <c r="I31" s="42">
        <v>110000</v>
      </c>
      <c r="J31" s="42">
        <v>120000</v>
      </c>
      <c r="K31" s="42">
        <v>150000</v>
      </c>
      <c r="L31" s="42">
        <v>150000</v>
      </c>
      <c r="M31" s="42">
        <v>150000</v>
      </c>
    </row>
    <row r="32" spans="1:13" x14ac:dyDescent="0.2">
      <c r="A32" s="78" t="s">
        <v>6</v>
      </c>
      <c r="B32" s="43">
        <f>SUM(B23:B31)</f>
        <v>85000</v>
      </c>
      <c r="C32" s="43">
        <f t="shared" ref="C32:M32" si="4">SUM(C23:C31)</f>
        <v>85000</v>
      </c>
      <c r="D32" s="43">
        <f t="shared" si="4"/>
        <v>85000</v>
      </c>
      <c r="E32" s="43">
        <f t="shared" si="4"/>
        <v>175000</v>
      </c>
      <c r="F32" s="43">
        <f t="shared" si="4"/>
        <v>100000</v>
      </c>
      <c r="G32" s="43">
        <f t="shared" si="4"/>
        <v>215550</v>
      </c>
      <c r="H32" s="43">
        <f t="shared" si="4"/>
        <v>110000</v>
      </c>
      <c r="I32" s="43">
        <f t="shared" si="4"/>
        <v>227500</v>
      </c>
      <c r="J32" s="43">
        <f t="shared" si="4"/>
        <v>131300</v>
      </c>
      <c r="K32" s="43">
        <f t="shared" si="4"/>
        <v>183000</v>
      </c>
      <c r="L32" s="43">
        <f t="shared" si="4"/>
        <v>341200</v>
      </c>
      <c r="M32" s="43">
        <f t="shared" si="4"/>
        <v>159500</v>
      </c>
    </row>
    <row r="33" spans="1:13" x14ac:dyDescent="0.2">
      <c r="A33" s="78" t="s">
        <v>7</v>
      </c>
      <c r="B33" s="44">
        <v>85000</v>
      </c>
      <c r="C33" s="44">
        <v>85000</v>
      </c>
      <c r="D33" s="44"/>
      <c r="E33" s="44">
        <v>175000</v>
      </c>
      <c r="F33" s="44"/>
      <c r="G33" s="44">
        <v>215550</v>
      </c>
      <c r="H33" s="44"/>
      <c r="I33" s="44">
        <v>227500</v>
      </c>
      <c r="J33" s="44">
        <v>131300</v>
      </c>
      <c r="K33" s="44"/>
      <c r="L33" s="44">
        <v>341200</v>
      </c>
      <c r="M33" s="44"/>
    </row>
    <row r="34" spans="1:13" x14ac:dyDescent="0.2">
      <c r="A34" s="78" t="s">
        <v>111</v>
      </c>
      <c r="B34" s="43">
        <f>B32-B33</f>
        <v>0</v>
      </c>
      <c r="C34" s="43">
        <f>C32-C33</f>
        <v>0</v>
      </c>
      <c r="D34" s="43">
        <f t="shared" ref="D34:M34" si="5">D32-D33</f>
        <v>85000</v>
      </c>
      <c r="E34" s="43">
        <f t="shared" si="5"/>
        <v>0</v>
      </c>
      <c r="F34" s="43">
        <f t="shared" si="5"/>
        <v>100000</v>
      </c>
      <c r="G34" s="43">
        <f t="shared" si="5"/>
        <v>0</v>
      </c>
      <c r="H34" s="43">
        <f t="shared" si="5"/>
        <v>110000</v>
      </c>
      <c r="I34" s="43">
        <f t="shared" si="5"/>
        <v>0</v>
      </c>
      <c r="J34" s="43">
        <f t="shared" si="5"/>
        <v>0</v>
      </c>
      <c r="K34" s="43">
        <f t="shared" si="5"/>
        <v>183000</v>
      </c>
      <c r="L34" s="43">
        <f t="shared" si="5"/>
        <v>0</v>
      </c>
      <c r="M34" s="43">
        <f t="shared" si="5"/>
        <v>159500</v>
      </c>
    </row>
    <row r="38" spans="1:13" x14ac:dyDescent="0.2">
      <c r="A38" s="50" t="s">
        <v>0</v>
      </c>
      <c r="B38" s="50" t="s">
        <v>1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1:13" x14ac:dyDescent="0.2">
      <c r="A39" s="78"/>
      <c r="B39" s="79">
        <v>46023</v>
      </c>
      <c r="C39" s="79">
        <v>46054</v>
      </c>
      <c r="D39" s="79">
        <v>46082</v>
      </c>
      <c r="E39" s="79">
        <v>46113</v>
      </c>
      <c r="F39" s="79">
        <v>46143</v>
      </c>
      <c r="G39" s="79">
        <v>46174</v>
      </c>
      <c r="H39" s="79">
        <v>46204</v>
      </c>
      <c r="I39" s="79">
        <v>46235</v>
      </c>
      <c r="J39" s="79">
        <v>46266</v>
      </c>
      <c r="K39" s="79">
        <v>46296</v>
      </c>
      <c r="L39" s="79">
        <v>46327</v>
      </c>
      <c r="M39" s="79">
        <v>46357</v>
      </c>
    </row>
    <row r="40" spans="1:13" x14ac:dyDescent="0.2">
      <c r="A40" s="78" t="s">
        <v>110</v>
      </c>
      <c r="B40" s="42">
        <v>159500</v>
      </c>
      <c r="C40" s="42">
        <f t="shared" ref="C40:M40" si="6">B51</f>
        <v>365500</v>
      </c>
      <c r="D40" s="42">
        <f t="shared" si="6"/>
        <v>0</v>
      </c>
      <c r="E40" s="42">
        <f t="shared" si="6"/>
        <v>0</v>
      </c>
      <c r="F40" s="42">
        <f t="shared" si="6"/>
        <v>0</v>
      </c>
      <c r="G40" s="42">
        <f t="shared" si="6"/>
        <v>199000</v>
      </c>
      <c r="H40" s="42">
        <f t="shared" si="6"/>
        <v>199000</v>
      </c>
      <c r="I40" s="42">
        <f t="shared" si="6"/>
        <v>199000</v>
      </c>
      <c r="J40" s="42">
        <f t="shared" si="6"/>
        <v>199000</v>
      </c>
      <c r="K40" s="42">
        <f t="shared" si="6"/>
        <v>199000</v>
      </c>
      <c r="L40" s="42">
        <f t="shared" si="6"/>
        <v>199000</v>
      </c>
      <c r="M40" s="42">
        <f t="shared" si="6"/>
        <v>199000</v>
      </c>
    </row>
    <row r="41" spans="1:13" x14ac:dyDescent="0.2">
      <c r="A41" s="78" t="s">
        <v>76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3</v>
      </c>
      <c r="B42" s="42">
        <v>26000</v>
      </c>
      <c r="C42" s="42">
        <v>4500</v>
      </c>
      <c r="D42" s="42">
        <v>40000</v>
      </c>
      <c r="E42" s="42">
        <v>22600</v>
      </c>
      <c r="F42" s="42">
        <v>19000</v>
      </c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163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73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310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5</v>
      </c>
      <c r="B48" s="42">
        <v>180000</v>
      </c>
      <c r="C48" s="42">
        <v>180000</v>
      </c>
      <c r="D48" s="42">
        <v>180000</v>
      </c>
      <c r="E48" s="42">
        <v>180000</v>
      </c>
      <c r="F48" s="42">
        <v>180000</v>
      </c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6</v>
      </c>
      <c r="B49" s="43">
        <f>SUM(B40:B48)</f>
        <v>365500</v>
      </c>
      <c r="C49" s="43">
        <f t="shared" ref="C49:M49" si="7">SUM(C40:C48)</f>
        <v>550000</v>
      </c>
      <c r="D49" s="43">
        <f t="shared" si="7"/>
        <v>220000</v>
      </c>
      <c r="E49" s="43">
        <f t="shared" si="7"/>
        <v>202600</v>
      </c>
      <c r="F49" s="43">
        <f t="shared" si="7"/>
        <v>199000</v>
      </c>
      <c r="G49" s="43">
        <f t="shared" si="7"/>
        <v>199000</v>
      </c>
      <c r="H49" s="43">
        <f t="shared" si="7"/>
        <v>199000</v>
      </c>
      <c r="I49" s="43">
        <f t="shared" si="7"/>
        <v>199000</v>
      </c>
      <c r="J49" s="43">
        <f t="shared" si="7"/>
        <v>199000</v>
      </c>
      <c r="K49" s="43">
        <f t="shared" si="7"/>
        <v>199000</v>
      </c>
      <c r="L49" s="43">
        <f t="shared" si="7"/>
        <v>199000</v>
      </c>
      <c r="M49" s="43">
        <f t="shared" si="7"/>
        <v>199000</v>
      </c>
    </row>
    <row r="50" spans="1:13" x14ac:dyDescent="0.2">
      <c r="A50" s="78" t="s">
        <v>7</v>
      </c>
      <c r="B50" s="44"/>
      <c r="C50" s="44">
        <v>550000</v>
      </c>
      <c r="D50" s="44">
        <v>220000</v>
      </c>
      <c r="E50" s="44">
        <v>202600</v>
      </c>
      <c r="F50" s="44"/>
      <c r="G50" s="44"/>
      <c r="H50" s="44"/>
      <c r="I50" s="44"/>
      <c r="J50" s="44"/>
      <c r="K50" s="44"/>
      <c r="L50" s="44"/>
      <c r="M50" s="44"/>
    </row>
    <row r="51" spans="1:13" x14ac:dyDescent="0.2">
      <c r="A51" s="78" t="s">
        <v>111</v>
      </c>
      <c r="B51" s="43">
        <f>B49-B50</f>
        <v>365500</v>
      </c>
      <c r="C51" s="43">
        <f>C49-C50</f>
        <v>0</v>
      </c>
      <c r="D51" s="43">
        <f t="shared" ref="D51:M51" si="8">D49-D50</f>
        <v>0</v>
      </c>
      <c r="E51" s="43">
        <f t="shared" si="8"/>
        <v>0</v>
      </c>
      <c r="F51" s="43">
        <f t="shared" si="8"/>
        <v>199000</v>
      </c>
      <c r="G51" s="43">
        <f t="shared" si="8"/>
        <v>199000</v>
      </c>
      <c r="H51" s="43">
        <f t="shared" si="8"/>
        <v>199000</v>
      </c>
      <c r="I51" s="43">
        <f t="shared" si="8"/>
        <v>199000</v>
      </c>
      <c r="J51" s="43">
        <f t="shared" si="8"/>
        <v>199000</v>
      </c>
      <c r="K51" s="43">
        <f t="shared" si="8"/>
        <v>199000</v>
      </c>
      <c r="L51" s="43">
        <f t="shared" si="8"/>
        <v>199000</v>
      </c>
      <c r="M51" s="43">
        <f t="shared" si="8"/>
        <v>199000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6"/>
  <dimension ref="A2:M31"/>
  <sheetViews>
    <sheetView topLeftCell="A13" workbookViewId="0">
      <selection activeCell="F31" sqref="F31"/>
    </sheetView>
  </sheetViews>
  <sheetFormatPr baseColWidth="10" defaultRowHeight="12.75" x14ac:dyDescent="0.2"/>
  <cols>
    <col min="1" max="1" width="26.5703125" customWidth="1"/>
  </cols>
  <sheetData>
    <row r="2" spans="1:13" ht="15.75" x14ac:dyDescent="0.25">
      <c r="A2" s="31" t="s">
        <v>0</v>
      </c>
      <c r="B2" s="31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x14ac:dyDescent="0.2">
      <c r="A3" s="8"/>
      <c r="B3" s="79">
        <v>45658</v>
      </c>
      <c r="C3" s="79">
        <v>45689</v>
      </c>
      <c r="D3" s="79">
        <v>45717</v>
      </c>
      <c r="E3" s="79">
        <v>45748</v>
      </c>
      <c r="F3" s="79">
        <v>45778</v>
      </c>
      <c r="G3" s="79">
        <v>45809</v>
      </c>
      <c r="H3" s="79">
        <v>45839</v>
      </c>
      <c r="I3" s="79">
        <v>45870</v>
      </c>
      <c r="J3" s="79">
        <v>45901</v>
      </c>
      <c r="K3" s="79">
        <v>45931</v>
      </c>
      <c r="L3" s="79">
        <v>45962</v>
      </c>
      <c r="M3" s="79">
        <v>45992</v>
      </c>
    </row>
    <row r="4" spans="1:13" x14ac:dyDescent="0.2">
      <c r="A4" s="78" t="s">
        <v>110</v>
      </c>
      <c r="B4" s="42"/>
      <c r="C4" s="42">
        <f>B15</f>
        <v>0</v>
      </c>
      <c r="D4" s="42">
        <f t="shared" ref="D4:M4" si="0">C15</f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10000</v>
      </c>
      <c r="K4" s="42">
        <f>J15</f>
        <v>30000</v>
      </c>
      <c r="L4" s="42">
        <f t="shared" si="0"/>
        <v>50000</v>
      </c>
      <c r="M4" s="42">
        <f t="shared" si="0"/>
        <v>70000</v>
      </c>
    </row>
    <row r="5" spans="1:13" x14ac:dyDescent="0.2">
      <c r="A5" s="78" t="s">
        <v>76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>
        <v>36000</v>
      </c>
      <c r="J7" s="42">
        <v>35500</v>
      </c>
      <c r="K7" s="42">
        <v>35500</v>
      </c>
      <c r="L7" s="42">
        <v>35500</v>
      </c>
      <c r="M7" s="42">
        <v>35500</v>
      </c>
    </row>
    <row r="8" spans="1:13" x14ac:dyDescent="0.2">
      <c r="A8" s="78" t="s">
        <v>163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723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722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/>
      <c r="D12" s="42"/>
      <c r="E12" s="42"/>
      <c r="F12" s="42"/>
      <c r="G12" s="42"/>
      <c r="H12" s="42"/>
      <c r="I12" s="42"/>
      <c r="J12" s="42">
        <v>50000</v>
      </c>
      <c r="K12" s="42">
        <v>50000</v>
      </c>
      <c r="L12" s="42">
        <v>50000</v>
      </c>
      <c r="M12" s="42">
        <v>50000</v>
      </c>
    </row>
    <row r="13" spans="1:13" x14ac:dyDescent="0.2">
      <c r="A13" s="78" t="s">
        <v>6</v>
      </c>
      <c r="B13" s="43">
        <f>SUM(B4:B12)</f>
        <v>0</v>
      </c>
      <c r="C13" s="43">
        <f t="shared" ref="C13:M13" si="1">SUM(C4:C12)</f>
        <v>0</v>
      </c>
      <c r="D13" s="43">
        <f t="shared" si="1"/>
        <v>0</v>
      </c>
      <c r="E13" s="43">
        <f t="shared" si="1"/>
        <v>0</v>
      </c>
      <c r="F13" s="43">
        <f t="shared" si="1"/>
        <v>0</v>
      </c>
      <c r="G13" s="43">
        <f t="shared" si="1"/>
        <v>0</v>
      </c>
      <c r="H13" s="43">
        <f t="shared" si="1"/>
        <v>0</v>
      </c>
      <c r="I13" s="43">
        <f t="shared" si="1"/>
        <v>36000</v>
      </c>
      <c r="J13" s="43">
        <f t="shared" si="1"/>
        <v>95500</v>
      </c>
      <c r="K13" s="43">
        <f t="shared" si="1"/>
        <v>115500</v>
      </c>
      <c r="L13" s="43">
        <f t="shared" si="1"/>
        <v>135500</v>
      </c>
      <c r="M13" s="43">
        <f t="shared" si="1"/>
        <v>155500</v>
      </c>
    </row>
    <row r="14" spans="1:13" x14ac:dyDescent="0.2">
      <c r="A14" s="78" t="s">
        <v>7</v>
      </c>
      <c r="B14" s="44"/>
      <c r="C14" s="44"/>
      <c r="D14" s="44"/>
      <c r="E14" s="44"/>
      <c r="F14" s="44"/>
      <c r="G14" s="44"/>
      <c r="H14" s="44"/>
      <c r="I14" s="44">
        <v>26000</v>
      </c>
      <c r="J14" s="44">
        <v>65500</v>
      </c>
      <c r="K14" s="44">
        <v>65500</v>
      </c>
      <c r="L14" s="44">
        <v>65500</v>
      </c>
      <c r="M14" s="44">
        <v>100000</v>
      </c>
    </row>
    <row r="15" spans="1:13" x14ac:dyDescent="0.2">
      <c r="A15" s="78" t="s">
        <v>111</v>
      </c>
      <c r="B15" s="43">
        <f>B13-B14</f>
        <v>0</v>
      </c>
      <c r="C15" s="43">
        <f>C13-C14</f>
        <v>0</v>
      </c>
      <c r="D15" s="43">
        <f t="shared" ref="D15:M15" si="2">D13-D14</f>
        <v>0</v>
      </c>
      <c r="E15" s="43">
        <f t="shared" si="2"/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10000</v>
      </c>
      <c r="J15" s="43">
        <f t="shared" si="2"/>
        <v>30000</v>
      </c>
      <c r="K15" s="43">
        <f t="shared" si="2"/>
        <v>50000</v>
      </c>
      <c r="L15" s="43">
        <f t="shared" si="2"/>
        <v>70000</v>
      </c>
      <c r="M15" s="43">
        <f t="shared" si="2"/>
        <v>55500</v>
      </c>
    </row>
    <row r="18" spans="1:13" ht="15.75" x14ac:dyDescent="0.25">
      <c r="A18" s="31" t="s">
        <v>0</v>
      </c>
      <c r="B18" s="31" t="s">
        <v>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5" x14ac:dyDescent="0.2">
      <c r="A19" s="8"/>
      <c r="B19" s="79">
        <v>46023</v>
      </c>
      <c r="C19" s="79">
        <v>46054</v>
      </c>
      <c r="D19" s="79">
        <v>46082</v>
      </c>
      <c r="E19" s="79">
        <v>46113</v>
      </c>
      <c r="F19" s="79">
        <v>46143</v>
      </c>
      <c r="G19" s="79">
        <v>46174</v>
      </c>
      <c r="H19" s="79">
        <v>46204</v>
      </c>
      <c r="I19" s="79">
        <v>46235</v>
      </c>
      <c r="J19" s="79">
        <v>46266</v>
      </c>
      <c r="K19" s="79">
        <v>46296</v>
      </c>
      <c r="L19" s="79">
        <v>46327</v>
      </c>
      <c r="M19" s="79">
        <v>46357</v>
      </c>
    </row>
    <row r="20" spans="1:13" x14ac:dyDescent="0.2">
      <c r="A20" s="78" t="s">
        <v>110</v>
      </c>
      <c r="B20" s="42">
        <v>55000</v>
      </c>
      <c r="C20" s="42">
        <f t="shared" ref="C20:M20" si="3">B31</f>
        <v>0</v>
      </c>
      <c r="D20" s="42">
        <f t="shared" si="3"/>
        <v>80000</v>
      </c>
      <c r="E20" s="42">
        <f t="shared" si="3"/>
        <v>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76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</v>
      </c>
      <c r="B23" s="42">
        <v>35500</v>
      </c>
      <c r="C23" s="42">
        <v>30000</v>
      </c>
      <c r="D23" s="42">
        <v>30000</v>
      </c>
      <c r="E23" s="42">
        <v>30000</v>
      </c>
      <c r="F23" s="42">
        <v>30000</v>
      </c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163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723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722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50000</v>
      </c>
      <c r="C28" s="42">
        <v>50000</v>
      </c>
      <c r="D28" s="42">
        <v>50000</v>
      </c>
      <c r="E28" s="42">
        <v>50000</v>
      </c>
      <c r="F28" s="42">
        <v>50000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>SUM(B20:B28)</f>
        <v>140500</v>
      </c>
      <c r="C29" s="43">
        <f t="shared" ref="C29:M29" si="4">SUM(C20:C28)</f>
        <v>80000</v>
      </c>
      <c r="D29" s="43">
        <f t="shared" si="4"/>
        <v>160000</v>
      </c>
      <c r="E29" s="43">
        <f t="shared" si="4"/>
        <v>80000</v>
      </c>
      <c r="F29" s="43">
        <f t="shared" si="4"/>
        <v>80000</v>
      </c>
      <c r="G29" s="43">
        <f t="shared" si="4"/>
        <v>0</v>
      </c>
      <c r="H29" s="43">
        <f t="shared" si="4"/>
        <v>0</v>
      </c>
      <c r="I29" s="43">
        <f t="shared" si="4"/>
        <v>0</v>
      </c>
      <c r="J29" s="43">
        <f t="shared" si="4"/>
        <v>0</v>
      </c>
      <c r="K29" s="43">
        <f t="shared" si="4"/>
        <v>0</v>
      </c>
      <c r="L29" s="43">
        <f t="shared" si="4"/>
        <v>0</v>
      </c>
      <c r="M29" s="43">
        <f t="shared" si="4"/>
        <v>0</v>
      </c>
    </row>
    <row r="30" spans="1:13" x14ac:dyDescent="0.2">
      <c r="A30" s="78" t="s">
        <v>7</v>
      </c>
      <c r="B30" s="44">
        <f>65000+50000+25500</f>
        <v>140500</v>
      </c>
      <c r="C30" s="44"/>
      <c r="D30" s="44">
        <v>160000</v>
      </c>
      <c r="E30" s="44">
        <v>80000</v>
      </c>
      <c r="F30" s="44">
        <v>80000</v>
      </c>
      <c r="G30" s="44"/>
      <c r="H30" s="44"/>
      <c r="I30" s="44"/>
      <c r="J30" s="44"/>
      <c r="K30" s="44"/>
      <c r="L30" s="44"/>
      <c r="M30" s="44"/>
    </row>
    <row r="31" spans="1:13" x14ac:dyDescent="0.2">
      <c r="A31" s="78" t="s">
        <v>111</v>
      </c>
      <c r="B31" s="43">
        <f>B29-B30</f>
        <v>0</v>
      </c>
      <c r="C31" s="43">
        <f>C29-C30</f>
        <v>80000</v>
      </c>
      <c r="D31" s="43">
        <f t="shared" ref="D31:M31" si="5">D29-D30</f>
        <v>0</v>
      </c>
      <c r="E31" s="43">
        <f t="shared" si="5"/>
        <v>0</v>
      </c>
      <c r="F31" s="43">
        <f t="shared" si="5"/>
        <v>0</v>
      </c>
      <c r="G31" s="43">
        <f t="shared" si="5"/>
        <v>0</v>
      </c>
      <c r="H31" s="43">
        <f t="shared" si="5"/>
        <v>0</v>
      </c>
      <c r="I31" s="43">
        <f t="shared" si="5"/>
        <v>0</v>
      </c>
      <c r="J31" s="43">
        <f t="shared" si="5"/>
        <v>0</v>
      </c>
      <c r="K31" s="43">
        <f t="shared" si="5"/>
        <v>0</v>
      </c>
      <c r="L31" s="43">
        <f t="shared" si="5"/>
        <v>0</v>
      </c>
      <c r="M31" s="43">
        <f t="shared" si="5"/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6"/>
  <dimension ref="A3:M58"/>
  <sheetViews>
    <sheetView topLeftCell="A13" workbookViewId="0">
      <selection activeCell="F34" sqref="F34"/>
    </sheetView>
  </sheetViews>
  <sheetFormatPr baseColWidth="10" defaultRowHeight="12.75" x14ac:dyDescent="0.2"/>
  <cols>
    <col min="1" max="1" width="27.5703125" customWidth="1"/>
    <col min="6" max="6" width="12.28515625" customWidth="1"/>
    <col min="7" max="7" width="13" customWidth="1"/>
    <col min="8" max="8" width="12.85546875" customWidth="1"/>
    <col min="9" max="9" width="12.28515625" customWidth="1"/>
    <col min="10" max="10" width="12.7109375" customWidth="1"/>
    <col min="11" max="11" width="12.140625" customWidth="1"/>
    <col min="12" max="13" width="12.7109375" customWidth="1"/>
  </cols>
  <sheetData>
    <row r="3" spans="1:13" ht="20.25" x14ac:dyDescent="0.3">
      <c r="A3" s="11" t="s">
        <v>11</v>
      </c>
      <c r="B3" s="216" t="s">
        <v>234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" x14ac:dyDescent="0.2">
      <c r="A6" s="8"/>
      <c r="B6" s="79">
        <v>45658</v>
      </c>
      <c r="C6" s="79">
        <v>45689</v>
      </c>
      <c r="D6" s="79">
        <v>45717</v>
      </c>
      <c r="E6" s="79">
        <v>45748</v>
      </c>
      <c r="F6" s="79">
        <v>45778</v>
      </c>
      <c r="G6" s="79">
        <v>45809</v>
      </c>
      <c r="H6" s="79">
        <v>45839</v>
      </c>
      <c r="I6" s="79">
        <v>45870</v>
      </c>
      <c r="J6" s="79">
        <v>45901</v>
      </c>
      <c r="K6" s="79">
        <v>45931</v>
      </c>
      <c r="L6" s="79">
        <v>45962</v>
      </c>
      <c r="M6" s="79">
        <v>45992</v>
      </c>
    </row>
    <row r="7" spans="1:13" x14ac:dyDescent="0.2">
      <c r="A7" s="78" t="s">
        <v>110</v>
      </c>
      <c r="B7" s="42">
        <v>365650</v>
      </c>
      <c r="C7" s="42">
        <f>B18</f>
        <v>0</v>
      </c>
      <c r="D7" s="42">
        <f t="shared" ref="D7:M7" si="0">C18</f>
        <v>0</v>
      </c>
      <c r="E7" s="42">
        <f t="shared" si="0"/>
        <v>188620</v>
      </c>
      <c r="F7" s="42">
        <f t="shared" si="0"/>
        <v>392820</v>
      </c>
      <c r="G7" s="42">
        <f t="shared" si="0"/>
        <v>-180</v>
      </c>
      <c r="H7" s="42">
        <f t="shared" si="0"/>
        <v>230820</v>
      </c>
      <c r="I7" s="42">
        <f t="shared" si="0"/>
        <v>0</v>
      </c>
      <c r="J7" s="42">
        <f t="shared" si="0"/>
        <v>238200</v>
      </c>
      <c r="K7" s="42">
        <f>J18</f>
        <v>476400</v>
      </c>
      <c r="L7" s="42">
        <f t="shared" si="0"/>
        <v>0</v>
      </c>
      <c r="M7" s="42">
        <f t="shared" si="0"/>
        <v>268200</v>
      </c>
    </row>
    <row r="8" spans="1:13" x14ac:dyDescent="0.2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>
        <v>9500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>
        <v>35000</v>
      </c>
      <c r="C10" s="42">
        <v>35000</v>
      </c>
      <c r="D10" s="42">
        <v>37420</v>
      </c>
      <c r="E10" s="42">
        <v>43000</v>
      </c>
      <c r="F10" s="42">
        <v>49800</v>
      </c>
      <c r="G10" s="42">
        <v>49800</v>
      </c>
      <c r="H10" s="42">
        <v>49800</v>
      </c>
      <c r="I10" s="42">
        <v>48700</v>
      </c>
      <c r="J10" s="42">
        <v>48700</v>
      </c>
      <c r="K10" s="42">
        <v>48700</v>
      </c>
      <c r="L10" s="42">
        <v>48700</v>
      </c>
      <c r="M10" s="42">
        <v>48700</v>
      </c>
    </row>
    <row r="11" spans="1:13" x14ac:dyDescent="0.2">
      <c r="A11" s="78" t="s">
        <v>163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723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>
        <v>36000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722</v>
      </c>
      <c r="B14" s="42">
        <v>24500</v>
      </c>
      <c r="C14" s="42">
        <v>31200</v>
      </c>
      <c r="D14" s="42">
        <v>31200</v>
      </c>
      <c r="E14" s="42">
        <v>31200</v>
      </c>
      <c r="F14" s="42">
        <v>31200</v>
      </c>
      <c r="G14" s="42">
        <v>31200</v>
      </c>
      <c r="H14" s="42">
        <v>31200</v>
      </c>
      <c r="I14" s="42">
        <v>39500</v>
      </c>
      <c r="J14" s="42">
        <v>39500</v>
      </c>
      <c r="K14" s="42">
        <v>39500</v>
      </c>
      <c r="L14" s="42">
        <v>39500</v>
      </c>
      <c r="M14" s="42">
        <v>39500</v>
      </c>
    </row>
    <row r="15" spans="1:13" x14ac:dyDescent="0.2">
      <c r="A15" s="78" t="s">
        <v>5</v>
      </c>
      <c r="B15" s="42">
        <v>120000</v>
      </c>
      <c r="C15" s="42">
        <v>120000</v>
      </c>
      <c r="D15" s="42">
        <v>120000</v>
      </c>
      <c r="E15" s="42">
        <v>130000</v>
      </c>
      <c r="F15" s="42">
        <v>130000</v>
      </c>
      <c r="G15" s="42">
        <v>150000</v>
      </c>
      <c r="H15" s="42">
        <v>150000</v>
      </c>
      <c r="I15" s="42">
        <v>150000</v>
      </c>
      <c r="J15" s="42">
        <v>150000</v>
      </c>
      <c r="K15" s="42">
        <v>160000</v>
      </c>
      <c r="L15" s="42">
        <v>180000</v>
      </c>
      <c r="M15" s="42">
        <v>200000</v>
      </c>
    </row>
    <row r="16" spans="1:13" x14ac:dyDescent="0.2">
      <c r="A16" s="78" t="s">
        <v>6</v>
      </c>
      <c r="B16" s="43">
        <f>SUM(B7:B15)</f>
        <v>554650</v>
      </c>
      <c r="C16" s="43">
        <f t="shared" ref="C16:M16" si="1">SUM(C7:C15)</f>
        <v>186200</v>
      </c>
      <c r="D16" s="43">
        <f t="shared" si="1"/>
        <v>188620</v>
      </c>
      <c r="E16" s="43">
        <f t="shared" si="1"/>
        <v>392820</v>
      </c>
      <c r="F16" s="43">
        <f t="shared" si="1"/>
        <v>639820</v>
      </c>
      <c r="G16" s="43">
        <f t="shared" si="1"/>
        <v>230820</v>
      </c>
      <c r="H16" s="43">
        <f t="shared" si="1"/>
        <v>461820</v>
      </c>
      <c r="I16" s="43">
        <f t="shared" si="1"/>
        <v>238200</v>
      </c>
      <c r="J16" s="43">
        <f t="shared" si="1"/>
        <v>476400</v>
      </c>
      <c r="K16" s="43">
        <f t="shared" si="1"/>
        <v>724600</v>
      </c>
      <c r="L16" s="43">
        <f t="shared" si="1"/>
        <v>268200</v>
      </c>
      <c r="M16" s="43">
        <f t="shared" si="1"/>
        <v>556400</v>
      </c>
    </row>
    <row r="17" spans="1:13" x14ac:dyDescent="0.2">
      <c r="A17" s="78" t="s">
        <v>7</v>
      </c>
      <c r="B17" s="44">
        <v>554650</v>
      </c>
      <c r="C17" s="44">
        <v>186200</v>
      </c>
      <c r="D17" s="44"/>
      <c r="E17" s="44"/>
      <c r="F17" s="44">
        <v>640000</v>
      </c>
      <c r="G17" s="44"/>
      <c r="H17" s="44">
        <v>461820</v>
      </c>
      <c r="I17" s="44"/>
      <c r="J17" s="44"/>
      <c r="K17" s="44">
        <v>724600</v>
      </c>
      <c r="L17" s="44"/>
      <c r="M17" s="44">
        <v>556400</v>
      </c>
    </row>
    <row r="18" spans="1:13" x14ac:dyDescent="0.2">
      <c r="A18" s="78" t="s">
        <v>111</v>
      </c>
      <c r="B18" s="43">
        <f>B16-B17</f>
        <v>0</v>
      </c>
      <c r="C18" s="43">
        <f>C16-C17</f>
        <v>0</v>
      </c>
      <c r="D18" s="43">
        <f t="shared" ref="D18:M18" si="2">D16-D17</f>
        <v>188620</v>
      </c>
      <c r="E18" s="43">
        <f t="shared" si="2"/>
        <v>392820</v>
      </c>
      <c r="F18" s="43">
        <f t="shared" si="2"/>
        <v>-180</v>
      </c>
      <c r="G18" s="43">
        <f t="shared" si="2"/>
        <v>230820</v>
      </c>
      <c r="H18" s="43">
        <f t="shared" si="2"/>
        <v>0</v>
      </c>
      <c r="I18" s="43">
        <f t="shared" si="2"/>
        <v>238200</v>
      </c>
      <c r="J18" s="43">
        <f t="shared" si="2"/>
        <v>476400</v>
      </c>
      <c r="K18" s="43">
        <f t="shared" si="2"/>
        <v>0</v>
      </c>
      <c r="L18" s="43">
        <f t="shared" si="2"/>
        <v>268200</v>
      </c>
      <c r="M18" s="43">
        <f t="shared" si="2"/>
        <v>0</v>
      </c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2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50" t="s">
        <v>0</v>
      </c>
      <c r="B22" s="50" t="s">
        <v>1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9">
        <v>46023</v>
      </c>
      <c r="C23" s="79">
        <v>46054</v>
      </c>
      <c r="D23" s="79">
        <v>46082</v>
      </c>
      <c r="E23" s="79">
        <v>46113</v>
      </c>
      <c r="F23" s="79">
        <v>46143</v>
      </c>
      <c r="G23" s="79">
        <v>46174</v>
      </c>
      <c r="H23" s="79">
        <v>46204</v>
      </c>
      <c r="I23" s="79">
        <v>46235</v>
      </c>
      <c r="J23" s="79">
        <v>46266</v>
      </c>
      <c r="K23" s="79">
        <v>46296</v>
      </c>
      <c r="L23" s="79">
        <v>46327</v>
      </c>
      <c r="M23" s="79">
        <v>46357</v>
      </c>
    </row>
    <row r="24" spans="1:13" x14ac:dyDescent="0.2">
      <c r="A24" s="78" t="s">
        <v>110</v>
      </c>
      <c r="B24" s="42"/>
      <c r="C24" s="42">
        <f t="shared" ref="C24:M24" si="3">B35</f>
        <v>0</v>
      </c>
      <c r="D24" s="42">
        <f t="shared" si="3"/>
        <v>297260</v>
      </c>
      <c r="E24" s="42">
        <f t="shared" si="3"/>
        <v>0</v>
      </c>
      <c r="F24" s="42">
        <f t="shared" si="3"/>
        <v>347300</v>
      </c>
      <c r="G24" s="42">
        <f t="shared" si="3"/>
        <v>694600</v>
      </c>
      <c r="H24" s="42">
        <f t="shared" si="3"/>
        <v>694600</v>
      </c>
      <c r="I24" s="42">
        <f t="shared" si="3"/>
        <v>694600</v>
      </c>
      <c r="J24" s="42">
        <f t="shared" si="3"/>
        <v>694600</v>
      </c>
      <c r="K24" s="42">
        <f t="shared" si="3"/>
        <v>694600</v>
      </c>
      <c r="L24" s="42">
        <f t="shared" si="3"/>
        <v>694600</v>
      </c>
      <c r="M24" s="42">
        <f t="shared" si="3"/>
        <v>694600</v>
      </c>
    </row>
    <row r="25" spans="1:13" x14ac:dyDescent="0.2">
      <c r="A25" s="78" t="s">
        <v>280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47600</v>
      </c>
      <c r="C27" s="42">
        <v>45960</v>
      </c>
      <c r="D27" s="42">
        <v>46000</v>
      </c>
      <c r="E27" s="42">
        <v>46000</v>
      </c>
      <c r="F27" s="42">
        <v>46000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598</v>
      </c>
      <c r="B28" s="42">
        <v>51300</v>
      </c>
      <c r="C28" s="42">
        <v>51300</v>
      </c>
      <c r="D28" s="42">
        <v>51300</v>
      </c>
      <c r="E28" s="42">
        <v>51300</v>
      </c>
      <c r="F28" s="42">
        <v>51300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348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302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200000</v>
      </c>
      <c r="C32" s="42">
        <v>200000</v>
      </c>
      <c r="D32" s="42">
        <v>210000</v>
      </c>
      <c r="E32" s="42">
        <v>250000</v>
      </c>
      <c r="F32" s="42">
        <v>250000</v>
      </c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>SUM(B24:B32)</f>
        <v>298900</v>
      </c>
      <c r="C33" s="43">
        <f t="shared" ref="C33:M33" si="4">SUM(C24:C32)</f>
        <v>297260</v>
      </c>
      <c r="D33" s="43">
        <f t="shared" si="4"/>
        <v>604560</v>
      </c>
      <c r="E33" s="43">
        <f t="shared" si="4"/>
        <v>347300</v>
      </c>
      <c r="F33" s="43">
        <f t="shared" si="4"/>
        <v>694600</v>
      </c>
      <c r="G33" s="43">
        <f t="shared" si="4"/>
        <v>694600</v>
      </c>
      <c r="H33" s="43">
        <f t="shared" si="4"/>
        <v>694600</v>
      </c>
      <c r="I33" s="43">
        <f t="shared" si="4"/>
        <v>694600</v>
      </c>
      <c r="J33" s="43">
        <f t="shared" si="4"/>
        <v>694600</v>
      </c>
      <c r="K33" s="43">
        <f t="shared" si="4"/>
        <v>694600</v>
      </c>
      <c r="L33" s="43">
        <f t="shared" si="4"/>
        <v>694600</v>
      </c>
      <c r="M33" s="43">
        <f t="shared" si="4"/>
        <v>694600</v>
      </c>
    </row>
    <row r="34" spans="1:13" x14ac:dyDescent="0.2">
      <c r="A34" s="78" t="s">
        <v>7</v>
      </c>
      <c r="B34" s="44">
        <v>298900</v>
      </c>
      <c r="C34" s="44"/>
      <c r="D34" s="44">
        <v>604560</v>
      </c>
      <c r="E34" s="44"/>
      <c r="F34" s="44"/>
      <c r="G34" s="44"/>
      <c r="H34" s="44"/>
      <c r="I34" s="44"/>
      <c r="J34" s="44"/>
      <c r="K34" s="44"/>
      <c r="L34" s="44"/>
      <c r="M34" s="44"/>
    </row>
    <row r="35" spans="1:13" x14ac:dyDescent="0.2">
      <c r="A35" s="78" t="s">
        <v>111</v>
      </c>
      <c r="B35" s="43">
        <f t="shared" ref="B35:H35" si="5">B33-B34</f>
        <v>0</v>
      </c>
      <c r="C35" s="43">
        <f t="shared" si="5"/>
        <v>297260</v>
      </c>
      <c r="D35" s="43">
        <f t="shared" si="5"/>
        <v>0</v>
      </c>
      <c r="E35" s="43">
        <f t="shared" si="5"/>
        <v>347300</v>
      </c>
      <c r="F35" s="43">
        <f t="shared" si="5"/>
        <v>694600</v>
      </c>
      <c r="G35" s="43">
        <f t="shared" si="5"/>
        <v>694600</v>
      </c>
      <c r="H35" s="43">
        <f t="shared" si="5"/>
        <v>694600</v>
      </c>
      <c r="I35" s="43">
        <f>I33-I34</f>
        <v>694600</v>
      </c>
      <c r="J35" s="43">
        <f>J33-J34</f>
        <v>694600</v>
      </c>
      <c r="K35" s="43">
        <f>K33-K34</f>
        <v>694600</v>
      </c>
      <c r="L35" s="43">
        <f>L33-L34</f>
        <v>694600</v>
      </c>
      <c r="M35" s="43">
        <f>M33-M34</f>
        <v>694600</v>
      </c>
    </row>
    <row r="36" spans="1:13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x14ac:dyDescent="0.2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x14ac:dyDescent="0.2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1:13" x14ac:dyDescent="0.2">
      <c r="A39" s="50" t="s">
        <v>0</v>
      </c>
      <c r="B39" s="50" t="s">
        <v>1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x14ac:dyDescent="0.2">
      <c r="A40" s="78"/>
      <c r="B40" s="79">
        <v>45292</v>
      </c>
      <c r="C40" s="79">
        <v>45323</v>
      </c>
      <c r="D40" s="79">
        <v>45352</v>
      </c>
      <c r="E40" s="79">
        <v>45383</v>
      </c>
      <c r="F40" s="79">
        <v>45413</v>
      </c>
      <c r="G40" s="79">
        <v>45444</v>
      </c>
      <c r="H40" s="79">
        <v>45474</v>
      </c>
      <c r="I40" s="79">
        <v>45505</v>
      </c>
      <c r="J40" s="79">
        <v>45536</v>
      </c>
      <c r="K40" s="79">
        <v>45566</v>
      </c>
      <c r="L40" s="79">
        <v>45597</v>
      </c>
      <c r="M40" s="79">
        <v>45627</v>
      </c>
    </row>
    <row r="41" spans="1:13" x14ac:dyDescent="0.2">
      <c r="A41" s="78" t="s">
        <v>110</v>
      </c>
      <c r="B41" s="42"/>
      <c r="C41" s="42">
        <f t="shared" ref="C41:M41" si="6">B52</f>
        <v>0</v>
      </c>
      <c r="D41" s="42">
        <f t="shared" si="6"/>
        <v>0</v>
      </c>
      <c r="E41" s="42">
        <f t="shared" si="6"/>
        <v>0</v>
      </c>
      <c r="F41" s="42">
        <f t="shared" si="6"/>
        <v>124940</v>
      </c>
      <c r="G41" s="42">
        <f t="shared" si="6"/>
        <v>9260</v>
      </c>
      <c r="H41" s="42">
        <f t="shared" si="6"/>
        <v>0</v>
      </c>
      <c r="I41" s="42">
        <f t="shared" si="6"/>
        <v>143180</v>
      </c>
      <c r="J41" s="42">
        <f t="shared" si="6"/>
        <v>0</v>
      </c>
      <c r="K41" s="42">
        <f t="shared" si="6"/>
        <v>173600</v>
      </c>
      <c r="L41" s="42">
        <f t="shared" si="6"/>
        <v>0</v>
      </c>
      <c r="M41" s="42">
        <f t="shared" si="6"/>
        <v>184000</v>
      </c>
    </row>
    <row r="42" spans="1:13" x14ac:dyDescent="0.2">
      <c r="A42" s="78" t="s">
        <v>280</v>
      </c>
      <c r="B42" s="42"/>
      <c r="C42" s="42">
        <v>4700</v>
      </c>
      <c r="D42" s="42">
        <v>4700</v>
      </c>
      <c r="E42" s="42">
        <v>9260</v>
      </c>
      <c r="F42" s="42">
        <v>9260</v>
      </c>
      <c r="G42" s="42">
        <v>9260</v>
      </c>
      <c r="H42" s="42">
        <v>9500</v>
      </c>
      <c r="I42" s="42">
        <v>9500</v>
      </c>
      <c r="J42" s="42">
        <v>9500</v>
      </c>
      <c r="K42" s="42">
        <v>9500</v>
      </c>
      <c r="L42" s="42">
        <v>9500</v>
      </c>
      <c r="M42" s="42">
        <v>9500</v>
      </c>
    </row>
    <row r="43" spans="1:13" x14ac:dyDescent="0.2">
      <c r="A43" s="78" t="s">
        <v>3</v>
      </c>
      <c r="B43" s="42"/>
      <c r="C43" s="42"/>
      <c r="D43" s="42">
        <v>4700</v>
      </c>
      <c r="E43" s="130"/>
      <c r="F43" s="130"/>
      <c r="G43" s="130"/>
      <c r="H43" s="130"/>
      <c r="I43" s="130"/>
      <c r="J43" s="42"/>
      <c r="K43" s="42"/>
      <c r="L43" s="42"/>
      <c r="M43" s="42"/>
    </row>
    <row r="44" spans="1:13" x14ac:dyDescent="0.2">
      <c r="A44" s="78" t="s">
        <v>4</v>
      </c>
      <c r="B44" s="42">
        <v>19200</v>
      </c>
      <c r="C44" s="42">
        <v>15000</v>
      </c>
      <c r="D44" s="42">
        <v>18000</v>
      </c>
      <c r="E44" s="42">
        <v>18000</v>
      </c>
      <c r="F44" s="42">
        <v>20136</v>
      </c>
      <c r="G44" s="42">
        <v>20230</v>
      </c>
      <c r="H44" s="42">
        <v>21000</v>
      </c>
      <c r="I44" s="42">
        <f>23000+16600</f>
        <v>39600</v>
      </c>
      <c r="J44" s="42">
        <v>39600</v>
      </c>
      <c r="K44" s="42">
        <v>39800</v>
      </c>
      <c r="L44" s="42">
        <v>40000</v>
      </c>
      <c r="M44" s="42">
        <v>37650</v>
      </c>
    </row>
    <row r="45" spans="1:13" x14ac:dyDescent="0.2">
      <c r="A45" s="78" t="s">
        <v>347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348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565</v>
      </c>
      <c r="B47" s="42">
        <f>13050+4630</f>
        <v>17680</v>
      </c>
      <c r="C47" s="42">
        <v>17680</v>
      </c>
      <c r="D47" s="42">
        <v>17680</v>
      </c>
      <c r="E47" s="42">
        <v>17680</v>
      </c>
      <c r="F47" s="42">
        <v>17680</v>
      </c>
      <c r="G47" s="42">
        <v>17680</v>
      </c>
      <c r="H47" s="42">
        <v>17680</v>
      </c>
      <c r="I47" s="42">
        <f>14700+9800</f>
        <v>24500</v>
      </c>
      <c r="J47" s="42">
        <v>24500</v>
      </c>
      <c r="K47" s="42">
        <v>24500</v>
      </c>
      <c r="L47" s="42">
        <v>24500</v>
      </c>
      <c r="M47" s="42">
        <v>24500</v>
      </c>
    </row>
    <row r="48" spans="1:13" x14ac:dyDescent="0.2">
      <c r="A48" s="78" t="s">
        <v>302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5</v>
      </c>
      <c r="B49" s="42">
        <v>65000</v>
      </c>
      <c r="C49" s="42">
        <v>70000</v>
      </c>
      <c r="D49" s="42">
        <v>75000</v>
      </c>
      <c r="E49" s="42">
        <v>80000</v>
      </c>
      <c r="F49" s="42">
        <v>80000</v>
      </c>
      <c r="G49" s="42">
        <v>85000</v>
      </c>
      <c r="H49" s="42">
        <v>95000</v>
      </c>
      <c r="I49" s="42">
        <v>100000</v>
      </c>
      <c r="J49" s="42">
        <v>100000</v>
      </c>
      <c r="K49" s="42">
        <v>100000</v>
      </c>
      <c r="L49" s="42">
        <v>110000</v>
      </c>
      <c r="M49" s="42">
        <v>110000</v>
      </c>
    </row>
    <row r="50" spans="1:13" x14ac:dyDescent="0.2">
      <c r="A50" s="78" t="s">
        <v>6</v>
      </c>
      <c r="B50" s="43">
        <f>SUM(B41:B49)</f>
        <v>101880</v>
      </c>
      <c r="C50" s="43">
        <f t="shared" ref="C50:M50" si="7">SUM(C41:C49)</f>
        <v>107380</v>
      </c>
      <c r="D50" s="43">
        <f t="shared" si="7"/>
        <v>120080</v>
      </c>
      <c r="E50" s="43">
        <f t="shared" si="7"/>
        <v>124940</v>
      </c>
      <c r="F50" s="43">
        <f t="shared" si="7"/>
        <v>252016</v>
      </c>
      <c r="G50" s="43">
        <f t="shared" si="7"/>
        <v>141430</v>
      </c>
      <c r="H50" s="43">
        <f t="shared" si="7"/>
        <v>143180</v>
      </c>
      <c r="I50" s="43">
        <f t="shared" si="7"/>
        <v>316780</v>
      </c>
      <c r="J50" s="43">
        <f t="shared" si="7"/>
        <v>173600</v>
      </c>
      <c r="K50" s="43">
        <f t="shared" si="7"/>
        <v>347400</v>
      </c>
      <c r="L50" s="43">
        <f t="shared" si="7"/>
        <v>184000</v>
      </c>
      <c r="M50" s="43">
        <f t="shared" si="7"/>
        <v>365650</v>
      </c>
    </row>
    <row r="51" spans="1:13" x14ac:dyDescent="0.2">
      <c r="A51" s="78" t="s">
        <v>7</v>
      </c>
      <c r="B51" s="44">
        <v>101880</v>
      </c>
      <c r="C51" s="44">
        <v>107380</v>
      </c>
      <c r="D51" s="44">
        <v>120080</v>
      </c>
      <c r="E51" s="44"/>
      <c r="F51" s="44">
        <v>242756</v>
      </c>
      <c r="G51" s="44">
        <v>141430</v>
      </c>
      <c r="H51" s="44"/>
      <c r="I51" s="44">
        <v>316780</v>
      </c>
      <c r="J51" s="44"/>
      <c r="K51" s="44">
        <v>347400</v>
      </c>
      <c r="L51" s="44"/>
      <c r="M51" s="44"/>
    </row>
    <row r="52" spans="1:13" x14ac:dyDescent="0.2">
      <c r="A52" s="78" t="s">
        <v>111</v>
      </c>
      <c r="B52" s="43">
        <f t="shared" ref="B52:H52" si="8">B50-B51</f>
        <v>0</v>
      </c>
      <c r="C52" s="43">
        <f t="shared" si="8"/>
        <v>0</v>
      </c>
      <c r="D52" s="43">
        <f t="shared" si="8"/>
        <v>0</v>
      </c>
      <c r="E52" s="43">
        <f t="shared" si="8"/>
        <v>124940</v>
      </c>
      <c r="F52" s="43">
        <f t="shared" si="8"/>
        <v>9260</v>
      </c>
      <c r="G52" s="43">
        <f t="shared" si="8"/>
        <v>0</v>
      </c>
      <c r="H52" s="43">
        <f t="shared" si="8"/>
        <v>143180</v>
      </c>
      <c r="I52" s="43">
        <f>I50-I51</f>
        <v>0</v>
      </c>
      <c r="J52" s="43">
        <f>J50-J51</f>
        <v>173600</v>
      </c>
      <c r="K52" s="43">
        <f>K50-K51</f>
        <v>0</v>
      </c>
      <c r="L52" s="43">
        <f>L50-L51</f>
        <v>184000</v>
      </c>
      <c r="M52" s="43">
        <f>M50-M51</f>
        <v>365650</v>
      </c>
    </row>
    <row r="56" spans="1:13" x14ac:dyDescent="0.2">
      <c r="F56">
        <v>32000</v>
      </c>
    </row>
    <row r="57" spans="1:13" x14ac:dyDescent="0.2">
      <c r="F57">
        <f>1400+29651</f>
        <v>31051</v>
      </c>
    </row>
    <row r="58" spans="1:13" x14ac:dyDescent="0.2">
      <c r="C58" s="55"/>
      <c r="F58">
        <f>+F56-F57</f>
        <v>949</v>
      </c>
    </row>
  </sheetData>
  <mergeCells count="1">
    <mergeCell ref="B3:G3"/>
  </mergeCell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7"/>
  <dimension ref="B2:N37"/>
  <sheetViews>
    <sheetView topLeftCell="A10" workbookViewId="0">
      <selection activeCell="G19" sqref="G19"/>
    </sheetView>
  </sheetViews>
  <sheetFormatPr baseColWidth="10" defaultRowHeight="12.75" x14ac:dyDescent="0.2"/>
  <cols>
    <col min="1" max="1" width="1.85546875" customWidth="1"/>
    <col min="2" max="2" width="31" customWidth="1"/>
    <col min="3" max="3" width="11.28515625" customWidth="1"/>
    <col min="4" max="4" width="12.140625" bestFit="1" customWidth="1"/>
    <col min="7" max="7" width="12.140625" bestFit="1" customWidth="1"/>
    <col min="13" max="13" width="12.85546875" bestFit="1" customWidth="1"/>
    <col min="14" max="14" width="12.140625" bestFit="1" customWidth="1"/>
  </cols>
  <sheetData>
    <row r="2" spans="2:14" x14ac:dyDescent="0.2">
      <c r="J2" s="154"/>
      <c r="K2" s="154"/>
      <c r="L2" s="154"/>
    </row>
    <row r="3" spans="2:14" x14ac:dyDescent="0.2">
      <c r="J3" s="154"/>
      <c r="K3" s="154"/>
      <c r="L3" s="154"/>
    </row>
    <row r="4" spans="2:14" ht="20.25" x14ac:dyDescent="0.3">
      <c r="B4" s="11" t="s">
        <v>11</v>
      </c>
      <c r="C4" s="216" t="s">
        <v>38</v>
      </c>
      <c r="D4" s="216"/>
      <c r="E4" s="216"/>
      <c r="F4" s="216"/>
      <c r="G4" s="216"/>
      <c r="H4" s="216"/>
      <c r="I4" s="2"/>
      <c r="J4" s="186"/>
      <c r="K4" s="186"/>
      <c r="L4" s="186"/>
      <c r="M4" s="2"/>
      <c r="N4" s="2"/>
    </row>
    <row r="5" spans="2:14" ht="20.25" x14ac:dyDescent="0.3">
      <c r="B5" s="2"/>
      <c r="C5" s="2"/>
      <c r="D5" s="2"/>
      <c r="E5" s="2"/>
      <c r="F5" s="2"/>
      <c r="G5" s="2"/>
      <c r="H5" s="2"/>
      <c r="I5" s="2"/>
      <c r="J5" s="186"/>
      <c r="K5" s="186"/>
      <c r="L5" s="186"/>
      <c r="M5" s="2"/>
      <c r="N5" s="2"/>
    </row>
    <row r="6" spans="2:14" ht="15.75" x14ac:dyDescent="0.25">
      <c r="B6" s="31" t="s">
        <v>0</v>
      </c>
      <c r="C6" s="31" t="s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x14ac:dyDescent="0.2">
      <c r="B7" s="65"/>
      <c r="C7" s="68">
        <v>46023</v>
      </c>
      <c r="D7" s="68">
        <v>46054</v>
      </c>
      <c r="E7" s="68">
        <v>46082</v>
      </c>
      <c r="F7" s="68">
        <v>46113</v>
      </c>
      <c r="G7" s="68">
        <v>46143</v>
      </c>
      <c r="H7" s="68">
        <v>46174</v>
      </c>
      <c r="I7" s="68">
        <v>46204</v>
      </c>
      <c r="J7" s="68">
        <v>46235</v>
      </c>
      <c r="K7" s="68">
        <v>46266</v>
      </c>
      <c r="L7" s="68">
        <v>46296</v>
      </c>
      <c r="M7" s="68">
        <v>46327</v>
      </c>
      <c r="N7" s="68">
        <v>46357</v>
      </c>
    </row>
    <row r="8" spans="2:14" x14ac:dyDescent="0.2">
      <c r="B8" s="65" t="s">
        <v>110</v>
      </c>
      <c r="C8" s="69"/>
      <c r="D8" s="69">
        <f>C19</f>
        <v>-25</v>
      </c>
      <c r="E8" s="69">
        <f t="shared" ref="E8:N8" si="0">D19</f>
        <v>340</v>
      </c>
      <c r="F8" s="69">
        <f t="shared" si="0"/>
        <v>0</v>
      </c>
      <c r="G8" s="69">
        <f t="shared" si="0"/>
        <v>0</v>
      </c>
      <c r="H8" s="69">
        <f t="shared" si="0"/>
        <v>-1255</v>
      </c>
      <c r="I8" s="69">
        <f t="shared" si="0"/>
        <v>-1255</v>
      </c>
      <c r="J8" s="69">
        <f t="shared" si="0"/>
        <v>-1255</v>
      </c>
      <c r="K8" s="69">
        <f t="shared" si="0"/>
        <v>-1255</v>
      </c>
      <c r="L8" s="69">
        <f>K19</f>
        <v>-1255</v>
      </c>
      <c r="M8" s="69">
        <f t="shared" si="0"/>
        <v>-1255</v>
      </c>
      <c r="N8" s="69">
        <f t="shared" si="0"/>
        <v>-1255</v>
      </c>
    </row>
    <row r="9" spans="2:14" x14ac:dyDescent="0.2">
      <c r="B9" s="65" t="s">
        <v>76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</row>
    <row r="10" spans="2:14" x14ac:dyDescent="0.2">
      <c r="B10" s="65" t="s">
        <v>3</v>
      </c>
      <c r="C10" s="69"/>
      <c r="D10" s="69"/>
      <c r="E10" s="69"/>
      <c r="F10" s="69"/>
      <c r="G10" s="69">
        <f>37000</f>
        <v>37000</v>
      </c>
      <c r="H10" s="69"/>
      <c r="I10" s="69"/>
      <c r="J10" s="69"/>
      <c r="K10" s="69"/>
      <c r="L10" s="69"/>
      <c r="M10" s="69"/>
      <c r="N10" s="69"/>
    </row>
    <row r="11" spans="2:14" x14ac:dyDescent="0.2">
      <c r="B11" s="65" t="s">
        <v>4</v>
      </c>
      <c r="C11" s="69">
        <v>185380</v>
      </c>
      <c r="D11" s="69">
        <v>183645</v>
      </c>
      <c r="E11" s="69">
        <v>71000</v>
      </c>
      <c r="F11" s="69">
        <v>105300</v>
      </c>
      <c r="G11" s="69">
        <v>100000</v>
      </c>
      <c r="H11" s="69"/>
      <c r="I11" s="69"/>
      <c r="J11" s="69"/>
      <c r="K11" s="69"/>
      <c r="L11" s="69"/>
      <c r="M11" s="69"/>
      <c r="N11" s="69"/>
    </row>
    <row r="12" spans="2:14" x14ac:dyDescent="0.2">
      <c r="B12" s="65" t="s">
        <v>559</v>
      </c>
      <c r="C12" s="69">
        <v>56745</v>
      </c>
      <c r="D12" s="69">
        <v>56745</v>
      </c>
      <c r="E12" s="69">
        <v>56745</v>
      </c>
      <c r="F12" s="69">
        <v>56745</v>
      </c>
      <c r="G12" s="69">
        <v>56745</v>
      </c>
      <c r="H12" s="69"/>
      <c r="I12" s="69"/>
      <c r="J12" s="69"/>
      <c r="K12" s="69"/>
      <c r="L12" s="69"/>
      <c r="M12" s="69"/>
      <c r="N12" s="69"/>
    </row>
    <row r="13" spans="2:14" x14ac:dyDescent="0.2">
      <c r="B13" s="65" t="s">
        <v>73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  <row r="14" spans="2:14" x14ac:dyDescent="0.2">
      <c r="B14" s="65" t="s">
        <v>790</v>
      </c>
      <c r="C14" s="69"/>
      <c r="D14" s="69"/>
      <c r="E14" s="69"/>
      <c r="F14" s="69">
        <v>55000</v>
      </c>
      <c r="G14" s="69">
        <v>55000</v>
      </c>
      <c r="H14" s="69"/>
      <c r="I14" s="69"/>
      <c r="J14" s="69"/>
      <c r="K14" s="69"/>
      <c r="L14" s="69"/>
      <c r="M14" s="69"/>
      <c r="N14" s="69"/>
    </row>
    <row r="15" spans="2:14" x14ac:dyDescent="0.2">
      <c r="B15" s="65" t="s">
        <v>75</v>
      </c>
      <c r="C15" s="69"/>
      <c r="D15" s="69">
        <v>-25</v>
      </c>
      <c r="E15" s="69">
        <v>15</v>
      </c>
      <c r="F15" s="69"/>
      <c r="G15" s="69"/>
      <c r="H15" s="69"/>
      <c r="I15" s="69"/>
      <c r="J15" s="69"/>
      <c r="K15" s="69"/>
      <c r="L15" s="69"/>
      <c r="M15" s="69"/>
      <c r="N15" s="69"/>
    </row>
    <row r="16" spans="2:14" x14ac:dyDescent="0.2">
      <c r="B16" s="65" t="s">
        <v>5</v>
      </c>
      <c r="C16" s="69">
        <v>250000</v>
      </c>
      <c r="D16" s="69">
        <v>250000</v>
      </c>
      <c r="E16" s="69">
        <v>250000</v>
      </c>
      <c r="F16" s="69">
        <v>260000</v>
      </c>
      <c r="G16" s="69">
        <v>250000</v>
      </c>
      <c r="H16" s="69"/>
      <c r="I16" s="69"/>
      <c r="J16" s="69"/>
      <c r="K16" s="69"/>
      <c r="L16" s="69"/>
      <c r="M16" s="69"/>
      <c r="N16" s="69"/>
    </row>
    <row r="17" spans="2:14" x14ac:dyDescent="0.2">
      <c r="B17" s="65" t="s">
        <v>6</v>
      </c>
      <c r="C17" s="70">
        <f>SUM(C8:C16)</f>
        <v>492125</v>
      </c>
      <c r="D17" s="70">
        <f t="shared" ref="D17:N17" si="1">SUM(D8:D16)</f>
        <v>490340</v>
      </c>
      <c r="E17" s="70">
        <f t="shared" si="1"/>
        <v>378100</v>
      </c>
      <c r="F17" s="70">
        <f t="shared" si="1"/>
        <v>477045</v>
      </c>
      <c r="G17" s="70">
        <f t="shared" si="1"/>
        <v>498745</v>
      </c>
      <c r="H17" s="70">
        <f t="shared" si="1"/>
        <v>-1255</v>
      </c>
      <c r="I17" s="70">
        <f t="shared" si="1"/>
        <v>-1255</v>
      </c>
      <c r="J17" s="70">
        <f t="shared" si="1"/>
        <v>-1255</v>
      </c>
      <c r="K17" s="70">
        <f t="shared" si="1"/>
        <v>-1255</v>
      </c>
      <c r="L17" s="70">
        <f t="shared" si="1"/>
        <v>-1255</v>
      </c>
      <c r="M17" s="70">
        <f t="shared" si="1"/>
        <v>-1255</v>
      </c>
      <c r="N17" s="70">
        <f t="shared" si="1"/>
        <v>-1255</v>
      </c>
    </row>
    <row r="18" spans="2:14" x14ac:dyDescent="0.2">
      <c r="B18" s="65" t="s">
        <v>7</v>
      </c>
      <c r="C18" s="71">
        <v>492150</v>
      </c>
      <c r="D18" s="71">
        <v>490000</v>
      </c>
      <c r="E18" s="71">
        <v>378100</v>
      </c>
      <c r="F18" s="71">
        <v>477045</v>
      </c>
      <c r="G18" s="71">
        <v>500000</v>
      </c>
      <c r="H18" s="71"/>
      <c r="I18" s="71"/>
      <c r="J18" s="71"/>
      <c r="K18" s="71"/>
      <c r="L18" s="71"/>
      <c r="M18" s="71"/>
      <c r="N18" s="71"/>
    </row>
    <row r="19" spans="2:14" x14ac:dyDescent="0.2">
      <c r="B19" s="65" t="s">
        <v>111</v>
      </c>
      <c r="C19" s="70">
        <f>C17-C18</f>
        <v>-25</v>
      </c>
      <c r="D19" s="70">
        <f>D17-D18</f>
        <v>340</v>
      </c>
      <c r="E19" s="70">
        <f t="shared" ref="E19:N19" si="2">E17-E18</f>
        <v>0</v>
      </c>
      <c r="F19" s="70">
        <f t="shared" si="2"/>
        <v>0</v>
      </c>
      <c r="G19" s="70">
        <f t="shared" si="2"/>
        <v>-1255</v>
      </c>
      <c r="H19" s="70">
        <f t="shared" si="2"/>
        <v>-1255</v>
      </c>
      <c r="I19" s="70">
        <f t="shared" si="2"/>
        <v>-1255</v>
      </c>
      <c r="J19" s="70">
        <f t="shared" si="2"/>
        <v>-1255</v>
      </c>
      <c r="K19" s="70">
        <f t="shared" si="2"/>
        <v>-1255</v>
      </c>
      <c r="L19" s="70">
        <f t="shared" si="2"/>
        <v>-1255</v>
      </c>
      <c r="M19" s="70">
        <f t="shared" si="2"/>
        <v>-1255</v>
      </c>
      <c r="N19" s="70">
        <f t="shared" si="2"/>
        <v>-1255</v>
      </c>
    </row>
    <row r="20" spans="2:14" x14ac:dyDescent="0.2">
      <c r="N20" s="128">
        <v>44921</v>
      </c>
    </row>
    <row r="23" spans="2:14" ht="15.75" x14ac:dyDescent="0.25">
      <c r="B23" s="31" t="s">
        <v>0</v>
      </c>
      <c r="C23" s="31" t="s">
        <v>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x14ac:dyDescent="0.2">
      <c r="B24" s="78"/>
      <c r="C24" s="79">
        <v>45658</v>
      </c>
      <c r="D24" s="79">
        <v>45689</v>
      </c>
      <c r="E24" s="79">
        <v>45717</v>
      </c>
      <c r="F24" s="79">
        <v>45748</v>
      </c>
      <c r="G24" s="79">
        <v>45778</v>
      </c>
      <c r="H24" s="79">
        <v>45809</v>
      </c>
      <c r="I24" s="79">
        <v>45839</v>
      </c>
      <c r="J24" s="79">
        <v>45870</v>
      </c>
      <c r="K24" s="79">
        <v>45901</v>
      </c>
      <c r="L24" s="79">
        <v>45931</v>
      </c>
      <c r="M24" s="79">
        <v>45962</v>
      </c>
      <c r="N24" s="79">
        <v>45992</v>
      </c>
    </row>
    <row r="25" spans="2:14" x14ac:dyDescent="0.2">
      <c r="B25" s="78" t="s">
        <v>110</v>
      </c>
      <c r="C25" s="42"/>
      <c r="D25" s="42">
        <f t="shared" ref="D25:N25" si="3">C36</f>
        <v>800</v>
      </c>
      <c r="E25" s="42">
        <f t="shared" si="3"/>
        <v>0</v>
      </c>
      <c r="F25" s="42">
        <f t="shared" si="3"/>
        <v>0</v>
      </c>
      <c r="G25" s="42">
        <f t="shared" si="3"/>
        <v>0</v>
      </c>
      <c r="H25" s="42">
        <f t="shared" si="3"/>
        <v>0</v>
      </c>
      <c r="I25" s="42">
        <f t="shared" si="3"/>
        <v>0</v>
      </c>
      <c r="J25" s="42">
        <f t="shared" si="3"/>
        <v>0</v>
      </c>
      <c r="K25" s="42">
        <f t="shared" si="3"/>
        <v>0</v>
      </c>
      <c r="L25" s="42">
        <f t="shared" si="3"/>
        <v>0</v>
      </c>
      <c r="M25" s="42">
        <f t="shared" si="3"/>
        <v>0</v>
      </c>
      <c r="N25" s="42">
        <f t="shared" si="3"/>
        <v>0</v>
      </c>
    </row>
    <row r="26" spans="2:14" x14ac:dyDescent="0.2">
      <c r="B26" s="78" t="s">
        <v>76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3</v>
      </c>
      <c r="C27" s="42"/>
      <c r="D27" s="42"/>
      <c r="E27" s="42">
        <v>10400</v>
      </c>
      <c r="F27" s="42">
        <f>74500+77200</f>
        <v>151700</v>
      </c>
      <c r="G27" s="42">
        <f>54400+30000</f>
        <v>84400</v>
      </c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4</v>
      </c>
      <c r="C28" s="42">
        <v>52500</v>
      </c>
      <c r="D28" s="42">
        <v>72000</v>
      </c>
      <c r="E28" s="42">
        <v>65100</v>
      </c>
      <c r="F28" s="42">
        <v>41652</v>
      </c>
      <c r="G28" s="42">
        <v>77000</v>
      </c>
      <c r="H28" s="42">
        <v>110000</v>
      </c>
      <c r="I28" s="42">
        <v>94670</v>
      </c>
      <c r="J28" s="42">
        <v>92340</v>
      </c>
      <c r="K28" s="42">
        <v>110000</v>
      </c>
      <c r="L28" s="42">
        <v>150000</v>
      </c>
      <c r="M28" s="42">
        <v>145000</v>
      </c>
      <c r="N28" s="42">
        <v>155000</v>
      </c>
    </row>
    <row r="29" spans="2:14" x14ac:dyDescent="0.2">
      <c r="B29" s="78" t="s">
        <v>533</v>
      </c>
      <c r="C29" s="42">
        <v>38300</v>
      </c>
      <c r="D29" s="42">
        <v>47895</v>
      </c>
      <c r="E29" s="42">
        <v>47900</v>
      </c>
      <c r="F29" s="42">
        <v>47900</v>
      </c>
      <c r="G29" s="42">
        <v>47900</v>
      </c>
      <c r="H29" s="42">
        <v>47900</v>
      </c>
      <c r="I29" s="42">
        <v>47900</v>
      </c>
      <c r="J29" s="42">
        <v>56745</v>
      </c>
      <c r="K29" s="42">
        <v>56745</v>
      </c>
      <c r="L29" s="42">
        <v>56745</v>
      </c>
      <c r="M29" s="42">
        <v>56745</v>
      </c>
      <c r="N29" s="42">
        <v>56745</v>
      </c>
    </row>
    <row r="30" spans="2:14" x14ac:dyDescent="0.2">
      <c r="B30" s="78" t="s">
        <v>729</v>
      </c>
      <c r="C30" s="42"/>
      <c r="D30" s="42"/>
      <c r="E30" s="42"/>
      <c r="F30" s="42"/>
      <c r="G30" s="42">
        <f>30000+30000</f>
        <v>60000</v>
      </c>
      <c r="H30" s="42">
        <v>60000</v>
      </c>
      <c r="I30" s="42">
        <v>60000</v>
      </c>
      <c r="J30" s="42">
        <v>17580</v>
      </c>
      <c r="K30" s="42">
        <v>17580</v>
      </c>
      <c r="L30" s="42">
        <v>17580</v>
      </c>
      <c r="M30" s="42">
        <v>17580</v>
      </c>
      <c r="N30" s="42">
        <v>17580</v>
      </c>
    </row>
    <row r="31" spans="2:14" x14ac:dyDescent="0.2">
      <c r="B31" s="78" t="s">
        <v>74</v>
      </c>
      <c r="C31" s="42"/>
      <c r="D31" s="42"/>
      <c r="E31" s="42"/>
      <c r="F31" s="42"/>
      <c r="G31" s="42"/>
      <c r="H31" s="42"/>
      <c r="I31" s="42"/>
      <c r="J31" s="42">
        <v>35000</v>
      </c>
      <c r="K31" s="42">
        <v>35000</v>
      </c>
      <c r="L31" s="42">
        <v>35000</v>
      </c>
      <c r="M31" s="42">
        <v>35000</v>
      </c>
      <c r="N31" s="42">
        <v>35000</v>
      </c>
    </row>
    <row r="32" spans="2:14" x14ac:dyDescent="0.2">
      <c r="B32" s="78" t="s">
        <v>75</v>
      </c>
      <c r="C32" s="42"/>
      <c r="D32" s="42"/>
      <c r="E32" s="42"/>
      <c r="F32" s="42">
        <v>27500</v>
      </c>
      <c r="G32" s="42"/>
      <c r="H32" s="42"/>
      <c r="I32" s="42"/>
      <c r="J32" s="42"/>
      <c r="K32" s="42"/>
      <c r="L32" s="42"/>
      <c r="M32" s="42"/>
      <c r="N32" s="42"/>
    </row>
    <row r="33" spans="2:14" x14ac:dyDescent="0.2">
      <c r="B33" s="78" t="s">
        <v>5</v>
      </c>
      <c r="C33" s="42">
        <v>110000</v>
      </c>
      <c r="D33" s="42">
        <v>120000</v>
      </c>
      <c r="E33" s="42">
        <v>120000</v>
      </c>
      <c r="F33" s="42">
        <v>120000</v>
      </c>
      <c r="G33" s="42">
        <v>120000</v>
      </c>
      <c r="H33" s="42">
        <v>120000</v>
      </c>
      <c r="I33" s="42">
        <v>150000</v>
      </c>
      <c r="J33" s="42">
        <v>150000</v>
      </c>
      <c r="K33" s="42">
        <v>150000</v>
      </c>
      <c r="L33" s="42">
        <v>150000</v>
      </c>
      <c r="M33" s="42">
        <v>150000</v>
      </c>
      <c r="N33" s="42">
        <v>180000</v>
      </c>
    </row>
    <row r="34" spans="2:14" x14ac:dyDescent="0.2">
      <c r="B34" s="78" t="s">
        <v>6</v>
      </c>
      <c r="C34" s="43">
        <f>SUM(C25:C33)</f>
        <v>200800</v>
      </c>
      <c r="D34" s="43">
        <f t="shared" ref="D34:N34" si="4">SUM(D25:D33)</f>
        <v>240695</v>
      </c>
      <c r="E34" s="43">
        <f t="shared" si="4"/>
        <v>243400</v>
      </c>
      <c r="F34" s="43">
        <f t="shared" si="4"/>
        <v>388752</v>
      </c>
      <c r="G34" s="43">
        <f t="shared" si="4"/>
        <v>389300</v>
      </c>
      <c r="H34" s="43">
        <f t="shared" si="4"/>
        <v>337900</v>
      </c>
      <c r="I34" s="43">
        <f t="shared" si="4"/>
        <v>352570</v>
      </c>
      <c r="J34" s="43">
        <f t="shared" si="4"/>
        <v>351665</v>
      </c>
      <c r="K34" s="43">
        <f t="shared" si="4"/>
        <v>369325</v>
      </c>
      <c r="L34" s="43">
        <f t="shared" si="4"/>
        <v>409325</v>
      </c>
      <c r="M34" s="43">
        <f t="shared" si="4"/>
        <v>404325</v>
      </c>
      <c r="N34" s="43">
        <f t="shared" si="4"/>
        <v>444325</v>
      </c>
    </row>
    <row r="35" spans="2:14" x14ac:dyDescent="0.2">
      <c r="B35" s="78" t="s">
        <v>7</v>
      </c>
      <c r="C35" s="44">
        <v>200000</v>
      </c>
      <c r="D35" s="44">
        <v>240695</v>
      </c>
      <c r="E35" s="44">
        <v>243400</v>
      </c>
      <c r="F35" s="44">
        <v>388752</v>
      </c>
      <c r="G35" s="44">
        <v>389300</v>
      </c>
      <c r="H35" s="44">
        <v>337900</v>
      </c>
      <c r="I35" s="44">
        <v>352570</v>
      </c>
      <c r="J35" s="44">
        <v>351665</v>
      </c>
      <c r="K35" s="44">
        <v>369325</v>
      </c>
      <c r="L35" s="44">
        <v>409325</v>
      </c>
      <c r="M35" s="44">
        <v>404325</v>
      </c>
      <c r="N35" s="44">
        <v>444325</v>
      </c>
    </row>
    <row r="36" spans="2:14" x14ac:dyDescent="0.2">
      <c r="B36" s="78" t="s">
        <v>111</v>
      </c>
      <c r="C36" s="43">
        <f>C34-C35</f>
        <v>800</v>
      </c>
      <c r="D36" s="43">
        <f>D34-D35</f>
        <v>0</v>
      </c>
      <c r="E36" s="43">
        <f t="shared" ref="E36:N36" si="5">E34-E35</f>
        <v>0</v>
      </c>
      <c r="F36" s="43">
        <f t="shared" si="5"/>
        <v>0</v>
      </c>
      <c r="G36" s="43">
        <f t="shared" si="5"/>
        <v>0</v>
      </c>
      <c r="H36" s="43">
        <f t="shared" si="5"/>
        <v>0</v>
      </c>
      <c r="I36" s="43">
        <f t="shared" si="5"/>
        <v>0</v>
      </c>
      <c r="J36" s="43">
        <f t="shared" si="5"/>
        <v>0</v>
      </c>
      <c r="K36" s="43">
        <f t="shared" si="5"/>
        <v>0</v>
      </c>
      <c r="L36" s="43">
        <f t="shared" si="5"/>
        <v>0</v>
      </c>
      <c r="M36" s="43">
        <f t="shared" si="5"/>
        <v>0</v>
      </c>
      <c r="N36" s="43">
        <f t="shared" si="5"/>
        <v>0</v>
      </c>
    </row>
    <row r="37" spans="2:14" x14ac:dyDescent="0.2">
      <c r="J37" s="206" t="s">
        <v>739</v>
      </c>
    </row>
  </sheetData>
  <mergeCells count="1">
    <mergeCell ref="C4:H4"/>
  </mergeCells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8"/>
  <dimension ref="A4:M54"/>
  <sheetViews>
    <sheetView topLeftCell="A7" workbookViewId="0">
      <selection activeCell="F19" sqref="F19"/>
    </sheetView>
  </sheetViews>
  <sheetFormatPr baseColWidth="10" defaultRowHeight="12.75" x14ac:dyDescent="0.2"/>
  <cols>
    <col min="1" max="1" width="31.5703125" customWidth="1"/>
    <col min="4" max="4" width="11.7109375" customWidth="1"/>
    <col min="5" max="5" width="12.42578125" customWidth="1"/>
    <col min="9" max="9" width="12.85546875" bestFit="1" customWidth="1"/>
  </cols>
  <sheetData>
    <row r="4" spans="1:13" ht="20.25" x14ac:dyDescent="0.3">
      <c r="A4" s="11" t="s">
        <v>11</v>
      </c>
      <c r="B4" s="216" t="s">
        <v>242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31" t="s">
        <v>0</v>
      </c>
      <c r="B6" s="31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">
      <c r="A7" s="78"/>
      <c r="B7" s="79">
        <v>46023</v>
      </c>
      <c r="C7" s="79">
        <v>46054</v>
      </c>
      <c r="D7" s="79">
        <v>46082</v>
      </c>
      <c r="E7" s="79">
        <v>46113</v>
      </c>
      <c r="F7" s="79">
        <v>46143</v>
      </c>
      <c r="G7" s="79">
        <v>46174</v>
      </c>
      <c r="H7" s="79">
        <v>46204</v>
      </c>
      <c r="I7" s="79">
        <v>46235</v>
      </c>
      <c r="J7" s="79">
        <v>46266</v>
      </c>
      <c r="K7" s="79">
        <v>46296</v>
      </c>
      <c r="L7" s="79">
        <v>46327</v>
      </c>
      <c r="M7" s="79">
        <v>46357</v>
      </c>
    </row>
    <row r="8" spans="1:13" x14ac:dyDescent="0.2">
      <c r="A8" s="78" t="s">
        <v>110</v>
      </c>
      <c r="B8" s="42"/>
      <c r="C8" s="42">
        <f>B19</f>
        <v>0</v>
      </c>
      <c r="D8" s="42">
        <f t="shared" ref="D8:M8" si="0">C19</f>
        <v>0</v>
      </c>
      <c r="E8" s="42">
        <f t="shared" si="0"/>
        <v>0</v>
      </c>
      <c r="F8" s="42">
        <f t="shared" si="0"/>
        <v>0</v>
      </c>
      <c r="G8" s="42">
        <f t="shared" si="0"/>
        <v>0</v>
      </c>
      <c r="H8" s="42">
        <f t="shared" si="0"/>
        <v>0</v>
      </c>
      <c r="I8" s="42">
        <f t="shared" si="0"/>
        <v>0</v>
      </c>
      <c r="J8" s="42">
        <f t="shared" si="0"/>
        <v>0</v>
      </c>
      <c r="K8" s="42">
        <f>J19</f>
        <v>0</v>
      </c>
      <c r="L8" s="42">
        <f t="shared" si="0"/>
        <v>0</v>
      </c>
      <c r="M8" s="42">
        <f t="shared" si="0"/>
        <v>0</v>
      </c>
    </row>
    <row r="9" spans="1:13" x14ac:dyDescent="0.2">
      <c r="A9" s="78" t="s">
        <v>76</v>
      </c>
      <c r="B9" s="42"/>
      <c r="C9" s="42"/>
      <c r="D9" s="42"/>
      <c r="E9" s="42"/>
      <c r="F9" s="42">
        <v>70000</v>
      </c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>
        <v>77000</v>
      </c>
      <c r="C10" s="42">
        <v>76000</v>
      </c>
      <c r="D10" s="42">
        <v>4480</v>
      </c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163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620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120000</v>
      </c>
      <c r="C16" s="42">
        <v>120000</v>
      </c>
      <c r="D16" s="42">
        <v>120000</v>
      </c>
      <c r="E16" s="42">
        <v>95000</v>
      </c>
      <c r="F16" s="42">
        <v>120000</v>
      </c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6</v>
      </c>
      <c r="B17" s="43">
        <f>SUM(B8:B16)</f>
        <v>197000</v>
      </c>
      <c r="C17" s="43">
        <f t="shared" ref="C17:M17" si="1">SUM(C8:C16)</f>
        <v>196000</v>
      </c>
      <c r="D17" s="43">
        <f t="shared" si="1"/>
        <v>124480</v>
      </c>
      <c r="E17" s="43">
        <f t="shared" si="1"/>
        <v>95000</v>
      </c>
      <c r="F17" s="43">
        <f t="shared" si="1"/>
        <v>190000</v>
      </c>
      <c r="G17" s="43">
        <f t="shared" si="1"/>
        <v>0</v>
      </c>
      <c r="H17" s="43">
        <f t="shared" si="1"/>
        <v>0</v>
      </c>
      <c r="I17" s="43">
        <f t="shared" si="1"/>
        <v>0</v>
      </c>
      <c r="J17" s="43">
        <f t="shared" si="1"/>
        <v>0</v>
      </c>
      <c r="K17" s="43">
        <f t="shared" si="1"/>
        <v>0</v>
      </c>
      <c r="L17" s="43">
        <f t="shared" si="1"/>
        <v>0</v>
      </c>
      <c r="M17" s="43">
        <f t="shared" si="1"/>
        <v>0</v>
      </c>
    </row>
    <row r="18" spans="1:13" x14ac:dyDescent="0.2">
      <c r="A18" s="78" t="s">
        <v>7</v>
      </c>
      <c r="B18" s="44">
        <v>197000</v>
      </c>
      <c r="C18" s="44">
        <v>196000</v>
      </c>
      <c r="D18" s="44">
        <v>124480</v>
      </c>
      <c r="E18" s="44">
        <v>95000</v>
      </c>
      <c r="F18" s="44">
        <v>190000</v>
      </c>
      <c r="G18" s="44"/>
      <c r="H18" s="44"/>
      <c r="I18" s="44"/>
      <c r="J18" s="44"/>
      <c r="K18" s="44"/>
      <c r="L18" s="44"/>
      <c r="M18" s="44"/>
    </row>
    <row r="19" spans="1:13" x14ac:dyDescent="0.2">
      <c r="A19" s="78" t="s">
        <v>111</v>
      </c>
      <c r="B19" s="43">
        <f>B17-B18</f>
        <v>0</v>
      </c>
      <c r="C19" s="43">
        <f>C17-C18</f>
        <v>0</v>
      </c>
      <c r="D19" s="43">
        <f t="shared" ref="D19:M19" si="2">D17-D18</f>
        <v>0</v>
      </c>
      <c r="E19" s="43">
        <f t="shared" si="2"/>
        <v>0</v>
      </c>
      <c r="F19" s="43">
        <f t="shared" si="2"/>
        <v>0</v>
      </c>
      <c r="G19" s="43">
        <f t="shared" si="2"/>
        <v>0</v>
      </c>
      <c r="H19" s="43">
        <f t="shared" si="2"/>
        <v>0</v>
      </c>
      <c r="I19" s="43">
        <f t="shared" si="2"/>
        <v>0</v>
      </c>
      <c r="J19" s="43">
        <f t="shared" si="2"/>
        <v>0</v>
      </c>
      <c r="K19" s="43">
        <f t="shared" si="2"/>
        <v>0</v>
      </c>
      <c r="L19" s="43">
        <f t="shared" si="2"/>
        <v>0</v>
      </c>
      <c r="M19" s="43">
        <f t="shared" si="2"/>
        <v>0</v>
      </c>
    </row>
    <row r="20" spans="1:13" x14ac:dyDescent="0.2">
      <c r="K20">
        <v>1615143</v>
      </c>
    </row>
    <row r="23" spans="1:13" ht="15.75" x14ac:dyDescent="0.25">
      <c r="A23" s="31" t="s">
        <v>0</v>
      </c>
      <c r="B23" s="31" t="s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">
      <c r="A24" s="78"/>
      <c r="B24" s="79">
        <v>45292</v>
      </c>
      <c r="C24" s="79">
        <v>45323</v>
      </c>
      <c r="D24" s="79">
        <v>45352</v>
      </c>
      <c r="E24" s="79">
        <v>45383</v>
      </c>
      <c r="F24" s="79">
        <v>45413</v>
      </c>
      <c r="G24" s="79">
        <v>45444</v>
      </c>
      <c r="H24" s="79">
        <v>45474</v>
      </c>
      <c r="I24" s="79">
        <v>45505</v>
      </c>
      <c r="J24" s="79">
        <v>45536</v>
      </c>
      <c r="K24" s="79">
        <v>45566</v>
      </c>
      <c r="L24" s="79">
        <v>45597</v>
      </c>
      <c r="M24" s="79">
        <v>45627</v>
      </c>
    </row>
    <row r="25" spans="1:13" x14ac:dyDescent="0.2">
      <c r="A25" s="78" t="s">
        <v>110</v>
      </c>
      <c r="B25" s="42"/>
      <c r="C25" s="42">
        <f t="shared" ref="C25:M25" si="3">B36</f>
        <v>2</v>
      </c>
      <c r="D25" s="42">
        <f t="shared" si="3"/>
        <v>-3</v>
      </c>
      <c r="E25" s="42">
        <f t="shared" si="3"/>
        <v>-3</v>
      </c>
      <c r="F25" s="42">
        <f t="shared" si="3"/>
        <v>0</v>
      </c>
      <c r="G25" s="42">
        <f t="shared" si="3"/>
        <v>0</v>
      </c>
      <c r="H25" s="42">
        <f t="shared" si="3"/>
        <v>0</v>
      </c>
      <c r="I25" s="42">
        <f t="shared" si="3"/>
        <v>0</v>
      </c>
      <c r="J25" s="42">
        <f t="shared" si="3"/>
        <v>0</v>
      </c>
      <c r="K25" s="42">
        <f t="shared" si="3"/>
        <v>0</v>
      </c>
      <c r="L25" s="42">
        <f t="shared" si="3"/>
        <v>0</v>
      </c>
      <c r="M25" s="42">
        <f t="shared" si="3"/>
        <v>0</v>
      </c>
    </row>
    <row r="26" spans="1:13" x14ac:dyDescent="0.2">
      <c r="A26" s="78" t="s">
        <v>76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3</v>
      </c>
      <c r="B27" s="42">
        <v>88694</v>
      </c>
      <c r="C27" s="42">
        <v>25100</v>
      </c>
      <c r="D27" s="42">
        <v>5000</v>
      </c>
      <c r="E27" s="42">
        <v>35490</v>
      </c>
      <c r="F27" s="42">
        <v>26390</v>
      </c>
      <c r="G27" s="42">
        <v>23456</v>
      </c>
      <c r="H27" s="42"/>
      <c r="I27" s="42"/>
      <c r="J27" s="42"/>
      <c r="K27" s="42"/>
      <c r="L27" s="42"/>
      <c r="M27" s="42"/>
    </row>
    <row r="28" spans="1:13" x14ac:dyDescent="0.2">
      <c r="A28" s="78" t="s">
        <v>4</v>
      </c>
      <c r="B28" s="42">
        <v>25922</v>
      </c>
      <c r="C28" s="42">
        <v>52195</v>
      </c>
      <c r="D28" s="42">
        <v>18100</v>
      </c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163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5</v>
      </c>
      <c r="B33" s="42">
        <v>50000</v>
      </c>
      <c r="C33" s="42">
        <v>50000</v>
      </c>
      <c r="D33" s="42">
        <v>60000</v>
      </c>
      <c r="E33" s="42">
        <v>70000</v>
      </c>
      <c r="F33" s="42">
        <v>70000</v>
      </c>
      <c r="G33" s="42">
        <v>70000</v>
      </c>
      <c r="H33" s="42">
        <v>50000</v>
      </c>
      <c r="I33" s="42">
        <v>40000</v>
      </c>
      <c r="J33" s="42">
        <v>40000</v>
      </c>
      <c r="K33" s="42" t="s">
        <v>700</v>
      </c>
      <c r="L33" s="42"/>
      <c r="M33" s="42"/>
    </row>
    <row r="34" spans="1:13" x14ac:dyDescent="0.2">
      <c r="A34" s="78" t="s">
        <v>6</v>
      </c>
      <c r="B34" s="43">
        <f>SUM(B25:B33)</f>
        <v>164616</v>
      </c>
      <c r="C34" s="43">
        <f t="shared" ref="C34:M34" si="4">SUM(C25:C33)</f>
        <v>127297</v>
      </c>
      <c r="D34" s="43">
        <f t="shared" si="4"/>
        <v>83097</v>
      </c>
      <c r="E34" s="43">
        <f t="shared" si="4"/>
        <v>105487</v>
      </c>
      <c r="F34" s="43">
        <f t="shared" si="4"/>
        <v>96390</v>
      </c>
      <c r="G34" s="43">
        <f t="shared" si="4"/>
        <v>93456</v>
      </c>
      <c r="H34" s="43">
        <f t="shared" si="4"/>
        <v>50000</v>
      </c>
      <c r="I34" s="43">
        <f t="shared" si="4"/>
        <v>40000</v>
      </c>
      <c r="J34" s="43">
        <f t="shared" si="4"/>
        <v>40000</v>
      </c>
      <c r="K34" s="43">
        <f>SUM(K25:K33)</f>
        <v>0</v>
      </c>
      <c r="L34" s="43">
        <f t="shared" si="4"/>
        <v>0</v>
      </c>
      <c r="M34" s="43">
        <f t="shared" si="4"/>
        <v>0</v>
      </c>
    </row>
    <row r="35" spans="1:13" x14ac:dyDescent="0.2">
      <c r="A35" s="78" t="s">
        <v>7</v>
      </c>
      <c r="B35" s="44">
        <v>164614</v>
      </c>
      <c r="C35" s="44">
        <v>127300</v>
      </c>
      <c r="D35" s="44">
        <v>83100</v>
      </c>
      <c r="E35" s="44">
        <v>105487</v>
      </c>
      <c r="F35" s="44">
        <v>96390</v>
      </c>
      <c r="G35" s="44">
        <v>93456</v>
      </c>
      <c r="H35" s="44">
        <v>50000</v>
      </c>
      <c r="I35" s="44">
        <v>40000</v>
      </c>
      <c r="J35" s="44">
        <v>40000</v>
      </c>
      <c r="K35" s="44"/>
      <c r="L35" s="44"/>
      <c r="M35" s="44"/>
    </row>
    <row r="36" spans="1:13" x14ac:dyDescent="0.2">
      <c r="A36" s="78" t="s">
        <v>111</v>
      </c>
      <c r="B36" s="43">
        <f>B34-B35</f>
        <v>2</v>
      </c>
      <c r="C36" s="43">
        <f>C34-C35</f>
        <v>-3</v>
      </c>
      <c r="D36" s="43">
        <f t="shared" ref="D36:M36" si="5">D34-D35</f>
        <v>-3</v>
      </c>
      <c r="E36" s="43">
        <f t="shared" si="5"/>
        <v>0</v>
      </c>
      <c r="F36" s="43">
        <f t="shared" si="5"/>
        <v>0</v>
      </c>
      <c r="G36" s="43">
        <f t="shared" si="5"/>
        <v>0</v>
      </c>
      <c r="H36" s="43">
        <f t="shared" si="5"/>
        <v>0</v>
      </c>
      <c r="I36" s="43">
        <f t="shared" si="5"/>
        <v>0</v>
      </c>
      <c r="J36" s="43">
        <f t="shared" si="5"/>
        <v>0</v>
      </c>
      <c r="K36" s="43">
        <f t="shared" si="5"/>
        <v>0</v>
      </c>
      <c r="L36" s="43">
        <f t="shared" si="5"/>
        <v>0</v>
      </c>
      <c r="M36" s="43">
        <f t="shared" si="5"/>
        <v>0</v>
      </c>
    </row>
    <row r="41" spans="1:13" ht="15.75" x14ac:dyDescent="0.25">
      <c r="A41" s="31" t="s">
        <v>0</v>
      </c>
      <c r="B41" s="31" t="s">
        <v>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">
      <c r="A42" s="78"/>
      <c r="B42" s="79">
        <v>42005</v>
      </c>
      <c r="C42" s="79">
        <v>42036</v>
      </c>
      <c r="D42" s="79">
        <v>42064</v>
      </c>
      <c r="E42" s="79">
        <v>42095</v>
      </c>
      <c r="F42" s="79">
        <v>42125</v>
      </c>
      <c r="G42" s="79">
        <v>42156</v>
      </c>
      <c r="H42" s="79">
        <v>42186</v>
      </c>
      <c r="I42" s="79">
        <v>42217</v>
      </c>
      <c r="J42" s="79">
        <v>42248</v>
      </c>
      <c r="K42" s="79">
        <v>42278</v>
      </c>
      <c r="L42" s="79">
        <v>42309</v>
      </c>
      <c r="M42" s="79">
        <v>42339</v>
      </c>
    </row>
    <row r="43" spans="1:13" x14ac:dyDescent="0.2">
      <c r="A43" s="78" t="s">
        <v>110</v>
      </c>
      <c r="B43" s="42"/>
      <c r="C43" s="42">
        <f t="shared" ref="C43:M43" si="6">B54</f>
        <v>0</v>
      </c>
      <c r="D43" s="42">
        <f t="shared" si="6"/>
        <v>0</v>
      </c>
      <c r="E43" s="42">
        <f t="shared" si="6"/>
        <v>0</v>
      </c>
      <c r="F43" s="42">
        <f t="shared" si="6"/>
        <v>0</v>
      </c>
      <c r="G43" s="42">
        <f t="shared" si="6"/>
        <v>0</v>
      </c>
      <c r="H43" s="42">
        <f t="shared" si="6"/>
        <v>0</v>
      </c>
      <c r="I43" s="42">
        <f t="shared" si="6"/>
        <v>0</v>
      </c>
      <c r="J43" s="42">
        <f t="shared" si="6"/>
        <v>0</v>
      </c>
      <c r="K43" s="42">
        <f t="shared" si="6"/>
        <v>0</v>
      </c>
      <c r="L43" s="42">
        <f t="shared" si="6"/>
        <v>0</v>
      </c>
      <c r="M43" s="42">
        <f t="shared" si="6"/>
        <v>0</v>
      </c>
    </row>
    <row r="44" spans="1:13" x14ac:dyDescent="0.2">
      <c r="A44" s="78" t="s">
        <v>76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3</v>
      </c>
      <c r="B45" s="42">
        <v>24000</v>
      </c>
      <c r="C45" s="42">
        <v>15000</v>
      </c>
      <c r="D45" s="42">
        <v>6700</v>
      </c>
      <c r="E45" s="42">
        <v>5470</v>
      </c>
      <c r="F45" s="42">
        <v>6780</v>
      </c>
      <c r="G45" s="42">
        <v>45000</v>
      </c>
      <c r="H45" s="42">
        <v>84980</v>
      </c>
      <c r="I45" s="42"/>
      <c r="J45" s="42"/>
      <c r="K45" s="42"/>
      <c r="L45" s="42"/>
      <c r="M45" s="42"/>
    </row>
    <row r="46" spans="1:13" x14ac:dyDescent="0.2">
      <c r="A46" s="78" t="s">
        <v>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163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73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74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75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5</v>
      </c>
      <c r="B51" s="42">
        <v>80000</v>
      </c>
      <c r="C51" s="42">
        <v>90000</v>
      </c>
      <c r="D51" s="42">
        <v>90000</v>
      </c>
      <c r="E51" s="42">
        <v>90000</v>
      </c>
      <c r="F51" s="42">
        <v>90000</v>
      </c>
      <c r="G51" s="42">
        <v>96000</v>
      </c>
      <c r="H51" s="42">
        <v>100000</v>
      </c>
      <c r="I51" s="42">
        <v>100000</v>
      </c>
      <c r="J51" s="42">
        <v>50000</v>
      </c>
      <c r="K51" s="42"/>
      <c r="L51" s="42"/>
      <c r="M51" s="42"/>
    </row>
    <row r="52" spans="1:13" x14ac:dyDescent="0.2">
      <c r="A52" s="78" t="s">
        <v>6</v>
      </c>
      <c r="B52" s="43">
        <f>SUM(B43:B51)</f>
        <v>104000</v>
      </c>
      <c r="C52" s="43">
        <f t="shared" ref="C52:J52" si="7">SUM(C43:C51)</f>
        <v>105000</v>
      </c>
      <c r="D52" s="43">
        <f t="shared" si="7"/>
        <v>96700</v>
      </c>
      <c r="E52" s="43">
        <f t="shared" si="7"/>
        <v>95470</v>
      </c>
      <c r="F52" s="43">
        <f t="shared" si="7"/>
        <v>96780</v>
      </c>
      <c r="G52" s="43">
        <f t="shared" si="7"/>
        <v>141000</v>
      </c>
      <c r="H52" s="43">
        <f t="shared" si="7"/>
        <v>184980</v>
      </c>
      <c r="I52" s="43">
        <f t="shared" si="7"/>
        <v>100000</v>
      </c>
      <c r="J52" s="43">
        <f t="shared" si="7"/>
        <v>50000</v>
      </c>
      <c r="K52" s="43">
        <f>SUM(K43:K51)</f>
        <v>0</v>
      </c>
      <c r="L52" s="43">
        <f>SUM(L43:L51)</f>
        <v>0</v>
      </c>
      <c r="M52" s="43">
        <f>SUM(M43:M51)</f>
        <v>0</v>
      </c>
    </row>
    <row r="53" spans="1:13" x14ac:dyDescent="0.2">
      <c r="A53" s="78" t="s">
        <v>7</v>
      </c>
      <c r="B53" s="44">
        <v>104000</v>
      </c>
      <c r="C53" s="44">
        <v>105000</v>
      </c>
      <c r="D53" s="44">
        <v>96700</v>
      </c>
      <c r="E53" s="44">
        <v>95470</v>
      </c>
      <c r="F53" s="44">
        <v>96780</v>
      </c>
      <c r="G53" s="44">
        <v>141000</v>
      </c>
      <c r="H53" s="44">
        <f>160000+24980</f>
        <v>184980</v>
      </c>
      <c r="I53" s="44">
        <v>100000</v>
      </c>
      <c r="J53" s="44">
        <v>50000</v>
      </c>
      <c r="K53" s="44"/>
      <c r="L53" s="44"/>
      <c r="M53" s="44"/>
    </row>
    <row r="54" spans="1:13" x14ac:dyDescent="0.2">
      <c r="A54" s="78" t="s">
        <v>111</v>
      </c>
      <c r="B54" s="43">
        <f>B52-B53</f>
        <v>0</v>
      </c>
      <c r="C54" s="43">
        <f>C52-C53</f>
        <v>0</v>
      </c>
      <c r="D54" s="43">
        <f t="shared" ref="D54:M54" si="8">D52-D53</f>
        <v>0</v>
      </c>
      <c r="E54" s="43">
        <f t="shared" si="8"/>
        <v>0</v>
      </c>
      <c r="F54" s="43">
        <f t="shared" si="8"/>
        <v>0</v>
      </c>
      <c r="G54" s="43">
        <f t="shared" si="8"/>
        <v>0</v>
      </c>
      <c r="H54" s="43">
        <f t="shared" si="8"/>
        <v>0</v>
      </c>
      <c r="I54" s="43">
        <f t="shared" si="8"/>
        <v>0</v>
      </c>
      <c r="J54" s="43">
        <f t="shared" si="8"/>
        <v>0</v>
      </c>
      <c r="K54" s="43">
        <f t="shared" si="8"/>
        <v>0</v>
      </c>
      <c r="L54" s="43">
        <f t="shared" si="8"/>
        <v>0</v>
      </c>
      <c r="M54" s="43">
        <f t="shared" si="8"/>
        <v>0</v>
      </c>
    </row>
  </sheetData>
  <mergeCells count="1">
    <mergeCell ref="B4:G4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9"/>
  <dimension ref="A3:M74"/>
  <sheetViews>
    <sheetView topLeftCell="A4" workbookViewId="0">
      <selection activeCell="E9" sqref="E9:F9"/>
    </sheetView>
  </sheetViews>
  <sheetFormatPr baseColWidth="10" defaultRowHeight="12.75" x14ac:dyDescent="0.2"/>
  <cols>
    <col min="1" max="1" width="25.85546875" customWidth="1"/>
    <col min="2" max="2" width="12.7109375" customWidth="1"/>
    <col min="3" max="3" width="13.85546875" customWidth="1"/>
    <col min="4" max="4" width="12" customWidth="1"/>
    <col min="5" max="5" width="12.42578125" customWidth="1"/>
    <col min="6" max="6" width="12" customWidth="1"/>
    <col min="7" max="7" width="12.140625" customWidth="1"/>
    <col min="8" max="8" width="12.28515625" customWidth="1"/>
    <col min="9" max="10" width="11.7109375" customWidth="1"/>
    <col min="11" max="11" width="11.85546875" customWidth="1"/>
    <col min="12" max="12" width="12" customWidth="1"/>
    <col min="13" max="13" width="14.42578125" customWidth="1"/>
  </cols>
  <sheetData>
    <row r="3" spans="1:13" ht="20.25" x14ac:dyDescent="0.3">
      <c r="A3" s="11" t="s">
        <v>11</v>
      </c>
      <c r="B3" s="216" t="s">
        <v>122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92" t="s">
        <v>0</v>
      </c>
      <c r="B5" s="92" t="s">
        <v>1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1:13" x14ac:dyDescent="0.2">
      <c r="A6" s="60"/>
      <c r="B6" s="93">
        <v>46023</v>
      </c>
      <c r="C6" s="93">
        <v>46054</v>
      </c>
      <c r="D6" s="93">
        <v>46082</v>
      </c>
      <c r="E6" s="93">
        <v>46113</v>
      </c>
      <c r="F6" s="93">
        <v>46143</v>
      </c>
      <c r="G6" s="93">
        <v>46174</v>
      </c>
      <c r="H6" s="93">
        <v>46204</v>
      </c>
      <c r="I6" s="93">
        <v>46235</v>
      </c>
      <c r="J6" s="93">
        <v>46266</v>
      </c>
      <c r="K6" s="93">
        <v>46296</v>
      </c>
      <c r="L6" s="93">
        <v>46327</v>
      </c>
      <c r="M6" s="93">
        <v>46357</v>
      </c>
    </row>
    <row r="7" spans="1:13" x14ac:dyDescent="0.2">
      <c r="A7" s="60" t="s">
        <v>110</v>
      </c>
      <c r="B7" s="94"/>
      <c r="C7" s="94">
        <f>B18</f>
        <v>209200</v>
      </c>
      <c r="D7" s="94">
        <f t="shared" ref="D7:M7" si="0">C18</f>
        <v>418400</v>
      </c>
      <c r="E7" s="94">
        <f t="shared" si="0"/>
        <v>630400</v>
      </c>
      <c r="F7" s="94">
        <f t="shared" si="0"/>
        <v>842400</v>
      </c>
      <c r="G7" s="94">
        <f t="shared" si="0"/>
        <v>1054400</v>
      </c>
      <c r="H7" s="94">
        <f t="shared" si="0"/>
        <v>1254400</v>
      </c>
      <c r="I7" s="94">
        <f t="shared" si="0"/>
        <v>1454400</v>
      </c>
      <c r="J7" s="94">
        <f t="shared" si="0"/>
        <v>1654400</v>
      </c>
      <c r="K7" s="94">
        <f>J18</f>
        <v>1854400</v>
      </c>
      <c r="L7" s="94">
        <f t="shared" si="0"/>
        <v>2054400</v>
      </c>
      <c r="M7" s="94">
        <f t="shared" si="0"/>
        <v>2254400</v>
      </c>
    </row>
    <row r="8" spans="1:13" x14ac:dyDescent="0.2">
      <c r="A8" s="60" t="s">
        <v>76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</row>
    <row r="9" spans="1:13" x14ac:dyDescent="0.2">
      <c r="A9" s="60" t="s">
        <v>3</v>
      </c>
      <c r="B9" s="94">
        <v>9200</v>
      </c>
      <c r="C9" s="94">
        <v>9200</v>
      </c>
      <c r="D9" s="94">
        <v>12000</v>
      </c>
      <c r="E9" s="94">
        <v>12000</v>
      </c>
      <c r="F9" s="94">
        <v>12000</v>
      </c>
      <c r="G9" s="94"/>
      <c r="H9" s="94"/>
      <c r="I9" s="94"/>
      <c r="J9" s="94"/>
      <c r="K9" s="94"/>
      <c r="L9" s="94"/>
      <c r="M9" s="94"/>
    </row>
    <row r="10" spans="1:13" x14ac:dyDescent="0.2">
      <c r="A10" s="60" t="s">
        <v>4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</row>
    <row r="11" spans="1:13" x14ac:dyDescent="0.2">
      <c r="A11" s="60" t="s">
        <v>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</row>
    <row r="12" spans="1:13" x14ac:dyDescent="0.2">
      <c r="A12" s="60" t="s">
        <v>73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</row>
    <row r="13" spans="1:13" x14ac:dyDescent="0.2">
      <c r="A13" s="60" t="s">
        <v>74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</row>
    <row r="14" spans="1:13" x14ac:dyDescent="0.2">
      <c r="A14" s="60" t="s">
        <v>75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</row>
    <row r="15" spans="1:13" x14ac:dyDescent="0.2">
      <c r="A15" s="60" t="s">
        <v>5</v>
      </c>
      <c r="B15" s="94">
        <v>200000</v>
      </c>
      <c r="C15" s="94">
        <v>200000</v>
      </c>
      <c r="D15" s="94">
        <v>200000</v>
      </c>
      <c r="E15" s="94">
        <v>200000</v>
      </c>
      <c r="F15" s="94">
        <v>200000</v>
      </c>
      <c r="G15" s="94">
        <v>200000</v>
      </c>
      <c r="H15" s="94">
        <v>200000</v>
      </c>
      <c r="I15" s="94">
        <v>200000</v>
      </c>
      <c r="J15" s="94">
        <v>200000</v>
      </c>
      <c r="K15" s="94">
        <v>200000</v>
      </c>
      <c r="L15" s="94">
        <v>200000</v>
      </c>
      <c r="M15" s="94">
        <v>200000</v>
      </c>
    </row>
    <row r="16" spans="1:13" x14ac:dyDescent="0.2">
      <c r="A16" s="60" t="s">
        <v>6</v>
      </c>
      <c r="B16" s="95">
        <f>SUM(B7:B15)</f>
        <v>209200</v>
      </c>
      <c r="C16" s="95">
        <f t="shared" ref="C16:M16" si="1">SUM(C7:C15)</f>
        <v>418400</v>
      </c>
      <c r="D16" s="95">
        <f t="shared" si="1"/>
        <v>630400</v>
      </c>
      <c r="E16" s="95">
        <f t="shared" si="1"/>
        <v>842400</v>
      </c>
      <c r="F16" s="95">
        <f t="shared" si="1"/>
        <v>1054400</v>
      </c>
      <c r="G16" s="95">
        <f t="shared" si="1"/>
        <v>1254400</v>
      </c>
      <c r="H16" s="95">
        <f t="shared" si="1"/>
        <v>1454400</v>
      </c>
      <c r="I16" s="95">
        <f t="shared" si="1"/>
        <v>1654400</v>
      </c>
      <c r="J16" s="95">
        <f t="shared" si="1"/>
        <v>1854400</v>
      </c>
      <c r="K16" s="95">
        <f t="shared" si="1"/>
        <v>2054400</v>
      </c>
      <c r="L16" s="95">
        <f t="shared" si="1"/>
        <v>2254400</v>
      </c>
      <c r="M16" s="95">
        <f t="shared" si="1"/>
        <v>2454400</v>
      </c>
    </row>
    <row r="17" spans="1:13" x14ac:dyDescent="0.2">
      <c r="A17" s="60" t="s">
        <v>7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</row>
    <row r="18" spans="1:13" x14ac:dyDescent="0.2">
      <c r="A18" s="60" t="s">
        <v>111</v>
      </c>
      <c r="B18" s="95">
        <f>B16-B17</f>
        <v>209200</v>
      </c>
      <c r="C18" s="95">
        <f>C16-C17</f>
        <v>418400</v>
      </c>
      <c r="D18" s="95">
        <f t="shared" ref="D18:M18" si="2">D16-D17</f>
        <v>630400</v>
      </c>
      <c r="E18" s="95">
        <f t="shared" si="2"/>
        <v>842400</v>
      </c>
      <c r="F18" s="95">
        <f t="shared" si="2"/>
        <v>1054400</v>
      </c>
      <c r="G18" s="95">
        <f t="shared" si="2"/>
        <v>1254400</v>
      </c>
      <c r="H18" s="95">
        <f t="shared" si="2"/>
        <v>1454400</v>
      </c>
      <c r="I18" s="95">
        <f t="shared" si="2"/>
        <v>1654400</v>
      </c>
      <c r="J18" s="95">
        <f t="shared" si="2"/>
        <v>1854400</v>
      </c>
      <c r="K18" s="95">
        <f t="shared" si="2"/>
        <v>2054400</v>
      </c>
      <c r="L18" s="95">
        <f t="shared" si="2"/>
        <v>2254400</v>
      </c>
      <c r="M18" s="95">
        <f t="shared" si="2"/>
        <v>2454400</v>
      </c>
    </row>
    <row r="19" spans="1:13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</row>
    <row r="20" spans="1:13" x14ac:dyDescent="0.2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</row>
    <row r="21" spans="1:13" x14ac:dyDescent="0.2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x14ac:dyDescent="0.2">
      <c r="A23" s="62" t="s">
        <v>0</v>
      </c>
      <c r="B23" s="62" t="s">
        <v>1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1:13" x14ac:dyDescent="0.2">
      <c r="A24" s="63"/>
      <c r="B24" s="97">
        <v>45658</v>
      </c>
      <c r="C24" s="97">
        <v>45689</v>
      </c>
      <c r="D24" s="97">
        <v>45717</v>
      </c>
      <c r="E24" s="97">
        <v>45748</v>
      </c>
      <c r="F24" s="97">
        <v>45778</v>
      </c>
      <c r="G24" s="97">
        <v>45809</v>
      </c>
      <c r="H24" s="97">
        <v>45839</v>
      </c>
      <c r="I24" s="97">
        <v>45870</v>
      </c>
      <c r="J24" s="97">
        <v>45901</v>
      </c>
      <c r="K24" s="97">
        <v>45931</v>
      </c>
      <c r="L24" s="97">
        <v>45962</v>
      </c>
      <c r="M24" s="97">
        <v>45992</v>
      </c>
    </row>
    <row r="25" spans="1:13" x14ac:dyDescent="0.2">
      <c r="A25" s="60" t="s">
        <v>110</v>
      </c>
      <c r="B25" s="94">
        <v>1440000</v>
      </c>
      <c r="C25" s="94">
        <f t="shared" ref="C25:M25" si="3">B36</f>
        <v>1590000</v>
      </c>
      <c r="D25" s="94">
        <f t="shared" si="3"/>
        <v>1740000</v>
      </c>
      <c r="E25" s="94">
        <f t="shared" si="3"/>
        <v>1890000</v>
      </c>
      <c r="F25" s="94">
        <f t="shared" si="3"/>
        <v>2040000</v>
      </c>
      <c r="G25" s="94">
        <f t="shared" si="3"/>
        <v>2190000</v>
      </c>
      <c r="H25" s="94">
        <f t="shared" si="3"/>
        <v>2340000</v>
      </c>
      <c r="I25" s="94">
        <f t="shared" si="3"/>
        <v>2490000</v>
      </c>
      <c r="J25" s="94">
        <f t="shared" si="3"/>
        <v>2640000</v>
      </c>
      <c r="K25" s="94">
        <f t="shared" si="3"/>
        <v>1890000</v>
      </c>
      <c r="L25" s="94">
        <f t="shared" si="3"/>
        <v>2049200</v>
      </c>
      <c r="M25" s="94">
        <f t="shared" si="3"/>
        <v>2208400</v>
      </c>
    </row>
    <row r="26" spans="1:13" x14ac:dyDescent="0.2">
      <c r="A26" s="60" t="s">
        <v>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3" x14ac:dyDescent="0.2">
      <c r="A27" s="60" t="s">
        <v>3</v>
      </c>
      <c r="B27" s="94"/>
      <c r="C27" s="94"/>
      <c r="D27" s="94"/>
      <c r="E27" s="94"/>
      <c r="F27" s="94"/>
      <c r="G27" s="94"/>
      <c r="H27" s="94"/>
      <c r="I27" s="94"/>
      <c r="J27" s="94"/>
      <c r="K27" s="94">
        <v>9200</v>
      </c>
      <c r="L27" s="94">
        <v>9200</v>
      </c>
      <c r="M27" s="94">
        <v>9200</v>
      </c>
    </row>
    <row r="28" spans="1:13" x14ac:dyDescent="0.2">
      <c r="A28" s="60" t="s">
        <v>4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</row>
    <row r="29" spans="1:13" x14ac:dyDescent="0.2">
      <c r="A29" s="60" t="s">
        <v>9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</row>
    <row r="30" spans="1:13" x14ac:dyDescent="0.2">
      <c r="A30" s="60" t="s">
        <v>73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1:13" x14ac:dyDescent="0.2">
      <c r="A31" s="60" t="s">
        <v>74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</row>
    <row r="32" spans="1:13" x14ac:dyDescent="0.2">
      <c r="A32" s="60" t="s">
        <v>75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</row>
    <row r="33" spans="1:13" x14ac:dyDescent="0.2">
      <c r="A33" s="60" t="s">
        <v>5</v>
      </c>
      <c r="B33" s="94">
        <v>150000</v>
      </c>
      <c r="C33" s="94">
        <v>150000</v>
      </c>
      <c r="D33" s="94">
        <v>150000</v>
      </c>
      <c r="E33" s="94">
        <v>150000</v>
      </c>
      <c r="F33" s="94">
        <v>150000</v>
      </c>
      <c r="G33" s="94">
        <v>150000</v>
      </c>
      <c r="H33" s="94">
        <v>150000</v>
      </c>
      <c r="I33" s="94">
        <v>150000</v>
      </c>
      <c r="J33" s="94">
        <v>150000</v>
      </c>
      <c r="K33" s="94">
        <v>150000</v>
      </c>
      <c r="L33" s="94">
        <v>150000</v>
      </c>
      <c r="M33" s="94">
        <v>150000</v>
      </c>
    </row>
    <row r="34" spans="1:13" x14ac:dyDescent="0.2">
      <c r="A34" s="60" t="s">
        <v>6</v>
      </c>
      <c r="B34" s="95">
        <f t="shared" ref="B34:M34" si="4">SUM(B25:B33)</f>
        <v>1590000</v>
      </c>
      <c r="C34" s="95">
        <f t="shared" si="4"/>
        <v>1740000</v>
      </c>
      <c r="D34" s="95">
        <f t="shared" si="4"/>
        <v>1890000</v>
      </c>
      <c r="E34" s="95">
        <f t="shared" si="4"/>
        <v>2040000</v>
      </c>
      <c r="F34" s="95">
        <f t="shared" si="4"/>
        <v>2190000</v>
      </c>
      <c r="G34" s="95">
        <f t="shared" si="4"/>
        <v>2340000</v>
      </c>
      <c r="H34" s="95">
        <f t="shared" si="4"/>
        <v>2490000</v>
      </c>
      <c r="I34" s="95">
        <f t="shared" si="4"/>
        <v>2640000</v>
      </c>
      <c r="J34" s="95">
        <f t="shared" si="4"/>
        <v>2790000</v>
      </c>
      <c r="K34" s="95">
        <f t="shared" si="4"/>
        <v>2049200</v>
      </c>
      <c r="L34" s="95">
        <f t="shared" si="4"/>
        <v>2208400</v>
      </c>
      <c r="M34" s="95">
        <f t="shared" si="4"/>
        <v>2367600</v>
      </c>
    </row>
    <row r="35" spans="1:13" ht="13.5" thickBot="1" x14ac:dyDescent="0.25">
      <c r="A35" s="60" t="s">
        <v>7</v>
      </c>
      <c r="B35" s="96"/>
      <c r="C35" s="96"/>
      <c r="D35" s="96"/>
      <c r="E35" s="96"/>
      <c r="F35" s="96"/>
      <c r="G35" s="96"/>
      <c r="H35" s="96"/>
      <c r="I35" s="96"/>
      <c r="J35" s="96">
        <v>900000</v>
      </c>
      <c r="K35" s="96"/>
      <c r="L35" s="96"/>
      <c r="M35" s="96">
        <v>2367600</v>
      </c>
    </row>
    <row r="36" spans="1:13" ht="13.5" thickBot="1" x14ac:dyDescent="0.25">
      <c r="A36" s="60" t="s">
        <v>111</v>
      </c>
      <c r="B36" s="98">
        <f t="shared" ref="B36:M36" si="5">B34-B35</f>
        <v>1590000</v>
      </c>
      <c r="C36" s="99">
        <f t="shared" si="5"/>
        <v>1740000</v>
      </c>
      <c r="D36" s="99">
        <f t="shared" si="5"/>
        <v>1890000</v>
      </c>
      <c r="E36" s="99">
        <f t="shared" si="5"/>
        <v>2040000</v>
      </c>
      <c r="F36" s="99">
        <f t="shared" si="5"/>
        <v>2190000</v>
      </c>
      <c r="G36" s="99">
        <f t="shared" si="5"/>
        <v>2340000</v>
      </c>
      <c r="H36" s="99">
        <f t="shared" si="5"/>
        <v>2490000</v>
      </c>
      <c r="I36" s="99">
        <f t="shared" si="5"/>
        <v>2640000</v>
      </c>
      <c r="J36" s="99">
        <f t="shared" si="5"/>
        <v>1890000</v>
      </c>
      <c r="K36" s="99">
        <f t="shared" si="5"/>
        <v>2049200</v>
      </c>
      <c r="L36" s="99">
        <f t="shared" si="5"/>
        <v>2208400</v>
      </c>
      <c r="M36" s="100">
        <f t="shared" si="5"/>
        <v>0</v>
      </c>
    </row>
    <row r="37" spans="1:13" x14ac:dyDescent="0.2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</row>
    <row r="38" spans="1:13" x14ac:dyDescent="0.2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</row>
    <row r="39" spans="1:13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spans="1:13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spans="1:13" x14ac:dyDescent="0.2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</row>
    <row r="42" spans="1:13" x14ac:dyDescent="0.2">
      <c r="A42" s="62" t="s">
        <v>0</v>
      </c>
      <c r="B42" s="62" t="s">
        <v>1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3" x14ac:dyDescent="0.2">
      <c r="A43" s="63"/>
      <c r="B43" s="97">
        <v>44927</v>
      </c>
      <c r="C43" s="97">
        <v>44958</v>
      </c>
      <c r="D43" s="97">
        <v>44986</v>
      </c>
      <c r="E43" s="97">
        <v>45017</v>
      </c>
      <c r="F43" s="97">
        <v>45047</v>
      </c>
      <c r="G43" s="97">
        <v>45078</v>
      </c>
      <c r="H43" s="97">
        <v>45108</v>
      </c>
      <c r="I43" s="97">
        <v>45139</v>
      </c>
      <c r="J43" s="97">
        <v>45170</v>
      </c>
      <c r="K43" s="97">
        <v>45200</v>
      </c>
      <c r="L43" s="97">
        <v>45231</v>
      </c>
      <c r="M43" s="97">
        <v>45261</v>
      </c>
    </row>
    <row r="44" spans="1:13" x14ac:dyDescent="0.2">
      <c r="A44" s="60" t="s">
        <v>110</v>
      </c>
      <c r="B44" s="94">
        <v>312000</v>
      </c>
      <c r="C44" s="94">
        <f t="shared" ref="C44:M44" si="6">B55</f>
        <v>342000</v>
      </c>
      <c r="D44" s="94">
        <f t="shared" si="6"/>
        <v>372000</v>
      </c>
      <c r="E44" s="94">
        <f t="shared" si="6"/>
        <v>402000</v>
      </c>
      <c r="F44" s="94">
        <f t="shared" si="6"/>
        <v>432000</v>
      </c>
      <c r="G44" s="94">
        <f t="shared" si="6"/>
        <v>462000</v>
      </c>
      <c r="H44" s="94">
        <f t="shared" si="6"/>
        <v>492000</v>
      </c>
      <c r="I44" s="94">
        <f t="shared" si="6"/>
        <v>492000</v>
      </c>
      <c r="J44" s="94">
        <f t="shared" si="6"/>
        <v>492000</v>
      </c>
      <c r="K44" s="94">
        <f t="shared" si="6"/>
        <v>492000</v>
      </c>
      <c r="L44" s="94">
        <f t="shared" si="6"/>
        <v>492000</v>
      </c>
      <c r="M44" s="94">
        <f t="shared" si="6"/>
        <v>492000</v>
      </c>
    </row>
    <row r="45" spans="1:13" x14ac:dyDescent="0.2">
      <c r="A45" s="60" t="s">
        <v>2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</row>
    <row r="46" spans="1:13" x14ac:dyDescent="0.2">
      <c r="A46" s="60" t="s">
        <v>3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 spans="1:13" x14ac:dyDescent="0.2">
      <c r="A47" s="60" t="s">
        <v>4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</row>
    <row r="48" spans="1:13" x14ac:dyDescent="0.2">
      <c r="A48" s="60" t="s">
        <v>9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</row>
    <row r="49" spans="1:13" x14ac:dyDescent="0.2">
      <c r="A49" s="60" t="s">
        <v>73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 spans="1:13" x14ac:dyDescent="0.2">
      <c r="A50" s="60" t="s">
        <v>74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</row>
    <row r="51" spans="1:13" x14ac:dyDescent="0.2">
      <c r="A51" s="60" t="s">
        <v>75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</row>
    <row r="52" spans="1:13" x14ac:dyDescent="0.2">
      <c r="A52" s="60" t="s">
        <v>5</v>
      </c>
      <c r="B52" s="94">
        <v>30000</v>
      </c>
      <c r="C52" s="94">
        <v>30000</v>
      </c>
      <c r="D52" s="94">
        <v>30000</v>
      </c>
      <c r="E52" s="94">
        <v>30000</v>
      </c>
      <c r="F52" s="94">
        <v>30000</v>
      </c>
      <c r="G52" s="94">
        <v>30000</v>
      </c>
      <c r="H52" s="94"/>
      <c r="I52" s="94"/>
      <c r="J52" s="94"/>
      <c r="K52" s="94"/>
      <c r="L52" s="94"/>
      <c r="M52" s="94"/>
    </row>
    <row r="53" spans="1:13" x14ac:dyDescent="0.2">
      <c r="A53" s="60" t="s">
        <v>6</v>
      </c>
      <c r="B53" s="95">
        <f t="shared" ref="B53:M53" si="7">SUM(B44:B52)</f>
        <v>342000</v>
      </c>
      <c r="C53" s="95">
        <f t="shared" si="7"/>
        <v>372000</v>
      </c>
      <c r="D53" s="95">
        <f t="shared" si="7"/>
        <v>402000</v>
      </c>
      <c r="E53" s="95">
        <f t="shared" si="7"/>
        <v>432000</v>
      </c>
      <c r="F53" s="95">
        <f t="shared" si="7"/>
        <v>462000</v>
      </c>
      <c r="G53" s="95">
        <f t="shared" si="7"/>
        <v>492000</v>
      </c>
      <c r="H53" s="95">
        <f t="shared" si="7"/>
        <v>492000</v>
      </c>
      <c r="I53" s="95">
        <f t="shared" si="7"/>
        <v>492000</v>
      </c>
      <c r="J53" s="95">
        <f t="shared" si="7"/>
        <v>492000</v>
      </c>
      <c r="K53" s="95">
        <f t="shared" si="7"/>
        <v>492000</v>
      </c>
      <c r="L53" s="95">
        <f t="shared" si="7"/>
        <v>492000</v>
      </c>
      <c r="M53" s="95">
        <f t="shared" si="7"/>
        <v>492000</v>
      </c>
    </row>
    <row r="54" spans="1:13" ht="13.5" thickBot="1" x14ac:dyDescent="0.25">
      <c r="A54" s="60" t="s">
        <v>7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</row>
    <row r="55" spans="1:13" ht="13.5" thickBot="1" x14ac:dyDescent="0.25">
      <c r="A55" s="60" t="s">
        <v>111</v>
      </c>
      <c r="B55" s="98">
        <f t="shared" ref="B55:M55" si="8">B53-B54</f>
        <v>342000</v>
      </c>
      <c r="C55" s="99">
        <f t="shared" si="8"/>
        <v>372000</v>
      </c>
      <c r="D55" s="99">
        <f t="shared" si="8"/>
        <v>402000</v>
      </c>
      <c r="E55" s="99">
        <f t="shared" si="8"/>
        <v>432000</v>
      </c>
      <c r="F55" s="99">
        <f t="shared" si="8"/>
        <v>462000</v>
      </c>
      <c r="G55" s="99">
        <f t="shared" si="8"/>
        <v>492000</v>
      </c>
      <c r="H55" s="99">
        <f t="shared" si="8"/>
        <v>492000</v>
      </c>
      <c r="I55" s="99">
        <f t="shared" si="8"/>
        <v>492000</v>
      </c>
      <c r="J55" s="99">
        <f t="shared" si="8"/>
        <v>492000</v>
      </c>
      <c r="K55" s="99">
        <f t="shared" si="8"/>
        <v>492000</v>
      </c>
      <c r="L55" s="99">
        <f t="shared" si="8"/>
        <v>492000</v>
      </c>
      <c r="M55" s="100">
        <f t="shared" si="8"/>
        <v>492000</v>
      </c>
    </row>
    <row r="56" spans="1:13" x14ac:dyDescent="0.2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</row>
    <row r="57" spans="1:13" x14ac:dyDescent="0.2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x14ac:dyDescent="0.2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spans="1:13" x14ac:dyDescent="0.2">
      <c r="A59" s="62" t="s">
        <v>0</v>
      </c>
      <c r="B59" s="62" t="s">
        <v>1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spans="1:13" x14ac:dyDescent="0.2">
      <c r="A60" s="63"/>
      <c r="B60" s="97">
        <v>42736</v>
      </c>
      <c r="C60" s="97">
        <v>42767</v>
      </c>
      <c r="D60" s="97">
        <v>42795</v>
      </c>
      <c r="E60" s="97">
        <v>42826</v>
      </c>
      <c r="F60" s="97">
        <v>42856</v>
      </c>
      <c r="G60" s="97">
        <v>42887</v>
      </c>
      <c r="H60" s="97">
        <v>42917</v>
      </c>
      <c r="I60" s="97">
        <v>42948</v>
      </c>
      <c r="J60" s="97">
        <v>42979</v>
      </c>
      <c r="K60" s="97">
        <v>43009</v>
      </c>
      <c r="L60" s="97">
        <v>43040</v>
      </c>
      <c r="M60" s="97">
        <v>43070</v>
      </c>
    </row>
    <row r="61" spans="1:13" x14ac:dyDescent="0.2">
      <c r="A61" s="60" t="s">
        <v>110</v>
      </c>
      <c r="B61" s="94">
        <v>16800</v>
      </c>
      <c r="C61" s="94">
        <f>B72</f>
        <v>18600</v>
      </c>
      <c r="D61" s="94">
        <f t="shared" ref="D61:M61" si="9">C72</f>
        <v>20400</v>
      </c>
      <c r="E61" s="94">
        <f t="shared" si="9"/>
        <v>22200</v>
      </c>
      <c r="F61" s="94">
        <f t="shared" si="9"/>
        <v>24000</v>
      </c>
      <c r="G61" s="94">
        <f t="shared" si="9"/>
        <v>25800</v>
      </c>
      <c r="H61" s="94">
        <f t="shared" si="9"/>
        <v>0</v>
      </c>
      <c r="I61" s="94">
        <f t="shared" si="9"/>
        <v>2000</v>
      </c>
      <c r="J61" s="94">
        <f t="shared" si="9"/>
        <v>4000</v>
      </c>
      <c r="K61" s="94">
        <f t="shared" si="9"/>
        <v>6000</v>
      </c>
      <c r="L61" s="94">
        <f t="shared" si="9"/>
        <v>8000</v>
      </c>
      <c r="M61" s="94">
        <f t="shared" si="9"/>
        <v>10000</v>
      </c>
    </row>
    <row r="62" spans="1:13" x14ac:dyDescent="0.2">
      <c r="A62" s="60" t="s">
        <v>2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</row>
    <row r="63" spans="1:13" x14ac:dyDescent="0.2">
      <c r="A63" s="60" t="s">
        <v>3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</row>
    <row r="64" spans="1:13" x14ac:dyDescent="0.2">
      <c r="A64" s="60" t="s">
        <v>4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</row>
    <row r="65" spans="1:13" x14ac:dyDescent="0.2">
      <c r="A65" s="60" t="s">
        <v>9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</row>
    <row r="66" spans="1:13" x14ac:dyDescent="0.2">
      <c r="A66" s="60" t="s">
        <v>73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</row>
    <row r="67" spans="1:13" x14ac:dyDescent="0.2">
      <c r="A67" s="60" t="s">
        <v>74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</row>
    <row r="68" spans="1:13" x14ac:dyDescent="0.2">
      <c r="A68" s="60" t="s">
        <v>75</v>
      </c>
      <c r="B68" s="94"/>
      <c r="C68" s="94"/>
      <c r="D68" s="94"/>
      <c r="E68" s="94"/>
      <c r="F68" s="94"/>
      <c r="G68" s="94">
        <v>-7600</v>
      </c>
      <c r="H68" s="94"/>
      <c r="I68" s="94"/>
      <c r="J68" s="94"/>
      <c r="K68" s="94"/>
      <c r="L68" s="94"/>
      <c r="M68" s="94"/>
    </row>
    <row r="69" spans="1:13" x14ac:dyDescent="0.2">
      <c r="A69" s="60" t="s">
        <v>5</v>
      </c>
      <c r="B69" s="94">
        <v>1800</v>
      </c>
      <c r="C69" s="94">
        <v>1800</v>
      </c>
      <c r="D69" s="94">
        <v>1800</v>
      </c>
      <c r="E69" s="94">
        <v>1800</v>
      </c>
      <c r="F69" s="94">
        <v>1800</v>
      </c>
      <c r="G69" s="94">
        <v>1800</v>
      </c>
      <c r="H69" s="94">
        <v>2000</v>
      </c>
      <c r="I69" s="94">
        <v>2000</v>
      </c>
      <c r="J69" s="94">
        <v>2000</v>
      </c>
      <c r="K69" s="94">
        <v>2000</v>
      </c>
      <c r="L69" s="94">
        <v>2000</v>
      </c>
      <c r="M69" s="94">
        <v>2000</v>
      </c>
    </row>
    <row r="70" spans="1:13" x14ac:dyDescent="0.2">
      <c r="A70" s="60" t="s">
        <v>6</v>
      </c>
      <c r="B70" s="95">
        <f t="shared" ref="B70:M70" si="10">SUM(B61:B69)</f>
        <v>18600</v>
      </c>
      <c r="C70" s="95">
        <f t="shared" si="10"/>
        <v>20400</v>
      </c>
      <c r="D70" s="95">
        <f t="shared" si="10"/>
        <v>22200</v>
      </c>
      <c r="E70" s="95">
        <f t="shared" si="10"/>
        <v>24000</v>
      </c>
      <c r="F70" s="95">
        <f t="shared" si="10"/>
        <v>25800</v>
      </c>
      <c r="G70" s="95">
        <f t="shared" si="10"/>
        <v>20000</v>
      </c>
      <c r="H70" s="95">
        <f t="shared" si="10"/>
        <v>2000</v>
      </c>
      <c r="I70" s="95">
        <f t="shared" si="10"/>
        <v>4000</v>
      </c>
      <c r="J70" s="95">
        <f t="shared" si="10"/>
        <v>6000</v>
      </c>
      <c r="K70" s="95">
        <f t="shared" si="10"/>
        <v>8000</v>
      </c>
      <c r="L70" s="95">
        <f t="shared" si="10"/>
        <v>10000</v>
      </c>
      <c r="M70" s="95">
        <f t="shared" si="10"/>
        <v>12000</v>
      </c>
    </row>
    <row r="71" spans="1:13" ht="13.5" thickBot="1" x14ac:dyDescent="0.25">
      <c r="A71" s="60" t="s">
        <v>7</v>
      </c>
      <c r="B71" s="96"/>
      <c r="C71" s="96"/>
      <c r="D71" s="96"/>
      <c r="E71" s="96"/>
      <c r="F71" s="96"/>
      <c r="G71" s="96">
        <v>20000</v>
      </c>
      <c r="H71" s="96"/>
      <c r="I71" s="96"/>
      <c r="J71" s="96"/>
      <c r="K71" s="96"/>
      <c r="L71" s="96"/>
      <c r="M71" s="96"/>
    </row>
    <row r="72" spans="1:13" ht="13.5" thickBot="1" x14ac:dyDescent="0.25">
      <c r="A72" s="60" t="s">
        <v>111</v>
      </c>
      <c r="B72" s="98">
        <f t="shared" ref="B72:M72" si="11">B70-B71</f>
        <v>18600</v>
      </c>
      <c r="C72" s="98">
        <f t="shared" si="11"/>
        <v>20400</v>
      </c>
      <c r="D72" s="98">
        <f t="shared" si="11"/>
        <v>22200</v>
      </c>
      <c r="E72" s="98">
        <f t="shared" si="11"/>
        <v>24000</v>
      </c>
      <c r="F72" s="98">
        <f t="shared" si="11"/>
        <v>25800</v>
      </c>
      <c r="G72" s="98">
        <f t="shared" si="11"/>
        <v>0</v>
      </c>
      <c r="H72" s="99">
        <f t="shared" si="11"/>
        <v>2000</v>
      </c>
      <c r="I72" s="99">
        <f t="shared" si="11"/>
        <v>4000</v>
      </c>
      <c r="J72" s="99">
        <f t="shared" si="11"/>
        <v>6000</v>
      </c>
      <c r="K72" s="99">
        <f t="shared" si="11"/>
        <v>8000</v>
      </c>
      <c r="L72" s="99">
        <f t="shared" si="11"/>
        <v>10000</v>
      </c>
      <c r="M72" s="100">
        <f t="shared" si="11"/>
        <v>12000</v>
      </c>
    </row>
    <row r="73" spans="1:13" x14ac:dyDescent="0.2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</row>
    <row r="74" spans="1:13" x14ac:dyDescent="0.2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0"/>
  <dimension ref="B3:N32"/>
  <sheetViews>
    <sheetView topLeftCell="A13" workbookViewId="0">
      <selection activeCell="G32" sqref="G32"/>
    </sheetView>
  </sheetViews>
  <sheetFormatPr baseColWidth="10" defaultRowHeight="12.75" x14ac:dyDescent="0.2"/>
  <cols>
    <col min="1" max="1" width="4.5703125" customWidth="1"/>
    <col min="2" max="2" width="32.42578125" customWidth="1"/>
    <col min="3" max="7" width="11.5703125" bestFit="1" customWidth="1"/>
    <col min="8" max="8" width="13" bestFit="1" customWidth="1"/>
    <col min="9" max="9" width="12.85546875" bestFit="1" customWidth="1"/>
    <col min="10" max="14" width="11.5703125" bestFit="1" customWidth="1"/>
  </cols>
  <sheetData>
    <row r="3" spans="2:14" x14ac:dyDescent="0.2">
      <c r="B3" s="50" t="s">
        <v>0</v>
      </c>
      <c r="C3" s="50" t="s">
        <v>1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</row>
    <row r="4" spans="2:14" x14ac:dyDescent="0.2">
      <c r="B4" s="78"/>
      <c r="C4" s="79">
        <v>45658</v>
      </c>
      <c r="D4" s="79">
        <v>45689</v>
      </c>
      <c r="E4" s="79">
        <v>45717</v>
      </c>
      <c r="F4" s="79">
        <v>45748</v>
      </c>
      <c r="G4" s="79">
        <v>45778</v>
      </c>
      <c r="H4" s="79">
        <v>45809</v>
      </c>
      <c r="I4" s="79">
        <v>45839</v>
      </c>
      <c r="J4" s="79">
        <v>45870</v>
      </c>
      <c r="K4" s="79">
        <v>45901</v>
      </c>
      <c r="L4" s="79">
        <v>45931</v>
      </c>
      <c r="M4" s="79">
        <v>45962</v>
      </c>
      <c r="N4" s="79">
        <v>45992</v>
      </c>
    </row>
    <row r="5" spans="2:14" x14ac:dyDescent="0.2">
      <c r="B5" s="78" t="s">
        <v>110</v>
      </c>
      <c r="C5" s="42"/>
      <c r="D5" s="42">
        <f>C16</f>
        <v>0</v>
      </c>
      <c r="E5" s="42">
        <f t="shared" ref="E5:N5" si="0">D16</f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>K16</f>
        <v>0</v>
      </c>
      <c r="M5" s="42">
        <f t="shared" si="0"/>
        <v>0</v>
      </c>
      <c r="N5" s="42">
        <f t="shared" si="0"/>
        <v>0</v>
      </c>
    </row>
    <row r="6" spans="2:14" x14ac:dyDescent="0.2">
      <c r="B6" s="78" t="s">
        <v>127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2:14" x14ac:dyDescent="0.2">
      <c r="B7" s="78" t="s">
        <v>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">
      <c r="B8" s="78" t="s">
        <v>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">
      <c r="B9" s="78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545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">
      <c r="B11" s="78" t="s">
        <v>370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371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5</v>
      </c>
      <c r="C13" s="42">
        <v>60000</v>
      </c>
      <c r="D13" s="42">
        <v>60000</v>
      </c>
      <c r="E13" s="42">
        <v>60000</v>
      </c>
      <c r="F13" s="42">
        <v>60000</v>
      </c>
      <c r="G13" s="42">
        <v>60000</v>
      </c>
      <c r="H13" s="42">
        <v>60000</v>
      </c>
      <c r="I13" s="42">
        <v>60000</v>
      </c>
      <c r="J13" s="42">
        <v>70000</v>
      </c>
      <c r="K13" s="42">
        <v>70000</v>
      </c>
      <c r="L13" s="42">
        <v>70000</v>
      </c>
      <c r="M13" s="42">
        <v>70000</v>
      </c>
      <c r="N13" s="42">
        <v>70000</v>
      </c>
    </row>
    <row r="14" spans="2:14" x14ac:dyDescent="0.2">
      <c r="B14" s="78" t="s">
        <v>6</v>
      </c>
      <c r="C14" s="43">
        <f t="shared" ref="C14:N14" si="1">SUM(C5:C13)</f>
        <v>60000</v>
      </c>
      <c r="D14" s="43">
        <f t="shared" si="1"/>
        <v>60000</v>
      </c>
      <c r="E14" s="43">
        <f t="shared" si="1"/>
        <v>60000</v>
      </c>
      <c r="F14" s="43">
        <f t="shared" si="1"/>
        <v>60000</v>
      </c>
      <c r="G14" s="43">
        <f t="shared" si="1"/>
        <v>60000</v>
      </c>
      <c r="H14" s="43">
        <f t="shared" si="1"/>
        <v>60000</v>
      </c>
      <c r="I14" s="43">
        <f t="shared" si="1"/>
        <v>60000</v>
      </c>
      <c r="J14" s="43">
        <f t="shared" si="1"/>
        <v>70000</v>
      </c>
      <c r="K14" s="43">
        <f t="shared" si="1"/>
        <v>70000</v>
      </c>
      <c r="L14" s="43">
        <f t="shared" si="1"/>
        <v>70000</v>
      </c>
      <c r="M14" s="43">
        <f t="shared" si="1"/>
        <v>70000</v>
      </c>
      <c r="N14" s="43">
        <f t="shared" si="1"/>
        <v>70000</v>
      </c>
    </row>
    <row r="15" spans="2:14" x14ac:dyDescent="0.2">
      <c r="B15" s="78" t="s">
        <v>7</v>
      </c>
      <c r="C15" s="44">
        <v>60000</v>
      </c>
      <c r="D15" s="44">
        <v>60000</v>
      </c>
      <c r="E15" s="44">
        <v>60000</v>
      </c>
      <c r="F15" s="44">
        <v>60000</v>
      </c>
      <c r="G15" s="44">
        <v>60000</v>
      </c>
      <c r="H15" s="44">
        <v>60000</v>
      </c>
      <c r="I15" s="44">
        <v>60000</v>
      </c>
      <c r="J15" s="44">
        <v>70000</v>
      </c>
      <c r="K15" s="44">
        <v>70000</v>
      </c>
      <c r="L15" s="44">
        <v>70000</v>
      </c>
      <c r="M15" s="44">
        <v>70000</v>
      </c>
      <c r="N15" s="44">
        <v>70000</v>
      </c>
    </row>
    <row r="16" spans="2:14" x14ac:dyDescent="0.2">
      <c r="B16" s="78" t="s">
        <v>111</v>
      </c>
      <c r="C16" s="43">
        <f>C14-C15</f>
        <v>0</v>
      </c>
      <c r="D16" s="43">
        <f>D14-D15</f>
        <v>0</v>
      </c>
      <c r="E16" s="43">
        <f t="shared" ref="E16:N16" si="2">E14-E15</f>
        <v>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>J14-J15</f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  <c r="N16" s="43">
        <f t="shared" si="2"/>
        <v>0</v>
      </c>
    </row>
    <row r="19" spans="2:14" ht="15.75" x14ac:dyDescent="0.25">
      <c r="B19" s="31" t="s">
        <v>0</v>
      </c>
      <c r="C19" s="31" t="s">
        <v>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x14ac:dyDescent="0.2">
      <c r="B20" s="78"/>
      <c r="C20" s="79">
        <v>46023</v>
      </c>
      <c r="D20" s="79">
        <v>46054</v>
      </c>
      <c r="E20" s="79">
        <v>46082</v>
      </c>
      <c r="F20" s="79">
        <v>46113</v>
      </c>
      <c r="G20" s="79">
        <v>46143</v>
      </c>
      <c r="H20" s="79">
        <v>46174</v>
      </c>
      <c r="I20" s="79">
        <v>46204</v>
      </c>
      <c r="J20" s="79">
        <v>46235</v>
      </c>
      <c r="K20" s="79">
        <v>46266</v>
      </c>
      <c r="L20" s="79">
        <v>46296</v>
      </c>
      <c r="M20" s="79">
        <v>46327</v>
      </c>
      <c r="N20" s="79">
        <v>46357</v>
      </c>
    </row>
    <row r="21" spans="2:14" x14ac:dyDescent="0.2">
      <c r="B21" s="78" t="s">
        <v>110</v>
      </c>
      <c r="C21" s="42"/>
      <c r="D21" s="42">
        <f t="shared" ref="D21:N21" si="3">C32</f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0</v>
      </c>
      <c r="M21" s="42">
        <f t="shared" si="3"/>
        <v>0</v>
      </c>
      <c r="N21" s="42">
        <f t="shared" si="3"/>
        <v>0</v>
      </c>
    </row>
    <row r="22" spans="2:14" x14ac:dyDescent="0.2">
      <c r="B22" s="78" t="s">
        <v>127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2:14" x14ac:dyDescent="0.2">
      <c r="B23" s="78" t="s">
        <v>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2:14" x14ac:dyDescent="0.2">
      <c r="B24" s="78" t="s">
        <v>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x14ac:dyDescent="0.2">
      <c r="B25" s="78" t="s">
        <v>9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545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370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371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5</v>
      </c>
      <c r="C29" s="42">
        <v>70000</v>
      </c>
      <c r="D29" s="42">
        <v>80000</v>
      </c>
      <c r="E29" s="42">
        <v>80000</v>
      </c>
      <c r="F29" s="42">
        <v>80000</v>
      </c>
      <c r="G29" s="42">
        <v>80000</v>
      </c>
      <c r="H29" s="42"/>
      <c r="I29" s="42"/>
      <c r="J29" s="42"/>
      <c r="K29" s="42"/>
      <c r="L29" s="42"/>
      <c r="M29" s="42"/>
      <c r="N29" s="42"/>
    </row>
    <row r="30" spans="2:14" x14ac:dyDescent="0.2">
      <c r="B30" s="78" t="s">
        <v>6</v>
      </c>
      <c r="C30" s="43">
        <f>SUM(C21:C29)</f>
        <v>70000</v>
      </c>
      <c r="D30" s="43">
        <f t="shared" ref="D30:N30" si="4">SUM(D21:D29)</f>
        <v>80000</v>
      </c>
      <c r="E30" s="43">
        <f t="shared" si="4"/>
        <v>80000</v>
      </c>
      <c r="F30" s="43">
        <f t="shared" si="4"/>
        <v>80000</v>
      </c>
      <c r="G30" s="43">
        <f t="shared" si="4"/>
        <v>80000</v>
      </c>
      <c r="H30" s="43">
        <f t="shared" si="4"/>
        <v>0</v>
      </c>
      <c r="I30" s="43">
        <f t="shared" si="4"/>
        <v>0</v>
      </c>
      <c r="J30" s="43">
        <f t="shared" si="4"/>
        <v>0</v>
      </c>
      <c r="K30" s="43">
        <f t="shared" si="4"/>
        <v>0</v>
      </c>
      <c r="L30" s="43">
        <f t="shared" si="4"/>
        <v>0</v>
      </c>
      <c r="M30" s="43">
        <f t="shared" si="4"/>
        <v>0</v>
      </c>
      <c r="N30" s="43">
        <f t="shared" si="4"/>
        <v>0</v>
      </c>
    </row>
    <row r="31" spans="2:14" x14ac:dyDescent="0.2">
      <c r="B31" s="78" t="s">
        <v>7</v>
      </c>
      <c r="C31" s="44">
        <v>70000</v>
      </c>
      <c r="D31" s="44">
        <v>80000</v>
      </c>
      <c r="E31" s="44">
        <v>80000</v>
      </c>
      <c r="F31" s="44">
        <v>80000</v>
      </c>
      <c r="G31" s="44">
        <v>80000</v>
      </c>
      <c r="H31" s="44"/>
      <c r="I31" s="44"/>
      <c r="J31" s="44"/>
      <c r="K31" s="44"/>
      <c r="L31" s="44"/>
      <c r="M31" s="44"/>
      <c r="N31" s="44"/>
    </row>
    <row r="32" spans="2:14" x14ac:dyDescent="0.2">
      <c r="B32" s="78" t="s">
        <v>111</v>
      </c>
      <c r="C32" s="43">
        <f t="shared" ref="C32:N32" si="5">C30-C31</f>
        <v>0</v>
      </c>
      <c r="D32" s="43">
        <f t="shared" si="5"/>
        <v>0</v>
      </c>
      <c r="E32" s="43">
        <f t="shared" si="5"/>
        <v>0</v>
      </c>
      <c r="F32" s="43">
        <f t="shared" si="5"/>
        <v>0</v>
      </c>
      <c r="G32" s="43">
        <f t="shared" si="5"/>
        <v>0</v>
      </c>
      <c r="H32" s="43">
        <f t="shared" si="5"/>
        <v>0</v>
      </c>
      <c r="I32" s="43">
        <f t="shared" si="5"/>
        <v>0</v>
      </c>
      <c r="J32" s="43">
        <f t="shared" si="5"/>
        <v>0</v>
      </c>
      <c r="K32" s="43">
        <f t="shared" si="5"/>
        <v>0</v>
      </c>
      <c r="L32" s="43">
        <f t="shared" si="5"/>
        <v>0</v>
      </c>
      <c r="M32" s="43">
        <f t="shared" si="5"/>
        <v>0</v>
      </c>
      <c r="N32" s="43">
        <f t="shared" si="5"/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1"/>
  <dimension ref="A3:M36"/>
  <sheetViews>
    <sheetView topLeftCell="A19" workbookViewId="0">
      <selection activeCell="E35" sqref="E35"/>
    </sheetView>
  </sheetViews>
  <sheetFormatPr baseColWidth="10" defaultRowHeight="12.75" x14ac:dyDescent="0.2"/>
  <cols>
    <col min="1" max="1" width="27.85546875" customWidth="1"/>
    <col min="4" max="4" width="12.140625" customWidth="1"/>
    <col min="5" max="5" width="12.85546875" customWidth="1"/>
    <col min="6" max="6" width="13" customWidth="1"/>
    <col min="7" max="7" width="13.28515625" customWidth="1"/>
    <col min="8" max="8" width="13.42578125" customWidth="1"/>
    <col min="9" max="9" width="12.5703125" customWidth="1"/>
    <col min="10" max="10" width="12" customWidth="1"/>
    <col min="11" max="12" width="12.28515625" customWidth="1"/>
    <col min="13" max="13" width="12" customWidth="1"/>
  </cols>
  <sheetData>
    <row r="3" spans="1:13" ht="20.25" x14ac:dyDescent="0.3">
      <c r="A3" s="11" t="s">
        <v>11</v>
      </c>
      <c r="B3" s="216" t="s">
        <v>129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A6" s="78"/>
      <c r="B6" s="79">
        <v>44197</v>
      </c>
      <c r="C6" s="79">
        <v>44228</v>
      </c>
      <c r="D6" s="79">
        <v>44256</v>
      </c>
      <c r="E6" s="79">
        <v>44287</v>
      </c>
      <c r="F6" s="79">
        <v>44317</v>
      </c>
      <c r="G6" s="79">
        <v>44348</v>
      </c>
      <c r="H6" s="79">
        <v>44378</v>
      </c>
      <c r="I6" s="79">
        <v>44409</v>
      </c>
      <c r="J6" s="79">
        <v>44440</v>
      </c>
      <c r="K6" s="79">
        <v>44470</v>
      </c>
      <c r="L6" s="79">
        <v>44501</v>
      </c>
      <c r="M6" s="79">
        <v>44531</v>
      </c>
    </row>
    <row r="7" spans="1:13" x14ac:dyDescent="0.2">
      <c r="A7" s="78" t="s">
        <v>110</v>
      </c>
      <c r="B7" s="42"/>
      <c r="C7" s="42">
        <f>B18</f>
        <v>0</v>
      </c>
      <c r="D7" s="42">
        <f t="shared" ref="D7:M7" si="0">C18</f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>J18</f>
        <v>0</v>
      </c>
      <c r="L7" s="42">
        <f t="shared" si="0"/>
        <v>4150</v>
      </c>
      <c r="M7" s="42">
        <f t="shared" si="0"/>
        <v>10300</v>
      </c>
    </row>
    <row r="8" spans="1:13" x14ac:dyDescent="0.2">
      <c r="A8" s="78" t="s">
        <v>127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>
        <v>3300</v>
      </c>
      <c r="L9" s="42">
        <v>3300</v>
      </c>
      <c r="M9" s="42">
        <v>3300</v>
      </c>
    </row>
    <row r="10" spans="1:13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>
        <v>850</v>
      </c>
      <c r="L10" s="42">
        <v>850</v>
      </c>
      <c r="M10" s="42">
        <v>850</v>
      </c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370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371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>
        <v>2000</v>
      </c>
      <c r="M15" s="42">
        <v>2000</v>
      </c>
    </row>
    <row r="16" spans="1:13" x14ac:dyDescent="0.2">
      <c r="A16" s="78" t="s">
        <v>6</v>
      </c>
      <c r="B16" s="43">
        <f>SUM(B7:B15)</f>
        <v>0</v>
      </c>
      <c r="C16" s="43">
        <f t="shared" ref="C16:M16" si="1">SUM(C7:C15)</f>
        <v>0</v>
      </c>
      <c r="D16" s="43">
        <f t="shared" si="1"/>
        <v>0</v>
      </c>
      <c r="E16" s="43">
        <f t="shared" si="1"/>
        <v>0</v>
      </c>
      <c r="F16" s="43">
        <f t="shared" si="1"/>
        <v>0</v>
      </c>
      <c r="G16" s="43">
        <f t="shared" si="1"/>
        <v>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4150</v>
      </c>
      <c r="L16" s="43">
        <f t="shared" si="1"/>
        <v>10300</v>
      </c>
      <c r="M16" s="43">
        <f t="shared" si="1"/>
        <v>16450</v>
      </c>
    </row>
    <row r="17" spans="1:13" x14ac:dyDescent="0.2">
      <c r="A17" s="78" t="s">
        <v>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>
        <v>16450</v>
      </c>
    </row>
    <row r="18" spans="1:13" x14ac:dyDescent="0.2">
      <c r="A18" s="78" t="s">
        <v>111</v>
      </c>
      <c r="B18" s="43">
        <f>B16-B17</f>
        <v>0</v>
      </c>
      <c r="C18" s="43">
        <f>C16-C17</f>
        <v>0</v>
      </c>
      <c r="D18" s="43">
        <f t="shared" ref="D18:M18" si="2">D16-D17</f>
        <v>0</v>
      </c>
      <c r="E18" s="43">
        <f t="shared" si="2"/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4150</v>
      </c>
      <c r="L18" s="43">
        <f t="shared" si="2"/>
        <v>10300</v>
      </c>
      <c r="M18" s="43">
        <f t="shared" si="2"/>
        <v>0</v>
      </c>
    </row>
    <row r="19" spans="1:13" x14ac:dyDescent="0.2">
      <c r="H19" s="128"/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.75" x14ac:dyDescent="0.25">
      <c r="A24" s="33"/>
      <c r="B24" s="34">
        <v>44562</v>
      </c>
      <c r="C24" s="34">
        <v>44593</v>
      </c>
      <c r="D24" s="34">
        <v>44621</v>
      </c>
      <c r="E24" s="34">
        <v>44652</v>
      </c>
      <c r="F24" s="34">
        <v>44682</v>
      </c>
      <c r="G24" s="34">
        <v>44713</v>
      </c>
      <c r="H24" s="34">
        <v>44743</v>
      </c>
      <c r="I24" s="34">
        <v>44774</v>
      </c>
      <c r="J24" s="34">
        <v>44805</v>
      </c>
      <c r="K24" s="34">
        <v>44835</v>
      </c>
      <c r="L24" s="34">
        <v>44866</v>
      </c>
      <c r="M24" s="34">
        <v>44896</v>
      </c>
    </row>
    <row r="25" spans="1:13" x14ac:dyDescent="0.2">
      <c r="A25" s="78" t="s">
        <v>110</v>
      </c>
      <c r="B25" s="42"/>
      <c r="C25" s="42">
        <f t="shared" ref="C25:M25" si="3">B36</f>
        <v>0</v>
      </c>
      <c r="D25" s="42">
        <f t="shared" si="3"/>
        <v>0</v>
      </c>
      <c r="E25" s="42">
        <f t="shared" si="3"/>
        <v>0</v>
      </c>
      <c r="F25" s="42">
        <f t="shared" si="3"/>
        <v>0</v>
      </c>
      <c r="G25" s="42">
        <f t="shared" si="3"/>
        <v>0</v>
      </c>
      <c r="H25" s="42">
        <f t="shared" si="3"/>
        <v>0</v>
      </c>
      <c r="I25" s="42">
        <f t="shared" si="3"/>
        <v>0</v>
      </c>
      <c r="J25" s="42">
        <f t="shared" si="3"/>
        <v>0</v>
      </c>
      <c r="K25" s="42">
        <f t="shared" si="3"/>
        <v>0</v>
      </c>
      <c r="L25" s="42">
        <f t="shared" si="3"/>
        <v>0</v>
      </c>
      <c r="M25" s="42">
        <f t="shared" si="3"/>
        <v>0</v>
      </c>
    </row>
    <row r="26" spans="1:13" x14ac:dyDescent="0.2">
      <c r="A26" s="78" t="s">
        <v>2</v>
      </c>
      <c r="B26" s="42">
        <v>4115</v>
      </c>
      <c r="C26" s="42">
        <v>4115</v>
      </c>
      <c r="D26" s="42">
        <v>4115</v>
      </c>
      <c r="E26" s="42">
        <v>4115</v>
      </c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</v>
      </c>
      <c r="B28" s="42">
        <v>855</v>
      </c>
      <c r="C28" s="42">
        <v>855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5</v>
      </c>
      <c r="B33" s="42">
        <v>3000</v>
      </c>
      <c r="C33" s="42">
        <v>3000</v>
      </c>
      <c r="D33" s="42">
        <v>1000</v>
      </c>
      <c r="E33" s="42">
        <v>1000</v>
      </c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6</v>
      </c>
      <c r="B34" s="43">
        <f t="shared" ref="B34:M34" si="4">SUM(B25:B33)</f>
        <v>7970</v>
      </c>
      <c r="C34" s="43">
        <f t="shared" si="4"/>
        <v>7970</v>
      </c>
      <c r="D34" s="43">
        <f t="shared" si="4"/>
        <v>5115</v>
      </c>
      <c r="E34" s="43">
        <f t="shared" si="4"/>
        <v>5115</v>
      </c>
      <c r="F34" s="43">
        <f t="shared" si="4"/>
        <v>0</v>
      </c>
      <c r="G34" s="70">
        <f t="shared" si="4"/>
        <v>0</v>
      </c>
      <c r="H34" s="43">
        <f t="shared" si="4"/>
        <v>0</v>
      </c>
      <c r="I34" s="43">
        <f t="shared" si="4"/>
        <v>0</v>
      </c>
      <c r="J34" s="43">
        <f t="shared" si="4"/>
        <v>0</v>
      </c>
      <c r="K34" s="43">
        <f t="shared" si="4"/>
        <v>0</v>
      </c>
      <c r="L34" s="43">
        <f t="shared" si="4"/>
        <v>0</v>
      </c>
      <c r="M34" s="43">
        <f t="shared" si="4"/>
        <v>0</v>
      </c>
    </row>
    <row r="35" spans="1:13" ht="13.5" thickBot="1" x14ac:dyDescent="0.25">
      <c r="A35" s="78" t="s">
        <v>7</v>
      </c>
      <c r="B35" s="44">
        <v>7970</v>
      </c>
      <c r="C35" s="44">
        <v>7970</v>
      </c>
      <c r="D35" s="44">
        <v>5115</v>
      </c>
      <c r="E35" s="44"/>
      <c r="F35" s="44"/>
      <c r="G35" s="44"/>
      <c r="H35" s="44"/>
      <c r="I35" s="44"/>
      <c r="J35" s="44"/>
      <c r="K35" s="44"/>
      <c r="L35" s="44"/>
      <c r="M35" s="44"/>
    </row>
    <row r="36" spans="1:13" ht="15.75" thickBot="1" x14ac:dyDescent="0.25">
      <c r="A36" s="8" t="s">
        <v>111</v>
      </c>
      <c r="B36" s="45">
        <f t="shared" ref="B36:M36" si="5">B34-B35</f>
        <v>0</v>
      </c>
      <c r="C36" s="46">
        <f t="shared" si="5"/>
        <v>0</v>
      </c>
      <c r="D36" s="46">
        <f t="shared" si="5"/>
        <v>0</v>
      </c>
      <c r="E36" s="46"/>
      <c r="F36" s="46">
        <f t="shared" si="5"/>
        <v>0</v>
      </c>
      <c r="G36" s="46">
        <f t="shared" si="5"/>
        <v>0</v>
      </c>
      <c r="H36" s="46">
        <f t="shared" si="5"/>
        <v>0</v>
      </c>
      <c r="I36" s="46">
        <f t="shared" si="5"/>
        <v>0</v>
      </c>
      <c r="J36" s="46">
        <f t="shared" si="5"/>
        <v>0</v>
      </c>
      <c r="K36" s="46">
        <f>K34-K35</f>
        <v>0</v>
      </c>
      <c r="L36" s="46">
        <f t="shared" si="5"/>
        <v>0</v>
      </c>
      <c r="M36" s="47">
        <f t="shared" si="5"/>
        <v>0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2"/>
  <dimension ref="A1:P69"/>
  <sheetViews>
    <sheetView topLeftCell="A44" workbookViewId="0">
      <selection activeCell="B64" sqref="B64:M64"/>
    </sheetView>
  </sheetViews>
  <sheetFormatPr baseColWidth="10" defaultRowHeight="12.75" x14ac:dyDescent="0.2"/>
  <cols>
    <col min="1" max="1" width="26.85546875" customWidth="1"/>
    <col min="2" max="2" width="12.28515625" customWidth="1"/>
    <col min="3" max="3" width="11" customWidth="1"/>
    <col min="4" max="4" width="11.28515625" customWidth="1"/>
    <col min="5" max="5" width="12" customWidth="1"/>
    <col min="6" max="6" width="11.7109375" customWidth="1"/>
    <col min="7" max="8" width="11.42578125" customWidth="1"/>
    <col min="9" max="11" width="12" customWidth="1"/>
    <col min="12" max="12" width="12.7109375" customWidth="1"/>
    <col min="13" max="13" width="12.5703125" customWidth="1"/>
    <col min="14" max="14" width="16.85546875" customWidth="1"/>
  </cols>
  <sheetData>
    <row r="1" spans="1:14" x14ac:dyDescent="0.2">
      <c r="A1" s="60"/>
    </row>
    <row r="2" spans="1:14" x14ac:dyDescent="0.2">
      <c r="A2" s="60"/>
    </row>
    <row r="3" spans="1:14" ht="20.25" x14ac:dyDescent="0.3">
      <c r="A3" s="61" t="s">
        <v>11</v>
      </c>
      <c r="B3" s="216" t="s">
        <v>40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4" ht="20.25" x14ac:dyDescent="0.3">
      <c r="A4" s="6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x14ac:dyDescent="0.2">
      <c r="A5" s="80" t="s">
        <v>0</v>
      </c>
      <c r="B5" s="80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4" x14ac:dyDescent="0.2">
      <c r="A6" s="81"/>
      <c r="B6" s="82">
        <v>44203</v>
      </c>
      <c r="C6" s="82">
        <v>44234</v>
      </c>
      <c r="D6" s="82">
        <v>44262</v>
      </c>
      <c r="E6" s="82">
        <v>44293</v>
      </c>
      <c r="F6" s="82">
        <v>44323</v>
      </c>
      <c r="G6" s="82">
        <v>44354</v>
      </c>
      <c r="H6" s="82">
        <v>44384</v>
      </c>
      <c r="I6" s="82">
        <v>44415</v>
      </c>
      <c r="J6" s="82">
        <v>44446</v>
      </c>
      <c r="K6" s="82">
        <v>44476</v>
      </c>
      <c r="L6" s="82">
        <v>44507</v>
      </c>
      <c r="M6" s="82">
        <v>44537</v>
      </c>
      <c r="N6" s="82"/>
    </row>
    <row r="7" spans="1:14" x14ac:dyDescent="0.2">
      <c r="A7" s="78" t="s">
        <v>110</v>
      </c>
      <c r="B7" s="42">
        <v>9500</v>
      </c>
      <c r="C7" s="42">
        <f t="shared" ref="C7:M7" si="0">B18</f>
        <v>17500</v>
      </c>
      <c r="D7" s="42">
        <f t="shared" si="0"/>
        <v>25500</v>
      </c>
      <c r="E7" s="42">
        <f t="shared" si="0"/>
        <v>33500</v>
      </c>
      <c r="F7" s="42">
        <f t="shared" si="0"/>
        <v>41500</v>
      </c>
      <c r="G7" s="42">
        <f t="shared" si="0"/>
        <v>49500</v>
      </c>
      <c r="H7" s="42">
        <f t="shared" si="0"/>
        <v>57500</v>
      </c>
      <c r="I7" s="42">
        <f t="shared" si="0"/>
        <v>65500</v>
      </c>
      <c r="J7" s="42">
        <f t="shared" si="0"/>
        <v>44500</v>
      </c>
      <c r="K7" s="42">
        <f t="shared" si="0"/>
        <v>124500</v>
      </c>
      <c r="L7" s="42">
        <f t="shared" si="0"/>
        <v>204500</v>
      </c>
      <c r="M7" s="42">
        <f t="shared" si="0"/>
        <v>284500</v>
      </c>
    </row>
    <row r="8" spans="1:14" x14ac:dyDescent="0.2">
      <c r="A8" s="78" t="s">
        <v>144</v>
      </c>
      <c r="B8" s="117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4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2">
      <c r="A11" s="78" t="s">
        <v>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x14ac:dyDescent="0.2">
      <c r="A12" s="78" t="s">
        <v>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2">
      <c r="A13" s="78" t="s">
        <v>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 x14ac:dyDescent="0.2">
      <c r="A14" s="78" t="s">
        <v>256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4" x14ac:dyDescent="0.2">
      <c r="A15" s="78" t="s">
        <v>5</v>
      </c>
      <c r="B15" s="42">
        <v>8000</v>
      </c>
      <c r="C15" s="42">
        <v>8000</v>
      </c>
      <c r="D15" s="42">
        <v>8000</v>
      </c>
      <c r="E15" s="42">
        <v>8000</v>
      </c>
      <c r="F15" s="42">
        <v>8000</v>
      </c>
      <c r="G15" s="42">
        <v>8000</v>
      </c>
      <c r="H15" s="42">
        <v>8000</v>
      </c>
      <c r="I15" s="42">
        <v>9000</v>
      </c>
      <c r="J15" s="42">
        <v>80000</v>
      </c>
      <c r="K15" s="42">
        <v>80000</v>
      </c>
      <c r="L15" s="42">
        <v>80000</v>
      </c>
      <c r="M15" s="42">
        <v>80000</v>
      </c>
    </row>
    <row r="16" spans="1:14" x14ac:dyDescent="0.2">
      <c r="A16" s="78" t="s">
        <v>6</v>
      </c>
      <c r="B16" s="43">
        <f t="shared" ref="B16:M16" si="1">SUM(B7:B15)</f>
        <v>17500</v>
      </c>
      <c r="C16" s="43">
        <f t="shared" si="1"/>
        <v>25500</v>
      </c>
      <c r="D16" s="43">
        <f t="shared" si="1"/>
        <v>33500</v>
      </c>
      <c r="E16" s="43">
        <f t="shared" si="1"/>
        <v>41500</v>
      </c>
      <c r="F16" s="43">
        <f t="shared" si="1"/>
        <v>49500</v>
      </c>
      <c r="G16" s="43">
        <f t="shared" si="1"/>
        <v>57500</v>
      </c>
      <c r="H16" s="43">
        <f t="shared" si="1"/>
        <v>65500</v>
      </c>
      <c r="I16" s="43">
        <f t="shared" si="1"/>
        <v>74500</v>
      </c>
      <c r="J16" s="43">
        <f t="shared" si="1"/>
        <v>124500</v>
      </c>
      <c r="K16" s="43">
        <f t="shared" si="1"/>
        <v>204500</v>
      </c>
      <c r="L16" s="43">
        <f t="shared" si="1"/>
        <v>284500</v>
      </c>
      <c r="M16" s="43">
        <f t="shared" si="1"/>
        <v>364500</v>
      </c>
    </row>
    <row r="17" spans="1:16" ht="13.5" thickBot="1" x14ac:dyDescent="0.25">
      <c r="A17" s="78" t="s">
        <v>7</v>
      </c>
      <c r="B17" s="44"/>
      <c r="C17" s="44"/>
      <c r="D17" s="44"/>
      <c r="E17" s="44"/>
      <c r="F17" s="44"/>
      <c r="G17" s="44"/>
      <c r="H17" s="44"/>
      <c r="I17" s="44">
        <v>30000</v>
      </c>
      <c r="J17" s="44"/>
      <c r="K17" s="44"/>
      <c r="L17" s="44"/>
      <c r="M17" s="44"/>
    </row>
    <row r="18" spans="1:16" ht="13.5" thickBot="1" x14ac:dyDescent="0.25">
      <c r="A18" s="78" t="s">
        <v>111</v>
      </c>
      <c r="B18" s="45">
        <f t="shared" ref="B18:M18" si="2">B16-B17</f>
        <v>17500</v>
      </c>
      <c r="C18" s="46">
        <f t="shared" si="2"/>
        <v>25500</v>
      </c>
      <c r="D18" s="46">
        <f t="shared" si="2"/>
        <v>33500</v>
      </c>
      <c r="E18" s="46">
        <f t="shared" si="2"/>
        <v>41500</v>
      </c>
      <c r="F18" s="46">
        <f t="shared" si="2"/>
        <v>49500</v>
      </c>
      <c r="G18" s="46">
        <f t="shared" si="2"/>
        <v>57500</v>
      </c>
      <c r="H18" s="46">
        <f t="shared" si="2"/>
        <v>65500</v>
      </c>
      <c r="I18" s="46">
        <f t="shared" si="2"/>
        <v>44500</v>
      </c>
      <c r="J18" s="46">
        <f t="shared" si="2"/>
        <v>124500</v>
      </c>
      <c r="K18" s="46">
        <f t="shared" si="2"/>
        <v>204500</v>
      </c>
      <c r="L18" s="46">
        <f t="shared" si="2"/>
        <v>284500</v>
      </c>
      <c r="M18" s="47">
        <f t="shared" si="2"/>
        <v>364500</v>
      </c>
    </row>
    <row r="19" spans="1:16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6" x14ac:dyDescent="0.2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6" x14ac:dyDescent="0.2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6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6" x14ac:dyDescent="0.2">
      <c r="A23" s="81"/>
      <c r="B23" s="82">
        <v>44562</v>
      </c>
      <c r="C23" s="82">
        <v>44593</v>
      </c>
      <c r="D23" s="82">
        <v>44621</v>
      </c>
      <c r="E23" s="82">
        <v>44652</v>
      </c>
      <c r="F23" s="82">
        <v>44682</v>
      </c>
      <c r="G23" s="82">
        <v>44713</v>
      </c>
      <c r="H23" s="82">
        <v>44743</v>
      </c>
      <c r="I23" s="82">
        <v>44774</v>
      </c>
      <c r="J23" s="82">
        <v>44805</v>
      </c>
      <c r="K23" s="82">
        <v>44835</v>
      </c>
      <c r="L23" s="82">
        <v>44866</v>
      </c>
      <c r="M23" s="82">
        <v>44896</v>
      </c>
    </row>
    <row r="24" spans="1:16" x14ac:dyDescent="0.2">
      <c r="A24" s="78" t="s">
        <v>110</v>
      </c>
      <c r="B24" s="69">
        <v>365000</v>
      </c>
      <c r="C24" s="69">
        <f t="shared" ref="C24:M24" si="3">B35</f>
        <v>445000</v>
      </c>
      <c r="D24" s="69">
        <f t="shared" si="3"/>
        <v>525000</v>
      </c>
      <c r="E24" s="69">
        <f t="shared" si="3"/>
        <v>605000</v>
      </c>
      <c r="F24" s="69">
        <f t="shared" si="3"/>
        <v>685000</v>
      </c>
      <c r="G24" s="69">
        <f t="shared" si="3"/>
        <v>765000</v>
      </c>
      <c r="H24" s="69">
        <f t="shared" si="3"/>
        <v>845000</v>
      </c>
      <c r="I24" s="69">
        <f t="shared" si="3"/>
        <v>925000</v>
      </c>
      <c r="J24" s="69">
        <f t="shared" si="3"/>
        <v>1005000</v>
      </c>
      <c r="K24" s="69">
        <f t="shared" si="3"/>
        <v>1085000</v>
      </c>
      <c r="L24" s="69">
        <f t="shared" si="3"/>
        <v>1165000</v>
      </c>
      <c r="M24" s="69">
        <f t="shared" si="3"/>
        <v>1245000</v>
      </c>
    </row>
    <row r="25" spans="1:16" x14ac:dyDescent="0.2">
      <c r="A25" s="78" t="s">
        <v>144</v>
      </c>
      <c r="B25" s="204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O25">
        <v>11768</v>
      </c>
      <c r="P25" t="s">
        <v>308</v>
      </c>
    </row>
    <row r="26" spans="1:16" x14ac:dyDescent="0.2">
      <c r="A26" s="78" t="s">
        <v>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O26">
        <v>13930</v>
      </c>
      <c r="P26" t="s">
        <v>231</v>
      </c>
    </row>
    <row r="27" spans="1:16" x14ac:dyDescent="0.2">
      <c r="A27" s="78" t="s">
        <v>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O27">
        <v>8806</v>
      </c>
      <c r="P27" t="s">
        <v>361</v>
      </c>
    </row>
    <row r="28" spans="1:16" x14ac:dyDescent="0.2">
      <c r="A28" s="78" t="s">
        <v>412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O28">
        <v>16200</v>
      </c>
    </row>
    <row r="29" spans="1:16" x14ac:dyDescent="0.2">
      <c r="A29" s="78" t="s">
        <v>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>
        <f>SUM(O25:O28)</f>
        <v>50704</v>
      </c>
      <c r="P29">
        <v>50000</v>
      </c>
    </row>
    <row r="30" spans="1:16" x14ac:dyDescent="0.2">
      <c r="A30" s="78" t="s">
        <v>339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6" x14ac:dyDescent="0.2">
      <c r="A31" s="78" t="s">
        <v>161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6" x14ac:dyDescent="0.2">
      <c r="A32" s="78" t="s">
        <v>5</v>
      </c>
      <c r="B32" s="69">
        <v>80000</v>
      </c>
      <c r="C32" s="69">
        <v>80000</v>
      </c>
      <c r="D32" s="69">
        <v>80000</v>
      </c>
      <c r="E32" s="69">
        <v>80000</v>
      </c>
      <c r="F32" s="69">
        <v>80000</v>
      </c>
      <c r="G32" s="69">
        <v>80000</v>
      </c>
      <c r="H32" s="69">
        <v>80000</v>
      </c>
      <c r="I32" s="69">
        <v>80000</v>
      </c>
      <c r="J32" s="69">
        <v>80000</v>
      </c>
      <c r="K32" s="69">
        <v>80000</v>
      </c>
      <c r="L32" s="69">
        <v>80000</v>
      </c>
      <c r="M32" s="69">
        <v>80000</v>
      </c>
      <c r="O32" s="124" t="s">
        <v>373</v>
      </c>
      <c r="P32" s="129">
        <v>60000</v>
      </c>
    </row>
    <row r="33" spans="1:13" x14ac:dyDescent="0.2">
      <c r="A33" s="78" t="s">
        <v>6</v>
      </c>
      <c r="B33" s="70">
        <f t="shared" ref="B33:M33" si="4">SUM(B24:B32)</f>
        <v>445000</v>
      </c>
      <c r="C33" s="70">
        <f t="shared" si="4"/>
        <v>525000</v>
      </c>
      <c r="D33" s="70">
        <f t="shared" si="4"/>
        <v>605000</v>
      </c>
      <c r="E33" s="70">
        <f t="shared" si="4"/>
        <v>685000</v>
      </c>
      <c r="F33" s="70">
        <f t="shared" si="4"/>
        <v>765000</v>
      </c>
      <c r="G33" s="70">
        <f t="shared" si="4"/>
        <v>845000</v>
      </c>
      <c r="H33" s="70">
        <f t="shared" si="4"/>
        <v>925000</v>
      </c>
      <c r="I33" s="70">
        <f t="shared" si="4"/>
        <v>1005000</v>
      </c>
      <c r="J33" s="70">
        <f t="shared" si="4"/>
        <v>1085000</v>
      </c>
      <c r="K33" s="70">
        <f t="shared" si="4"/>
        <v>1165000</v>
      </c>
      <c r="L33" s="70">
        <f t="shared" si="4"/>
        <v>1245000</v>
      </c>
      <c r="M33" s="70">
        <f t="shared" si="4"/>
        <v>1325000</v>
      </c>
    </row>
    <row r="34" spans="1:13" ht="13.5" thickBot="1" x14ac:dyDescent="0.25">
      <c r="A34" s="78" t="s">
        <v>7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</row>
    <row r="35" spans="1:13" ht="13.5" thickBot="1" x14ac:dyDescent="0.25">
      <c r="A35" s="78" t="s">
        <v>111</v>
      </c>
      <c r="B35" s="75">
        <f t="shared" ref="B35:M35" si="5">B33-B34</f>
        <v>445000</v>
      </c>
      <c r="C35" s="76">
        <f t="shared" si="5"/>
        <v>525000</v>
      </c>
      <c r="D35" s="76">
        <f t="shared" si="5"/>
        <v>605000</v>
      </c>
      <c r="E35" s="76">
        <f t="shared" si="5"/>
        <v>685000</v>
      </c>
      <c r="F35" s="76">
        <f t="shared" si="5"/>
        <v>765000</v>
      </c>
      <c r="G35" s="76">
        <f t="shared" si="5"/>
        <v>845000</v>
      </c>
      <c r="H35" s="76">
        <f t="shared" si="5"/>
        <v>925000</v>
      </c>
      <c r="I35" s="76">
        <f t="shared" si="5"/>
        <v>1005000</v>
      </c>
      <c r="J35" s="76">
        <f t="shared" si="5"/>
        <v>1085000</v>
      </c>
      <c r="K35" s="76">
        <f t="shared" si="5"/>
        <v>1165000</v>
      </c>
      <c r="L35" s="76">
        <f>L33-L34</f>
        <v>1245000</v>
      </c>
      <c r="M35" s="76">
        <f t="shared" si="5"/>
        <v>1325000</v>
      </c>
    </row>
    <row r="36" spans="1:13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x14ac:dyDescent="0.2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x14ac:dyDescent="0.2">
      <c r="A38" s="80" t="s">
        <v>0</v>
      </c>
      <c r="B38" s="80" t="s">
        <v>1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</row>
    <row r="39" spans="1:13" x14ac:dyDescent="0.2">
      <c r="A39" s="63"/>
      <c r="B39" s="97">
        <v>44927</v>
      </c>
      <c r="C39" s="97">
        <v>44958</v>
      </c>
      <c r="D39" s="97">
        <v>44986</v>
      </c>
      <c r="E39" s="97">
        <v>45017</v>
      </c>
      <c r="F39" s="97">
        <v>45047</v>
      </c>
      <c r="G39" s="97">
        <v>45078</v>
      </c>
      <c r="H39" s="97">
        <v>45108</v>
      </c>
      <c r="I39" s="97">
        <v>45139</v>
      </c>
      <c r="J39" s="97">
        <v>45170</v>
      </c>
      <c r="K39" s="97">
        <v>45200</v>
      </c>
      <c r="L39" s="97">
        <v>45231</v>
      </c>
      <c r="M39" s="97">
        <v>45261</v>
      </c>
    </row>
    <row r="40" spans="1:13" x14ac:dyDescent="0.2">
      <c r="A40" s="60" t="s">
        <v>110</v>
      </c>
      <c r="B40" s="94">
        <v>1325000</v>
      </c>
      <c r="C40" s="94">
        <f>B51</f>
        <v>1415000</v>
      </c>
      <c r="D40" s="94">
        <f t="shared" ref="D40:M40" si="6">C51</f>
        <v>1505000</v>
      </c>
      <c r="E40" s="94">
        <f t="shared" si="6"/>
        <v>1595000</v>
      </c>
      <c r="F40" s="94">
        <f t="shared" si="6"/>
        <v>1685000</v>
      </c>
      <c r="G40" s="94">
        <f t="shared" si="6"/>
        <v>1775000</v>
      </c>
      <c r="H40" s="94">
        <f t="shared" si="6"/>
        <v>1865000</v>
      </c>
      <c r="I40" s="94">
        <f t="shared" si="6"/>
        <v>1955000</v>
      </c>
      <c r="J40" s="94">
        <f t="shared" si="6"/>
        <v>2045000</v>
      </c>
      <c r="K40" s="94">
        <f t="shared" si="6"/>
        <v>2135000</v>
      </c>
      <c r="L40" s="94">
        <f t="shared" si="6"/>
        <v>2225000</v>
      </c>
      <c r="M40" s="94">
        <f t="shared" si="6"/>
        <v>2315000</v>
      </c>
    </row>
    <row r="41" spans="1:13" x14ac:dyDescent="0.2">
      <c r="A41" s="60" t="s">
        <v>144</v>
      </c>
      <c r="B41" s="199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</row>
    <row r="42" spans="1:13" x14ac:dyDescent="0.2">
      <c r="A42" s="60" t="s">
        <v>3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</row>
    <row r="43" spans="1:13" x14ac:dyDescent="0.2">
      <c r="A43" s="60" t="s">
        <v>4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</row>
    <row r="44" spans="1:13" x14ac:dyDescent="0.2">
      <c r="A44" s="60" t="s">
        <v>2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</row>
    <row r="45" spans="1:13" x14ac:dyDescent="0.2">
      <c r="A45" s="60" t="s">
        <v>3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</row>
    <row r="46" spans="1:13" x14ac:dyDescent="0.2">
      <c r="A46" s="60" t="s">
        <v>284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 spans="1:13" x14ac:dyDescent="0.2">
      <c r="A47" s="60" t="s">
        <v>161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</row>
    <row r="48" spans="1:13" x14ac:dyDescent="0.2">
      <c r="A48" s="60" t="s">
        <v>5</v>
      </c>
      <c r="B48" s="94">
        <v>90000</v>
      </c>
      <c r="C48" s="94">
        <v>90000</v>
      </c>
      <c r="D48" s="94">
        <v>90000</v>
      </c>
      <c r="E48" s="94">
        <v>90000</v>
      </c>
      <c r="F48" s="94">
        <v>90000</v>
      </c>
      <c r="G48" s="94">
        <v>90000</v>
      </c>
      <c r="H48" s="94">
        <v>90000</v>
      </c>
      <c r="I48" s="94">
        <v>90000</v>
      </c>
      <c r="J48" s="94">
        <v>90000</v>
      </c>
      <c r="K48" s="94">
        <v>90000</v>
      </c>
      <c r="L48" s="94">
        <v>90000</v>
      </c>
      <c r="M48" s="94">
        <v>90000</v>
      </c>
    </row>
    <row r="49" spans="1:13" x14ac:dyDescent="0.2">
      <c r="A49" s="60" t="s">
        <v>6</v>
      </c>
      <c r="B49" s="95">
        <f>SUM(B40:B48)</f>
        <v>1415000</v>
      </c>
      <c r="C49" s="95">
        <f t="shared" ref="C49:M49" si="7">SUM(C40:C48)</f>
        <v>1505000</v>
      </c>
      <c r="D49" s="95">
        <f t="shared" si="7"/>
        <v>1595000</v>
      </c>
      <c r="E49" s="95">
        <f t="shared" si="7"/>
        <v>1685000</v>
      </c>
      <c r="F49" s="95">
        <f t="shared" si="7"/>
        <v>1775000</v>
      </c>
      <c r="G49" s="95">
        <f t="shared" si="7"/>
        <v>1865000</v>
      </c>
      <c r="H49" s="95">
        <f t="shared" si="7"/>
        <v>1955000</v>
      </c>
      <c r="I49" s="95">
        <f t="shared" si="7"/>
        <v>2045000</v>
      </c>
      <c r="J49" s="95">
        <f t="shared" si="7"/>
        <v>2135000</v>
      </c>
      <c r="K49" s="95">
        <f t="shared" si="7"/>
        <v>2225000</v>
      </c>
      <c r="L49" s="95">
        <f t="shared" si="7"/>
        <v>2315000</v>
      </c>
      <c r="M49" s="95">
        <f t="shared" si="7"/>
        <v>2405000</v>
      </c>
    </row>
    <row r="50" spans="1:13" ht="13.5" thickBot="1" x14ac:dyDescent="0.25">
      <c r="A50" s="60" t="s">
        <v>7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</row>
    <row r="51" spans="1:13" ht="13.5" thickBot="1" x14ac:dyDescent="0.25">
      <c r="A51" s="60" t="s">
        <v>111</v>
      </c>
      <c r="B51" s="98">
        <f t="shared" ref="B51:M51" si="8">B49-B50</f>
        <v>1415000</v>
      </c>
      <c r="C51" s="99">
        <f t="shared" si="8"/>
        <v>1505000</v>
      </c>
      <c r="D51" s="99">
        <f t="shared" si="8"/>
        <v>1595000</v>
      </c>
      <c r="E51" s="99">
        <f t="shared" si="8"/>
        <v>1685000</v>
      </c>
      <c r="F51" s="99">
        <f t="shared" si="8"/>
        <v>1775000</v>
      </c>
      <c r="G51" s="99">
        <f t="shared" si="8"/>
        <v>1865000</v>
      </c>
      <c r="H51" s="99">
        <f t="shared" si="8"/>
        <v>1955000</v>
      </c>
      <c r="I51" s="99">
        <f t="shared" si="8"/>
        <v>2045000</v>
      </c>
      <c r="J51" s="99">
        <f t="shared" si="8"/>
        <v>2135000</v>
      </c>
      <c r="K51" s="99">
        <f t="shared" si="8"/>
        <v>2225000</v>
      </c>
      <c r="L51" s="99">
        <f t="shared" si="8"/>
        <v>2315000</v>
      </c>
      <c r="M51" s="100">
        <f t="shared" si="8"/>
        <v>2405000</v>
      </c>
    </row>
    <row r="52" spans="1:13" x14ac:dyDescent="0.2">
      <c r="A52" s="78"/>
      <c r="B52" s="78"/>
      <c r="C52" s="78"/>
      <c r="D52" s="78"/>
      <c r="E52" s="78" t="s">
        <v>429</v>
      </c>
      <c r="F52" s="78"/>
      <c r="G52" s="78"/>
      <c r="H52" s="78"/>
      <c r="I52" s="78"/>
      <c r="J52" s="78"/>
      <c r="K52" s="78"/>
      <c r="L52" s="78"/>
      <c r="M52" s="78"/>
    </row>
    <row r="53" spans="1:13" x14ac:dyDescent="0.2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</row>
    <row r="54" spans="1:13" x14ac:dyDescent="0.2">
      <c r="A54" s="80" t="s">
        <v>0</v>
      </c>
      <c r="B54" s="80" t="s">
        <v>1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</row>
    <row r="55" spans="1:13" x14ac:dyDescent="0.2">
      <c r="A55" s="81"/>
      <c r="B55" s="82">
        <v>45292</v>
      </c>
      <c r="C55" s="82">
        <v>45323</v>
      </c>
      <c r="D55" s="82">
        <v>45352</v>
      </c>
      <c r="E55" s="82">
        <v>45383</v>
      </c>
      <c r="F55" s="82">
        <v>45413</v>
      </c>
      <c r="G55" s="82">
        <v>45444</v>
      </c>
      <c r="H55" s="82">
        <v>45474</v>
      </c>
      <c r="I55" s="82">
        <v>45505</v>
      </c>
      <c r="J55" s="82">
        <v>45536</v>
      </c>
      <c r="K55" s="82">
        <v>45566</v>
      </c>
      <c r="L55" s="82">
        <v>45597</v>
      </c>
      <c r="M55" s="82">
        <v>45627</v>
      </c>
    </row>
    <row r="56" spans="1:13" x14ac:dyDescent="0.2">
      <c r="A56" s="78" t="s">
        <v>110</v>
      </c>
      <c r="B56" s="94">
        <v>2400000</v>
      </c>
      <c r="C56" s="94">
        <f t="shared" ref="C56:M56" si="9">B67</f>
        <v>2500000</v>
      </c>
      <c r="D56" s="94">
        <f t="shared" si="9"/>
        <v>2600000</v>
      </c>
      <c r="E56" s="94">
        <f t="shared" si="9"/>
        <v>2700000</v>
      </c>
      <c r="F56" s="94">
        <f t="shared" si="9"/>
        <v>2807000</v>
      </c>
      <c r="G56" s="94">
        <f t="shared" si="9"/>
        <v>2907000</v>
      </c>
      <c r="H56" s="94">
        <f t="shared" si="9"/>
        <v>3007000</v>
      </c>
      <c r="I56" s="94">
        <f t="shared" si="9"/>
        <v>3107000</v>
      </c>
      <c r="J56" s="94">
        <f t="shared" si="9"/>
        <v>3207000</v>
      </c>
      <c r="K56" s="94">
        <f t="shared" si="9"/>
        <v>3307000</v>
      </c>
      <c r="L56" s="94">
        <f t="shared" si="9"/>
        <v>3407000</v>
      </c>
      <c r="M56" s="94">
        <f t="shared" si="9"/>
        <v>3507000</v>
      </c>
    </row>
    <row r="57" spans="1:13" x14ac:dyDescent="0.2">
      <c r="A57" s="78" t="s">
        <v>144</v>
      </c>
      <c r="B57" s="199"/>
      <c r="C57" s="94"/>
      <c r="D57" s="94"/>
      <c r="E57" s="94"/>
      <c r="F57" s="94"/>
      <c r="G57" s="94"/>
      <c r="H57" s="94"/>
      <c r="I57" s="94">
        <v>0</v>
      </c>
      <c r="J57" s="94"/>
      <c r="K57" s="94"/>
      <c r="L57" s="94"/>
      <c r="M57" s="94"/>
    </row>
    <row r="58" spans="1:13" x14ac:dyDescent="0.2">
      <c r="A58" s="78" t="s">
        <v>3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</row>
    <row r="59" spans="1:13" x14ac:dyDescent="0.2">
      <c r="A59" s="78" t="s">
        <v>4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</row>
    <row r="60" spans="1:13" x14ac:dyDescent="0.2">
      <c r="A60" s="78" t="s">
        <v>256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</row>
    <row r="61" spans="1:13" x14ac:dyDescent="0.2">
      <c r="A61" s="78" t="s">
        <v>254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</row>
    <row r="62" spans="1:13" x14ac:dyDescent="0.2">
      <c r="A62" s="78" t="s">
        <v>255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</row>
    <row r="63" spans="1:13" x14ac:dyDescent="0.2">
      <c r="A63" s="78" t="s">
        <v>674</v>
      </c>
      <c r="B63" s="94"/>
      <c r="C63" s="94"/>
      <c r="D63" s="94"/>
      <c r="E63" s="94">
        <v>7000</v>
      </c>
      <c r="F63" s="94"/>
      <c r="G63" s="94"/>
      <c r="H63" s="94"/>
      <c r="I63" s="94"/>
      <c r="J63" s="94"/>
      <c r="K63" s="94"/>
      <c r="L63" s="94"/>
      <c r="M63" s="94"/>
    </row>
    <row r="64" spans="1:13" x14ac:dyDescent="0.2">
      <c r="A64" s="78" t="s">
        <v>5</v>
      </c>
      <c r="B64" s="94">
        <v>100000</v>
      </c>
      <c r="C64" s="94">
        <v>100000</v>
      </c>
      <c r="D64" s="94">
        <v>100000</v>
      </c>
      <c r="E64" s="94">
        <v>100000</v>
      </c>
      <c r="F64" s="94">
        <v>100000</v>
      </c>
      <c r="G64" s="94">
        <v>100000</v>
      </c>
      <c r="H64" s="94">
        <v>100000</v>
      </c>
      <c r="I64" s="94">
        <v>100000</v>
      </c>
      <c r="J64" s="94">
        <v>100000</v>
      </c>
      <c r="K64" s="94">
        <v>100000</v>
      </c>
      <c r="L64" s="94">
        <v>100000</v>
      </c>
      <c r="M64" s="94">
        <v>100000</v>
      </c>
    </row>
    <row r="65" spans="1:13" x14ac:dyDescent="0.2">
      <c r="A65" s="78" t="s">
        <v>6</v>
      </c>
      <c r="B65" s="95">
        <f>SUM(B56:B64)</f>
        <v>2500000</v>
      </c>
      <c r="C65" s="95">
        <f t="shared" ref="C65:M65" si="10">SUM(C56:C64)</f>
        <v>2600000</v>
      </c>
      <c r="D65" s="95">
        <f t="shared" si="10"/>
        <v>2700000</v>
      </c>
      <c r="E65" s="95">
        <f t="shared" si="10"/>
        <v>2807000</v>
      </c>
      <c r="F65" s="95">
        <f t="shared" si="10"/>
        <v>2907000</v>
      </c>
      <c r="G65" s="95">
        <f t="shared" si="10"/>
        <v>3007000</v>
      </c>
      <c r="H65" s="95">
        <f t="shared" si="10"/>
        <v>3107000</v>
      </c>
      <c r="I65" s="95">
        <f t="shared" si="10"/>
        <v>3207000</v>
      </c>
      <c r="J65" s="95">
        <f t="shared" si="10"/>
        <v>3307000</v>
      </c>
      <c r="K65" s="95">
        <f t="shared" si="10"/>
        <v>3407000</v>
      </c>
      <c r="L65" s="95">
        <f t="shared" si="10"/>
        <v>3507000</v>
      </c>
      <c r="M65" s="95">
        <f t="shared" si="10"/>
        <v>3607000</v>
      </c>
    </row>
    <row r="66" spans="1:13" ht="13.5" thickBot="1" x14ac:dyDescent="0.25">
      <c r="A66" s="78" t="s">
        <v>7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</row>
    <row r="67" spans="1:13" ht="13.5" thickBot="1" x14ac:dyDescent="0.25">
      <c r="A67" s="78" t="s">
        <v>111</v>
      </c>
      <c r="B67" s="98">
        <f t="shared" ref="B67:M67" si="11">B65-B66</f>
        <v>2500000</v>
      </c>
      <c r="C67" s="99">
        <f t="shared" si="11"/>
        <v>2600000</v>
      </c>
      <c r="D67" s="99">
        <f t="shared" si="11"/>
        <v>2700000</v>
      </c>
      <c r="E67" s="99">
        <f t="shared" si="11"/>
        <v>2807000</v>
      </c>
      <c r="F67" s="99">
        <f t="shared" si="11"/>
        <v>2907000</v>
      </c>
      <c r="G67" s="99">
        <f t="shared" si="11"/>
        <v>3007000</v>
      </c>
      <c r="H67" s="99">
        <f t="shared" si="11"/>
        <v>3107000</v>
      </c>
      <c r="I67" s="99">
        <f t="shared" si="11"/>
        <v>3207000</v>
      </c>
      <c r="J67" s="99">
        <f t="shared" si="11"/>
        <v>3307000</v>
      </c>
      <c r="K67" s="99">
        <f t="shared" si="11"/>
        <v>3407000</v>
      </c>
      <c r="L67" s="99">
        <f t="shared" si="11"/>
        <v>3507000</v>
      </c>
      <c r="M67" s="100">
        <f t="shared" si="11"/>
        <v>3607000</v>
      </c>
    </row>
    <row r="68" spans="1:13" x14ac:dyDescent="0.2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</row>
    <row r="69" spans="1:13" x14ac:dyDescent="0.2">
      <c r="F69" t="s">
        <v>463</v>
      </c>
    </row>
  </sheetData>
  <mergeCells count="1">
    <mergeCell ref="B3:G3"/>
  </mergeCells>
  <phoneticPr fontId="4" type="noConversion"/>
  <pageMargins left="0.75" right="0.75" top="1" bottom="1" header="0" footer="0"/>
  <pageSetup orientation="portrait" verticalDpi="30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4"/>
  <dimension ref="A1:N42"/>
  <sheetViews>
    <sheetView showGridLines="0" topLeftCell="A19" workbookViewId="0">
      <selection activeCell="A20" sqref="A20:M33"/>
    </sheetView>
  </sheetViews>
  <sheetFormatPr baseColWidth="10" defaultRowHeight="20.25" x14ac:dyDescent="0.3"/>
  <cols>
    <col min="1" max="1" width="28" style="2" customWidth="1"/>
    <col min="2" max="2" width="11.7109375" style="2" customWidth="1"/>
    <col min="3" max="3" width="11.42578125" style="2" customWidth="1"/>
    <col min="4" max="4" width="10.5703125" style="2" customWidth="1"/>
    <col min="5" max="5" width="11.140625" style="2" customWidth="1"/>
    <col min="6" max="6" width="10.42578125" style="2" customWidth="1"/>
    <col min="7" max="7" width="11" style="2" customWidth="1"/>
    <col min="8" max="8" width="10.7109375" style="2" customWidth="1"/>
    <col min="9" max="9" width="11.140625" style="2" customWidth="1"/>
    <col min="10" max="10" width="11.28515625" style="2" customWidth="1"/>
    <col min="11" max="11" width="11" style="2" customWidth="1"/>
    <col min="12" max="12" width="10.7109375" style="2" customWidth="1"/>
    <col min="13" max="13" width="10.85546875" style="2" customWidth="1"/>
    <col min="14" max="16384" width="11.42578125" style="2"/>
  </cols>
  <sheetData>
    <row r="1" spans="1:14" ht="25.5" x14ac:dyDescent="0.35">
      <c r="A1" s="13" t="s">
        <v>102</v>
      </c>
    </row>
    <row r="2" spans="1:14" x14ac:dyDescent="0.3">
      <c r="A2" s="11" t="s">
        <v>11</v>
      </c>
      <c r="B2" s="216" t="s">
        <v>123</v>
      </c>
      <c r="C2" s="216"/>
      <c r="D2" s="216"/>
      <c r="E2" s="216"/>
      <c r="F2" s="216"/>
      <c r="G2" s="216"/>
    </row>
    <row r="4" spans="1:14" x14ac:dyDescent="0.3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4" x14ac:dyDescent="0.3">
      <c r="A5" s="78"/>
      <c r="B5" s="79">
        <v>43831</v>
      </c>
      <c r="C5" s="79">
        <v>43862</v>
      </c>
      <c r="D5" s="79">
        <v>43891</v>
      </c>
      <c r="E5" s="79">
        <v>43922</v>
      </c>
      <c r="F5" s="79">
        <v>43952</v>
      </c>
      <c r="G5" s="79">
        <v>43983</v>
      </c>
      <c r="H5" s="79">
        <v>44013</v>
      </c>
      <c r="I5" s="79">
        <v>44044</v>
      </c>
      <c r="J5" s="79">
        <v>44075</v>
      </c>
      <c r="K5" s="79">
        <v>44105</v>
      </c>
      <c r="L5" s="79">
        <v>44136</v>
      </c>
      <c r="M5" s="79">
        <v>44166</v>
      </c>
    </row>
    <row r="6" spans="1:14" x14ac:dyDescent="0.3">
      <c r="A6" s="78" t="s">
        <v>110</v>
      </c>
      <c r="B6" s="42"/>
      <c r="C6" s="42">
        <f>B17</f>
        <v>4000</v>
      </c>
      <c r="D6" s="42">
        <f t="shared" ref="D6:M6" si="0">C17</f>
        <v>8000</v>
      </c>
      <c r="E6" s="42">
        <f t="shared" si="0"/>
        <v>12000</v>
      </c>
      <c r="F6" s="42">
        <f t="shared" si="0"/>
        <v>16000</v>
      </c>
      <c r="G6" s="42">
        <f t="shared" si="0"/>
        <v>20000</v>
      </c>
      <c r="H6" s="42">
        <f t="shared" si="0"/>
        <v>24000</v>
      </c>
      <c r="I6" s="42">
        <f t="shared" si="0"/>
        <v>28000</v>
      </c>
      <c r="J6" s="42">
        <f t="shared" si="0"/>
        <v>32000</v>
      </c>
      <c r="K6" s="42">
        <f>J17</f>
        <v>36000</v>
      </c>
      <c r="L6" s="42">
        <f t="shared" si="0"/>
        <v>40000</v>
      </c>
      <c r="M6" s="42">
        <f t="shared" si="0"/>
        <v>44000</v>
      </c>
    </row>
    <row r="7" spans="1:14" x14ac:dyDescent="0.3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4" x14ac:dyDescent="0.3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4" x14ac:dyDescent="0.3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3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3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x14ac:dyDescent="0.3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3">
      <c r="A13" s="78" t="s">
        <v>184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 x14ac:dyDescent="0.3">
      <c r="A14" s="78" t="s">
        <v>5</v>
      </c>
      <c r="B14" s="42">
        <v>4000</v>
      </c>
      <c r="C14" s="42">
        <v>4000</v>
      </c>
      <c r="D14" s="42">
        <v>4000</v>
      </c>
      <c r="E14" s="42">
        <v>4000</v>
      </c>
      <c r="F14" s="42">
        <v>4000</v>
      </c>
      <c r="G14" s="42">
        <v>4000</v>
      </c>
      <c r="H14" s="42">
        <v>4000</v>
      </c>
      <c r="I14" s="42">
        <v>4000</v>
      </c>
      <c r="J14" s="42">
        <v>4000</v>
      </c>
      <c r="K14" s="42">
        <v>4000</v>
      </c>
      <c r="L14" s="42">
        <v>4000</v>
      </c>
      <c r="M14" s="42">
        <v>4000</v>
      </c>
      <c r="N14" s="42"/>
    </row>
    <row r="15" spans="1:14" x14ac:dyDescent="0.3">
      <c r="A15" s="78" t="s">
        <v>6</v>
      </c>
      <c r="B15" s="43">
        <f>SUM(B6:B14)</f>
        <v>4000</v>
      </c>
      <c r="C15" s="43">
        <f t="shared" ref="C15:M15" si="1">SUM(C6:C14)</f>
        <v>8000</v>
      </c>
      <c r="D15" s="43">
        <f t="shared" si="1"/>
        <v>12000</v>
      </c>
      <c r="E15" s="43">
        <f t="shared" si="1"/>
        <v>16000</v>
      </c>
      <c r="F15" s="43">
        <f t="shared" si="1"/>
        <v>20000</v>
      </c>
      <c r="G15" s="43">
        <f t="shared" si="1"/>
        <v>24000</v>
      </c>
      <c r="H15" s="43">
        <f t="shared" si="1"/>
        <v>28000</v>
      </c>
      <c r="I15" s="43">
        <f t="shared" si="1"/>
        <v>32000</v>
      </c>
      <c r="J15" s="43">
        <f t="shared" si="1"/>
        <v>36000</v>
      </c>
      <c r="K15" s="43">
        <f t="shared" si="1"/>
        <v>40000</v>
      </c>
      <c r="L15" s="43">
        <f t="shared" si="1"/>
        <v>44000</v>
      </c>
      <c r="M15" s="43">
        <f t="shared" si="1"/>
        <v>48000</v>
      </c>
    </row>
    <row r="16" spans="1:14" x14ac:dyDescent="0.3">
      <c r="A16" s="78" t="s">
        <v>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x14ac:dyDescent="0.3">
      <c r="A17" s="78" t="s">
        <v>111</v>
      </c>
      <c r="B17" s="43">
        <f>B15-B16</f>
        <v>4000</v>
      </c>
      <c r="C17" s="43">
        <f>C15-C16</f>
        <v>8000</v>
      </c>
      <c r="D17" s="43">
        <f t="shared" ref="D17:M17" si="2">D15-D16</f>
        <v>12000</v>
      </c>
      <c r="E17" s="43">
        <f t="shared" si="2"/>
        <v>16000</v>
      </c>
      <c r="F17" s="43">
        <f t="shared" si="2"/>
        <v>20000</v>
      </c>
      <c r="G17" s="43">
        <f t="shared" si="2"/>
        <v>24000</v>
      </c>
      <c r="H17" s="43">
        <f t="shared" si="2"/>
        <v>28000</v>
      </c>
      <c r="I17" s="43">
        <f t="shared" si="2"/>
        <v>32000</v>
      </c>
      <c r="J17" s="43">
        <f t="shared" si="2"/>
        <v>36000</v>
      </c>
      <c r="K17" s="43">
        <f t="shared" si="2"/>
        <v>40000</v>
      </c>
      <c r="L17" s="43">
        <f t="shared" si="2"/>
        <v>44000</v>
      </c>
      <c r="M17" s="43">
        <f t="shared" si="2"/>
        <v>48000</v>
      </c>
    </row>
    <row r="18" spans="1:13" x14ac:dyDescent="0.3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3">
      <c r="A20" s="80" t="s">
        <v>0</v>
      </c>
      <c r="B20" s="80" t="s">
        <v>1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x14ac:dyDescent="0.3">
      <c r="A21" s="81"/>
      <c r="B21" s="82">
        <v>44197</v>
      </c>
      <c r="C21" s="82">
        <v>44228</v>
      </c>
      <c r="D21" s="82">
        <v>44256</v>
      </c>
      <c r="E21" s="82">
        <v>44287</v>
      </c>
      <c r="F21" s="82">
        <v>44317</v>
      </c>
      <c r="G21" s="82">
        <v>44348</v>
      </c>
      <c r="H21" s="82">
        <v>44378</v>
      </c>
      <c r="I21" s="82">
        <v>44409</v>
      </c>
      <c r="J21" s="82">
        <v>44440</v>
      </c>
      <c r="K21" s="82">
        <v>44470</v>
      </c>
      <c r="L21" s="82">
        <v>44501</v>
      </c>
      <c r="M21" s="82">
        <v>44531</v>
      </c>
    </row>
    <row r="22" spans="1:13" x14ac:dyDescent="0.3">
      <c r="A22" s="78" t="s">
        <v>110</v>
      </c>
      <c r="B22" s="42">
        <v>48000</v>
      </c>
      <c r="C22" s="42">
        <f t="shared" ref="C22:M22" si="3">B33</f>
        <v>52000</v>
      </c>
      <c r="D22" s="42">
        <f t="shared" si="3"/>
        <v>56000</v>
      </c>
      <c r="E22" s="42">
        <f t="shared" si="3"/>
        <v>0</v>
      </c>
      <c r="F22" s="42">
        <f t="shared" si="3"/>
        <v>0</v>
      </c>
      <c r="G22" s="42">
        <f t="shared" si="3"/>
        <v>0</v>
      </c>
      <c r="H22" s="42">
        <f t="shared" si="3"/>
        <v>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 t="shared" si="3"/>
        <v>0</v>
      </c>
    </row>
    <row r="23" spans="1:13" x14ac:dyDescent="0.3">
      <c r="A23" s="78" t="s">
        <v>144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362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</v>
      </c>
      <c r="B30" s="42">
        <v>4000</v>
      </c>
      <c r="C30" s="42">
        <v>4000</v>
      </c>
      <c r="D30" s="42">
        <v>4000</v>
      </c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6</v>
      </c>
      <c r="B31" s="43">
        <f t="shared" ref="B31:M31" si="4">SUM(B22:B30)</f>
        <v>52000</v>
      </c>
      <c r="C31" s="43">
        <f t="shared" si="4"/>
        <v>56000</v>
      </c>
      <c r="D31" s="43">
        <f t="shared" si="4"/>
        <v>60000</v>
      </c>
      <c r="E31" s="43">
        <f t="shared" si="4"/>
        <v>0</v>
      </c>
      <c r="F31" s="43">
        <f t="shared" si="4"/>
        <v>0</v>
      </c>
      <c r="G31" s="43">
        <f t="shared" si="4"/>
        <v>0</v>
      </c>
      <c r="H31" s="43">
        <f t="shared" si="4"/>
        <v>0</v>
      </c>
      <c r="I31" s="43">
        <f t="shared" si="4"/>
        <v>0</v>
      </c>
      <c r="J31" s="43">
        <f t="shared" si="4"/>
        <v>0</v>
      </c>
      <c r="K31" s="43">
        <f t="shared" si="4"/>
        <v>0</v>
      </c>
      <c r="L31" s="43">
        <f t="shared" si="4"/>
        <v>0</v>
      </c>
      <c r="M31" s="43">
        <f t="shared" si="4"/>
        <v>0</v>
      </c>
    </row>
    <row r="32" spans="1:13" ht="21" thickBot="1" x14ac:dyDescent="0.35">
      <c r="A32" s="78" t="s">
        <v>7</v>
      </c>
      <c r="B32" s="44"/>
      <c r="C32" s="44"/>
      <c r="D32" s="44">
        <v>60000</v>
      </c>
      <c r="E32" s="44"/>
      <c r="F32" s="44"/>
      <c r="G32" s="44"/>
      <c r="H32" s="44"/>
      <c r="I32" s="44"/>
      <c r="J32" s="44"/>
      <c r="K32" s="44"/>
      <c r="L32" s="44"/>
      <c r="M32" s="44"/>
    </row>
    <row r="33" spans="1:13" ht="21" thickBot="1" x14ac:dyDescent="0.35">
      <c r="A33" s="78" t="s">
        <v>111</v>
      </c>
      <c r="B33" s="45">
        <f t="shared" ref="B33:M33" si="5">B31-B32</f>
        <v>52000</v>
      </c>
      <c r="C33" s="46">
        <f t="shared" si="5"/>
        <v>56000</v>
      </c>
      <c r="D33" s="46">
        <f t="shared" si="5"/>
        <v>0</v>
      </c>
      <c r="E33" s="46">
        <f t="shared" si="5"/>
        <v>0</v>
      </c>
      <c r="F33" s="46">
        <f>F31-F32</f>
        <v>0</v>
      </c>
      <c r="G33" s="46">
        <f t="shared" si="5"/>
        <v>0</v>
      </c>
      <c r="H33" s="46">
        <f t="shared" si="5"/>
        <v>0</v>
      </c>
      <c r="I33" s="46">
        <f t="shared" si="5"/>
        <v>0</v>
      </c>
      <c r="J33" s="46">
        <f t="shared" si="5"/>
        <v>0</v>
      </c>
      <c r="K33" s="46">
        <f t="shared" si="5"/>
        <v>0</v>
      </c>
      <c r="L33" s="46">
        <f t="shared" si="5"/>
        <v>0</v>
      </c>
      <c r="M33" s="47">
        <f t="shared" si="5"/>
        <v>0</v>
      </c>
    </row>
    <row r="34" spans="1:13" x14ac:dyDescent="0.3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</row>
    <row r="36" spans="1:13" x14ac:dyDescent="0.3">
      <c r="A36" s="2" t="s">
        <v>173</v>
      </c>
    </row>
    <row r="38" spans="1:13" x14ac:dyDescent="0.3">
      <c r="A38" s="2" t="s">
        <v>192</v>
      </c>
      <c r="C38" s="2">
        <f>169*20</f>
        <v>3380</v>
      </c>
    </row>
    <row r="39" spans="1:13" x14ac:dyDescent="0.3">
      <c r="A39" s="2" t="s">
        <v>193</v>
      </c>
      <c r="C39" s="2">
        <v>660</v>
      </c>
    </row>
    <row r="40" spans="1:13" x14ac:dyDescent="0.3">
      <c r="A40" s="2" t="s">
        <v>194</v>
      </c>
      <c r="C40" s="2">
        <f>C38-C39</f>
        <v>2720</v>
      </c>
    </row>
    <row r="42" spans="1:13" x14ac:dyDescent="0.3">
      <c r="A42" s="110" t="s">
        <v>304</v>
      </c>
      <c r="B42" s="110" t="s">
        <v>305</v>
      </c>
      <c r="C42" s="110"/>
    </row>
  </sheetData>
  <mergeCells count="1">
    <mergeCell ref="B2:G2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0"/>
  <dimension ref="B2:N16"/>
  <sheetViews>
    <sheetView workbookViewId="0">
      <selection activeCell="G13" sqref="G13"/>
    </sheetView>
  </sheetViews>
  <sheetFormatPr baseColWidth="10" defaultRowHeight="12.75" x14ac:dyDescent="0.2"/>
  <cols>
    <col min="1" max="1" width="5.140625" customWidth="1"/>
    <col min="2" max="2" width="33.7109375" customWidth="1"/>
  </cols>
  <sheetData>
    <row r="2" spans="2:14" x14ac:dyDescent="0.2">
      <c r="B2" s="80" t="s">
        <v>0</v>
      </c>
      <c r="C2" s="80" t="s">
        <v>1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2:14" x14ac:dyDescent="0.2">
      <c r="B3" s="81"/>
      <c r="C3" s="82">
        <v>46023</v>
      </c>
      <c r="D3" s="82">
        <v>46054</v>
      </c>
      <c r="E3" s="82">
        <v>46082</v>
      </c>
      <c r="F3" s="82">
        <v>46113</v>
      </c>
      <c r="G3" s="82">
        <v>46143</v>
      </c>
      <c r="H3" s="82">
        <v>46174</v>
      </c>
      <c r="I3" s="82">
        <v>46204</v>
      </c>
      <c r="J3" s="82">
        <v>46235</v>
      </c>
      <c r="K3" s="82">
        <v>46266</v>
      </c>
      <c r="L3" s="82">
        <v>46296</v>
      </c>
      <c r="M3" s="82">
        <v>46327</v>
      </c>
      <c r="N3" s="82">
        <v>46357</v>
      </c>
    </row>
    <row r="4" spans="2:14" x14ac:dyDescent="0.2">
      <c r="B4" s="78" t="s">
        <v>110</v>
      </c>
      <c r="C4" s="42">
        <v>51383</v>
      </c>
      <c r="D4" s="42">
        <f t="shared" ref="D4:N4" si="0">C15</f>
        <v>0</v>
      </c>
      <c r="E4" s="42">
        <f t="shared" si="0"/>
        <v>0</v>
      </c>
      <c r="F4" s="42">
        <f t="shared" si="0"/>
        <v>0</v>
      </c>
      <c r="G4" s="42">
        <f t="shared" si="0"/>
        <v>206500</v>
      </c>
      <c r="H4" s="42">
        <f t="shared" si="0"/>
        <v>382350</v>
      </c>
      <c r="I4" s="42">
        <f t="shared" si="0"/>
        <v>382350</v>
      </c>
      <c r="J4" s="42">
        <f t="shared" si="0"/>
        <v>382350</v>
      </c>
      <c r="K4" s="42">
        <f t="shared" si="0"/>
        <v>382350</v>
      </c>
      <c r="L4" s="42">
        <f t="shared" si="0"/>
        <v>382350</v>
      </c>
      <c r="M4" s="42">
        <f t="shared" si="0"/>
        <v>382350</v>
      </c>
      <c r="N4" s="42">
        <f t="shared" si="0"/>
        <v>382350</v>
      </c>
    </row>
    <row r="5" spans="2:14" x14ac:dyDescent="0.2">
      <c r="B5" s="78" t="s">
        <v>169</v>
      </c>
      <c r="C5" s="151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2:14" x14ac:dyDescent="0.2">
      <c r="B6" s="78" t="s">
        <v>352</v>
      </c>
      <c r="C6" s="42">
        <v>61700</v>
      </c>
      <c r="D6" s="42">
        <v>54000</v>
      </c>
      <c r="E6" s="42">
        <v>47000</v>
      </c>
      <c r="F6" s="42">
        <v>56500</v>
      </c>
      <c r="G6" s="42">
        <v>25850</v>
      </c>
      <c r="H6" s="42"/>
      <c r="I6" s="42"/>
      <c r="J6" s="42"/>
      <c r="K6" s="42"/>
      <c r="L6" s="42"/>
      <c r="M6" s="42"/>
      <c r="N6" s="42"/>
    </row>
    <row r="7" spans="2:14" x14ac:dyDescent="0.2">
      <c r="B7" s="78" t="s">
        <v>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">
      <c r="B8" s="15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">
      <c r="B9" s="78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74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">
      <c r="B11" s="78" t="s">
        <v>333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5</v>
      </c>
      <c r="C12" s="42">
        <v>150000</v>
      </c>
      <c r="D12" s="42">
        <v>150000</v>
      </c>
      <c r="E12" s="42">
        <v>150000</v>
      </c>
      <c r="F12" s="42">
        <v>150000</v>
      </c>
      <c r="G12" s="42">
        <v>150000</v>
      </c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6</v>
      </c>
      <c r="C13" s="43">
        <f t="shared" ref="C13:N13" si="1">SUM(C4:C12)</f>
        <v>263083</v>
      </c>
      <c r="D13" s="43">
        <f t="shared" si="1"/>
        <v>204000</v>
      </c>
      <c r="E13" s="43">
        <f t="shared" si="1"/>
        <v>197000</v>
      </c>
      <c r="F13" s="43">
        <f t="shared" si="1"/>
        <v>206500</v>
      </c>
      <c r="G13" s="43">
        <f t="shared" si="1"/>
        <v>382350</v>
      </c>
      <c r="H13" s="43">
        <f t="shared" si="1"/>
        <v>382350</v>
      </c>
      <c r="I13" s="43">
        <f t="shared" si="1"/>
        <v>382350</v>
      </c>
      <c r="J13" s="43">
        <f t="shared" si="1"/>
        <v>382350</v>
      </c>
      <c r="K13" s="43">
        <f t="shared" si="1"/>
        <v>382350</v>
      </c>
      <c r="L13" s="43">
        <f t="shared" si="1"/>
        <v>382350</v>
      </c>
      <c r="M13" s="43">
        <f t="shared" si="1"/>
        <v>382350</v>
      </c>
      <c r="N13" s="43">
        <f t="shared" si="1"/>
        <v>382350</v>
      </c>
    </row>
    <row r="14" spans="2:14" ht="13.5" thickBot="1" x14ac:dyDescent="0.25">
      <c r="B14" s="78" t="s">
        <v>7</v>
      </c>
      <c r="C14" s="44">
        <v>263083</v>
      </c>
      <c r="D14" s="44">
        <v>204000</v>
      </c>
      <c r="E14" s="44">
        <v>197000</v>
      </c>
      <c r="F14" s="44"/>
      <c r="G14" s="44"/>
      <c r="H14" s="44"/>
      <c r="I14" s="44"/>
      <c r="J14" s="44"/>
      <c r="K14" s="44"/>
      <c r="L14" s="44"/>
      <c r="M14" s="44"/>
      <c r="N14" s="44"/>
    </row>
    <row r="15" spans="2:14" ht="13.5" thickBot="1" x14ac:dyDescent="0.25">
      <c r="B15" s="78" t="s">
        <v>111</v>
      </c>
      <c r="C15" s="45">
        <f t="shared" ref="C15:N15" si="2">C13-C14</f>
        <v>0</v>
      </c>
      <c r="D15" s="46">
        <f t="shared" si="2"/>
        <v>0</v>
      </c>
      <c r="E15" s="46">
        <f t="shared" si="2"/>
        <v>0</v>
      </c>
      <c r="F15" s="46">
        <f t="shared" si="2"/>
        <v>206500</v>
      </c>
      <c r="G15" s="46">
        <f t="shared" si="2"/>
        <v>382350</v>
      </c>
      <c r="H15" s="46">
        <f t="shared" si="2"/>
        <v>382350</v>
      </c>
      <c r="I15" s="46">
        <f t="shared" si="2"/>
        <v>382350</v>
      </c>
      <c r="J15" s="46">
        <f t="shared" si="2"/>
        <v>382350</v>
      </c>
      <c r="K15" s="46">
        <f t="shared" si="2"/>
        <v>382350</v>
      </c>
      <c r="L15" s="46">
        <f t="shared" si="2"/>
        <v>382350</v>
      </c>
      <c r="M15" s="46">
        <f t="shared" si="2"/>
        <v>382350</v>
      </c>
      <c r="N15" s="47">
        <f t="shared" si="2"/>
        <v>382350</v>
      </c>
    </row>
    <row r="16" spans="2:14" x14ac:dyDescent="0.2">
      <c r="C16" s="179">
        <v>46048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3"/>
  <dimension ref="A1:P33"/>
  <sheetViews>
    <sheetView topLeftCell="D13" workbookViewId="0">
      <selection activeCell="I28" sqref="I28"/>
    </sheetView>
  </sheetViews>
  <sheetFormatPr baseColWidth="10" defaultRowHeight="12.75" x14ac:dyDescent="0.2"/>
  <cols>
    <col min="1" max="3" width="11.42578125" hidden="1" customWidth="1"/>
    <col min="4" max="4" width="26.5703125" customWidth="1"/>
    <col min="6" max="6" width="12" customWidth="1"/>
    <col min="7" max="8" width="13" customWidth="1"/>
    <col min="9" max="9" width="12.140625" customWidth="1"/>
    <col min="10" max="10" width="13.85546875" bestFit="1" customWidth="1"/>
    <col min="11" max="11" width="11.85546875" customWidth="1"/>
    <col min="12" max="12" width="14.7109375" customWidth="1"/>
    <col min="13" max="13" width="12.28515625" customWidth="1"/>
    <col min="14" max="14" width="11.5703125" customWidth="1"/>
    <col min="15" max="15" width="12.140625" customWidth="1"/>
    <col min="16" max="16" width="11.7109375" customWidth="1"/>
  </cols>
  <sheetData>
    <row r="1" spans="4:16" x14ac:dyDescent="0.2">
      <c r="D1" t="s">
        <v>176</v>
      </c>
    </row>
    <row r="3" spans="4:16" x14ac:dyDescent="0.2">
      <c r="D3" s="80" t="s">
        <v>0</v>
      </c>
      <c r="E3" s="80" t="s">
        <v>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4:16" x14ac:dyDescent="0.2">
      <c r="D4" s="81"/>
      <c r="E4" s="82">
        <v>45658</v>
      </c>
      <c r="F4" s="82">
        <v>45689</v>
      </c>
      <c r="G4" s="82">
        <v>45717</v>
      </c>
      <c r="H4" s="82">
        <v>45748</v>
      </c>
      <c r="I4" s="82">
        <v>45778</v>
      </c>
      <c r="J4" s="82">
        <v>45809</v>
      </c>
      <c r="K4" s="82">
        <v>45839</v>
      </c>
      <c r="L4" s="82">
        <v>45870</v>
      </c>
      <c r="M4" s="82">
        <v>45901</v>
      </c>
      <c r="N4" s="82">
        <v>45931</v>
      </c>
      <c r="O4" s="82">
        <v>45962</v>
      </c>
      <c r="P4" s="82">
        <v>45992</v>
      </c>
    </row>
    <row r="5" spans="4:16" x14ac:dyDescent="0.2">
      <c r="D5" s="78" t="s">
        <v>110</v>
      </c>
      <c r="E5" s="42"/>
      <c r="F5" s="42">
        <f>E16</f>
        <v>264050</v>
      </c>
      <c r="G5" s="42">
        <f t="shared" ref="G5:O5" si="0">F16</f>
        <v>513550</v>
      </c>
      <c r="H5" s="42">
        <f t="shared" si="0"/>
        <v>0</v>
      </c>
      <c r="I5" s="42">
        <f t="shared" si="0"/>
        <v>255210</v>
      </c>
      <c r="J5" s="42">
        <f t="shared" si="0"/>
        <v>960</v>
      </c>
      <c r="K5" s="42">
        <f t="shared" si="0"/>
        <v>0</v>
      </c>
      <c r="L5" s="42">
        <f t="shared" si="0"/>
        <v>0</v>
      </c>
      <c r="M5" s="42">
        <f t="shared" si="0"/>
        <v>0</v>
      </c>
      <c r="N5" s="42">
        <f t="shared" si="0"/>
        <v>0</v>
      </c>
      <c r="O5" s="42">
        <f t="shared" si="0"/>
        <v>0</v>
      </c>
      <c r="P5" s="42">
        <v>0</v>
      </c>
    </row>
    <row r="6" spans="4:16" x14ac:dyDescent="0.2">
      <c r="D6" s="78" t="s">
        <v>169</v>
      </c>
      <c r="E6" s="151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spans="4:16" x14ac:dyDescent="0.2">
      <c r="D7" s="78" t="s">
        <v>352</v>
      </c>
      <c r="E7" s="42">
        <v>58100</v>
      </c>
      <c r="F7" s="42">
        <v>45000</v>
      </c>
      <c r="G7" s="42">
        <v>50300</v>
      </c>
      <c r="H7" s="42">
        <v>16700</v>
      </c>
      <c r="I7" s="42">
        <v>20000</v>
      </c>
      <c r="J7" s="42">
        <v>71300</v>
      </c>
      <c r="K7" s="42">
        <v>25000</v>
      </c>
      <c r="L7" s="42">
        <v>62000</v>
      </c>
      <c r="M7" s="42">
        <v>25000</v>
      </c>
      <c r="N7" s="42">
        <v>10000</v>
      </c>
      <c r="O7" s="42">
        <v>59250</v>
      </c>
      <c r="P7" s="42"/>
    </row>
    <row r="8" spans="4:16" x14ac:dyDescent="0.2">
      <c r="D8" s="78" t="s">
        <v>4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</row>
    <row r="9" spans="4:16" x14ac:dyDescent="0.2">
      <c r="D9" s="152" t="s">
        <v>414</v>
      </c>
      <c r="E9" s="42">
        <v>35850</v>
      </c>
      <c r="F9" s="42">
        <f>12500+20000</f>
        <v>32500</v>
      </c>
      <c r="G9" s="42">
        <v>25030</v>
      </c>
      <c r="H9" s="42">
        <v>38710</v>
      </c>
      <c r="I9" s="42">
        <v>25750</v>
      </c>
      <c r="J9" s="42">
        <v>186000</v>
      </c>
      <c r="K9" s="42">
        <v>25410</v>
      </c>
      <c r="L9" s="42">
        <v>81300</v>
      </c>
      <c r="M9" s="42">
        <v>85000</v>
      </c>
      <c r="N9" s="42">
        <v>88000</v>
      </c>
      <c r="O9" s="42">
        <v>22678</v>
      </c>
      <c r="P9" s="42">
        <v>101500</v>
      </c>
    </row>
    <row r="10" spans="4:16" x14ac:dyDescent="0.2">
      <c r="D10" s="78" t="s">
        <v>747</v>
      </c>
      <c r="E10" s="42"/>
      <c r="F10" s="42"/>
      <c r="G10" s="42"/>
      <c r="H10" s="42"/>
      <c r="I10" s="42"/>
      <c r="J10" s="42"/>
      <c r="K10" s="42">
        <v>60000</v>
      </c>
      <c r="L10" s="42">
        <v>64500</v>
      </c>
      <c r="M10" s="42">
        <v>64500</v>
      </c>
      <c r="N10" s="42">
        <v>64500</v>
      </c>
      <c r="O10" s="42">
        <v>64500</v>
      </c>
      <c r="P10" s="42">
        <v>64500</v>
      </c>
    </row>
    <row r="11" spans="4:16" x14ac:dyDescent="0.2">
      <c r="D11" s="78" t="s">
        <v>74</v>
      </c>
      <c r="E11" s="42"/>
      <c r="F11" s="42"/>
      <c r="G11" s="42"/>
      <c r="H11" s="42"/>
      <c r="I11" s="42"/>
      <c r="J11" s="42"/>
      <c r="K11" s="42">
        <v>102000</v>
      </c>
      <c r="L11" s="42"/>
      <c r="M11" s="42"/>
      <c r="N11" s="42"/>
      <c r="O11" s="42"/>
      <c r="P11" s="42"/>
    </row>
    <row r="12" spans="4:16" x14ac:dyDescent="0.2">
      <c r="D12" s="78" t="s">
        <v>333</v>
      </c>
      <c r="E12" s="42">
        <v>50100</v>
      </c>
      <c r="F12" s="42">
        <v>52000</v>
      </c>
      <c r="G12" s="42">
        <v>52000</v>
      </c>
      <c r="H12" s="42">
        <v>59800</v>
      </c>
      <c r="I12" s="42">
        <v>63000</v>
      </c>
      <c r="J12" s="42">
        <v>65000</v>
      </c>
      <c r="K12" s="42">
        <v>65130</v>
      </c>
      <c r="L12" s="42">
        <v>65200</v>
      </c>
      <c r="M12" s="42">
        <v>74610</v>
      </c>
      <c r="N12" s="42">
        <v>76100</v>
      </c>
      <c r="O12" s="42">
        <v>76955</v>
      </c>
      <c r="P12" s="42">
        <v>79000</v>
      </c>
    </row>
    <row r="13" spans="4:16" x14ac:dyDescent="0.2">
      <c r="D13" s="78" t="s">
        <v>5</v>
      </c>
      <c r="E13" s="42">
        <v>120000</v>
      </c>
      <c r="F13" s="42">
        <v>120000</v>
      </c>
      <c r="G13" s="42">
        <v>120000</v>
      </c>
      <c r="H13" s="42">
        <v>140000</v>
      </c>
      <c r="I13" s="42">
        <v>140000</v>
      </c>
      <c r="J13" s="42">
        <v>150000</v>
      </c>
      <c r="K13" s="42">
        <v>160000</v>
      </c>
      <c r="L13" s="42">
        <v>160000</v>
      </c>
      <c r="M13" s="42">
        <v>160000</v>
      </c>
      <c r="N13" s="42">
        <v>170000</v>
      </c>
      <c r="O13" s="42">
        <v>180000</v>
      </c>
      <c r="P13" s="42">
        <v>130000</v>
      </c>
    </row>
    <row r="14" spans="4:16" x14ac:dyDescent="0.2">
      <c r="D14" s="78" t="s">
        <v>6</v>
      </c>
      <c r="E14" s="43">
        <f t="shared" ref="E14:P14" si="1">SUM(E5:E13)</f>
        <v>264050</v>
      </c>
      <c r="F14" s="43">
        <f t="shared" si="1"/>
        <v>513550</v>
      </c>
      <c r="G14" s="43">
        <f t="shared" si="1"/>
        <v>760880</v>
      </c>
      <c r="H14" s="43">
        <f t="shared" si="1"/>
        <v>255210</v>
      </c>
      <c r="I14" s="43">
        <f t="shared" si="1"/>
        <v>503960</v>
      </c>
      <c r="J14" s="43">
        <f t="shared" si="1"/>
        <v>473260</v>
      </c>
      <c r="K14" s="43">
        <f t="shared" si="1"/>
        <v>437540</v>
      </c>
      <c r="L14" s="43">
        <f t="shared" si="1"/>
        <v>433000</v>
      </c>
      <c r="M14" s="43">
        <f t="shared" si="1"/>
        <v>409110</v>
      </c>
      <c r="N14" s="43">
        <f t="shared" si="1"/>
        <v>408600</v>
      </c>
      <c r="O14" s="43">
        <f t="shared" si="1"/>
        <v>403383</v>
      </c>
      <c r="P14" s="43">
        <f t="shared" si="1"/>
        <v>375000</v>
      </c>
    </row>
    <row r="15" spans="4:16" ht="13.5" thickBot="1" x14ac:dyDescent="0.25">
      <c r="D15" s="78" t="s">
        <v>7</v>
      </c>
      <c r="E15" s="44"/>
      <c r="F15" s="44"/>
      <c r="G15" s="44">
        <v>760880</v>
      </c>
      <c r="H15" s="44"/>
      <c r="I15" s="44">
        <v>503000</v>
      </c>
      <c r="J15" s="44">
        <v>473260</v>
      </c>
      <c r="K15" s="44">
        <v>437540</v>
      </c>
      <c r="L15" s="44">
        <v>433000</v>
      </c>
      <c r="M15" s="44">
        <v>409110</v>
      </c>
      <c r="N15" s="44">
        <v>408600</v>
      </c>
      <c r="O15" s="44">
        <v>500000</v>
      </c>
      <c r="P15" s="44">
        <v>375000</v>
      </c>
    </row>
    <row r="16" spans="4:16" ht="13.5" thickBot="1" x14ac:dyDescent="0.25">
      <c r="D16" s="78" t="s">
        <v>111</v>
      </c>
      <c r="E16" s="45">
        <f t="shared" ref="E16:P16" si="2">E14-E15</f>
        <v>264050</v>
      </c>
      <c r="F16" s="46">
        <f t="shared" si="2"/>
        <v>513550</v>
      </c>
      <c r="G16" s="46">
        <f t="shared" si="2"/>
        <v>0</v>
      </c>
      <c r="H16" s="46">
        <f t="shared" si="2"/>
        <v>255210</v>
      </c>
      <c r="I16" s="46">
        <f t="shared" si="2"/>
        <v>960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  <c r="N16" s="46">
        <f t="shared" si="2"/>
        <v>0</v>
      </c>
      <c r="O16" s="46">
        <f t="shared" si="2"/>
        <v>-96617</v>
      </c>
      <c r="P16" s="47">
        <f t="shared" si="2"/>
        <v>0</v>
      </c>
    </row>
    <row r="17" spans="4:16" x14ac:dyDescent="0.2">
      <c r="D17" s="78"/>
      <c r="E17" s="78"/>
      <c r="F17" s="78"/>
      <c r="G17" s="149">
        <v>44299</v>
      </c>
      <c r="H17" s="78"/>
      <c r="I17" s="78"/>
      <c r="J17" s="149"/>
      <c r="K17" s="78"/>
      <c r="L17" s="78"/>
      <c r="M17" s="78"/>
      <c r="N17" s="78"/>
      <c r="O17" s="106">
        <v>159205</v>
      </c>
      <c r="P17" s="78"/>
    </row>
    <row r="18" spans="4:16" x14ac:dyDescent="0.2"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 t="s">
        <v>762</v>
      </c>
      <c r="P18" s="78"/>
    </row>
    <row r="19" spans="4:16" x14ac:dyDescent="0.2">
      <c r="D19" s="80" t="s">
        <v>0</v>
      </c>
      <c r="E19" s="80" t="s">
        <v>1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spans="4:16" x14ac:dyDescent="0.2">
      <c r="D20" s="81"/>
      <c r="E20" s="82">
        <v>46023</v>
      </c>
      <c r="F20" s="82">
        <v>46054</v>
      </c>
      <c r="G20" s="82">
        <v>46082</v>
      </c>
      <c r="H20" s="82">
        <v>46113</v>
      </c>
      <c r="I20" s="82">
        <v>46143</v>
      </c>
      <c r="J20" s="82">
        <v>46174</v>
      </c>
      <c r="K20" s="82">
        <v>46204</v>
      </c>
      <c r="L20" s="82">
        <v>46235</v>
      </c>
      <c r="M20" s="82">
        <v>46266</v>
      </c>
      <c r="N20" s="82">
        <v>46296</v>
      </c>
      <c r="O20" s="82">
        <v>46327</v>
      </c>
      <c r="P20" s="82">
        <v>46357</v>
      </c>
    </row>
    <row r="21" spans="4:16" x14ac:dyDescent="0.2">
      <c r="D21" s="78" t="s">
        <v>110</v>
      </c>
      <c r="E21" s="42"/>
      <c r="F21" s="42">
        <f t="shared" ref="F21:P21" si="3">E32</f>
        <v>-80000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316750</v>
      </c>
      <c r="K21" s="42">
        <f t="shared" si="3"/>
        <v>412655</v>
      </c>
      <c r="L21" s="42">
        <f t="shared" si="3"/>
        <v>412655</v>
      </c>
      <c r="M21" s="42">
        <f t="shared" si="3"/>
        <v>412655</v>
      </c>
      <c r="N21" s="42">
        <f t="shared" si="3"/>
        <v>412655</v>
      </c>
      <c r="O21" s="42">
        <f t="shared" si="3"/>
        <v>412655</v>
      </c>
      <c r="P21" s="42">
        <f t="shared" si="3"/>
        <v>412655</v>
      </c>
    </row>
    <row r="22" spans="4:16" x14ac:dyDescent="0.2">
      <c r="D22" s="78" t="s">
        <v>351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spans="4:16" x14ac:dyDescent="0.2">
      <c r="D23" s="78" t="s">
        <v>352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spans="4:16" x14ac:dyDescent="0.2">
      <c r="D24" s="78" t="s">
        <v>353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4:16" x14ac:dyDescent="0.2">
      <c r="D25" s="78" t="s">
        <v>354</v>
      </c>
      <c r="E25" s="42">
        <v>98000</v>
      </c>
      <c r="F25" s="42">
        <v>53000</v>
      </c>
      <c r="G25" s="42">
        <v>57400</v>
      </c>
      <c r="H25" s="42">
        <v>110000</v>
      </c>
      <c r="I25" s="42">
        <v>94450</v>
      </c>
      <c r="J25" s="42"/>
      <c r="K25" s="42"/>
      <c r="L25" s="42"/>
      <c r="M25" s="42"/>
      <c r="N25" s="42"/>
      <c r="O25" s="42"/>
      <c r="P25" s="42"/>
    </row>
    <row r="26" spans="4:16" x14ac:dyDescent="0.2">
      <c r="D26" s="78" t="s">
        <v>73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4:16" x14ac:dyDescent="0.2">
      <c r="D27" s="78" t="s">
        <v>779</v>
      </c>
      <c r="E27" s="42">
        <v>72300</v>
      </c>
      <c r="F27" s="42">
        <v>72300</v>
      </c>
      <c r="G27" s="42">
        <v>72300</v>
      </c>
      <c r="H27" s="42">
        <v>72300</v>
      </c>
      <c r="I27" s="42">
        <v>72300</v>
      </c>
      <c r="J27" s="42"/>
      <c r="K27" s="42"/>
      <c r="L27" s="42"/>
      <c r="M27" s="42"/>
      <c r="N27" s="42"/>
      <c r="O27" s="42"/>
      <c r="P27" s="42"/>
    </row>
    <row r="28" spans="4:16" x14ac:dyDescent="0.2">
      <c r="D28" s="78" t="s">
        <v>393</v>
      </c>
      <c r="E28" s="42"/>
      <c r="F28" s="42"/>
      <c r="G28" s="42">
        <v>92448</v>
      </c>
      <c r="H28" s="42">
        <v>92665</v>
      </c>
      <c r="I28" s="42"/>
      <c r="J28" s="42">
        <v>95905</v>
      </c>
      <c r="K28" s="42"/>
      <c r="L28" s="42"/>
      <c r="M28" s="42"/>
      <c r="N28" s="42"/>
      <c r="O28" s="42"/>
      <c r="P28" s="42"/>
    </row>
    <row r="29" spans="4:16" x14ac:dyDescent="0.2">
      <c r="D29" s="78" t="s">
        <v>5</v>
      </c>
      <c r="E29" s="42">
        <v>150000</v>
      </c>
      <c r="F29" s="42">
        <v>150000</v>
      </c>
      <c r="G29" s="42">
        <v>150000</v>
      </c>
      <c r="H29" s="42">
        <v>150000</v>
      </c>
      <c r="I29" s="42">
        <v>150000</v>
      </c>
      <c r="J29" s="42"/>
      <c r="K29" s="42"/>
      <c r="L29" s="42"/>
      <c r="M29" s="42"/>
      <c r="N29" s="42"/>
      <c r="O29" s="42"/>
      <c r="P29" s="42"/>
    </row>
    <row r="30" spans="4:16" x14ac:dyDescent="0.2">
      <c r="D30" s="78" t="s">
        <v>6</v>
      </c>
      <c r="E30" s="43">
        <f>SUM(E21:E29)</f>
        <v>320300</v>
      </c>
      <c r="F30" s="43">
        <f t="shared" ref="F30:P30" si="4">SUM(F21:F29)</f>
        <v>195300</v>
      </c>
      <c r="G30" s="43">
        <f t="shared" si="4"/>
        <v>372148</v>
      </c>
      <c r="H30" s="43">
        <f t="shared" si="4"/>
        <v>424965</v>
      </c>
      <c r="I30" s="43">
        <f t="shared" si="4"/>
        <v>316750</v>
      </c>
      <c r="J30" s="43">
        <f t="shared" si="4"/>
        <v>412655</v>
      </c>
      <c r="K30" s="43">
        <f t="shared" si="4"/>
        <v>412655</v>
      </c>
      <c r="L30" s="43">
        <f t="shared" si="4"/>
        <v>412655</v>
      </c>
      <c r="M30" s="43">
        <f t="shared" si="4"/>
        <v>412655</v>
      </c>
      <c r="N30" s="43">
        <f t="shared" si="4"/>
        <v>412655</v>
      </c>
      <c r="O30" s="43">
        <f t="shared" si="4"/>
        <v>412655</v>
      </c>
      <c r="P30" s="43">
        <f t="shared" si="4"/>
        <v>412655</v>
      </c>
    </row>
    <row r="31" spans="4:16" ht="13.5" thickBot="1" x14ac:dyDescent="0.25">
      <c r="D31" s="78" t="s">
        <v>7</v>
      </c>
      <c r="E31" s="44">
        <v>400300</v>
      </c>
      <c r="F31" s="44">
        <v>195300</v>
      </c>
      <c r="G31" s="44">
        <v>372148</v>
      </c>
      <c r="H31" s="44">
        <v>424965</v>
      </c>
      <c r="I31" s="44"/>
      <c r="J31" s="44"/>
      <c r="K31" s="44"/>
      <c r="L31" s="44"/>
      <c r="M31" s="44"/>
      <c r="N31" s="44"/>
      <c r="O31" s="44"/>
      <c r="P31" s="44"/>
    </row>
    <row r="32" spans="4:16" ht="13.5" thickBot="1" x14ac:dyDescent="0.25">
      <c r="D32" s="78" t="s">
        <v>111</v>
      </c>
      <c r="E32" s="45">
        <f t="shared" ref="E32:P32" si="5">E30-E31</f>
        <v>-80000</v>
      </c>
      <c r="F32" s="46">
        <f t="shared" si="5"/>
        <v>0</v>
      </c>
      <c r="G32" s="46">
        <f t="shared" si="5"/>
        <v>0</v>
      </c>
      <c r="H32" s="46">
        <f t="shared" si="5"/>
        <v>0</v>
      </c>
      <c r="I32" s="46">
        <f t="shared" si="5"/>
        <v>316750</v>
      </c>
      <c r="J32" s="46">
        <f t="shared" si="5"/>
        <v>412655</v>
      </c>
      <c r="K32" s="46">
        <f t="shared" si="5"/>
        <v>412655</v>
      </c>
      <c r="L32" s="46">
        <f t="shared" si="5"/>
        <v>412655</v>
      </c>
      <c r="M32" s="46">
        <f t="shared" si="5"/>
        <v>412655</v>
      </c>
      <c r="N32" s="46">
        <f t="shared" si="5"/>
        <v>412655</v>
      </c>
      <c r="O32" s="46">
        <f t="shared" si="5"/>
        <v>412655</v>
      </c>
      <c r="P32" s="47">
        <f t="shared" si="5"/>
        <v>412655</v>
      </c>
    </row>
    <row r="33" spans="4:16" x14ac:dyDescent="0.2">
      <c r="D33" s="78"/>
      <c r="E33" s="149">
        <v>43867</v>
      </c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7"/>
  <dimension ref="A2:M31"/>
  <sheetViews>
    <sheetView topLeftCell="A10" workbookViewId="0">
      <selection activeCell="F31" sqref="F31"/>
    </sheetView>
  </sheetViews>
  <sheetFormatPr baseColWidth="10" defaultRowHeight="12.75" x14ac:dyDescent="0.2"/>
  <cols>
    <col min="1" max="1" width="26.42578125" customWidth="1"/>
  </cols>
  <sheetData>
    <row r="2" spans="1:13" x14ac:dyDescent="0.2">
      <c r="A2" s="80" t="s">
        <v>0</v>
      </c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x14ac:dyDescent="0.2">
      <c r="A3" s="81"/>
      <c r="B3" s="82">
        <v>45658</v>
      </c>
      <c r="C3" s="82">
        <v>45689</v>
      </c>
      <c r="D3" s="82">
        <v>45717</v>
      </c>
      <c r="E3" s="82">
        <v>45748</v>
      </c>
      <c r="F3" s="82">
        <v>45778</v>
      </c>
      <c r="G3" s="82">
        <v>45809</v>
      </c>
      <c r="H3" s="82">
        <v>45839</v>
      </c>
      <c r="I3" s="82">
        <v>45870</v>
      </c>
      <c r="J3" s="82">
        <v>45901</v>
      </c>
      <c r="K3" s="82">
        <v>45931</v>
      </c>
      <c r="L3" s="82">
        <v>45962</v>
      </c>
      <c r="M3" s="82">
        <v>45992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60000</v>
      </c>
      <c r="E4" s="42">
        <f t="shared" si="0"/>
        <v>120000</v>
      </c>
      <c r="F4" s="42">
        <f t="shared" si="0"/>
        <v>180000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 t="shared" si="0"/>
        <v>0</v>
      </c>
      <c r="M4" s="42">
        <f t="shared" si="0"/>
        <v>0</v>
      </c>
    </row>
    <row r="5" spans="1:13" x14ac:dyDescent="0.2">
      <c r="A5" s="78" t="s">
        <v>144</v>
      </c>
      <c r="B5" s="42"/>
      <c r="C5" s="42">
        <v>40000</v>
      </c>
      <c r="D5" s="42">
        <v>40000</v>
      </c>
      <c r="E5" s="42">
        <v>40000</v>
      </c>
      <c r="F5" s="42">
        <v>40000</v>
      </c>
      <c r="G5" s="42">
        <v>40000</v>
      </c>
      <c r="H5" s="42">
        <v>40000</v>
      </c>
      <c r="I5" s="42">
        <v>44500</v>
      </c>
      <c r="J5" s="42">
        <v>44500</v>
      </c>
      <c r="K5" s="42">
        <v>44500</v>
      </c>
      <c r="L5" s="42">
        <v>44500</v>
      </c>
      <c r="M5" s="42">
        <v>44500</v>
      </c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362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>
        <v>20000</v>
      </c>
      <c r="D12" s="42">
        <v>20000</v>
      </c>
      <c r="E12" s="42">
        <v>20000</v>
      </c>
      <c r="F12" s="42">
        <v>20000</v>
      </c>
      <c r="G12" s="42">
        <v>20000</v>
      </c>
      <c r="H12" s="42">
        <v>20000</v>
      </c>
      <c r="I12" s="42">
        <v>20000</v>
      </c>
      <c r="J12" s="42">
        <v>20000</v>
      </c>
      <c r="K12" s="42">
        <v>20000</v>
      </c>
      <c r="L12" s="42">
        <v>20000</v>
      </c>
      <c r="M12" s="42">
        <v>20000</v>
      </c>
    </row>
    <row r="13" spans="1:13" x14ac:dyDescent="0.2">
      <c r="A13" s="78" t="s">
        <v>6</v>
      </c>
      <c r="B13" s="43">
        <f t="shared" ref="B13:M13" si="1">SUM(B4:B12)</f>
        <v>0</v>
      </c>
      <c r="C13" s="43">
        <f t="shared" si="1"/>
        <v>60000</v>
      </c>
      <c r="D13" s="43">
        <f t="shared" si="1"/>
        <v>120000</v>
      </c>
      <c r="E13" s="43">
        <f t="shared" si="1"/>
        <v>180000</v>
      </c>
      <c r="F13" s="43">
        <f t="shared" si="1"/>
        <v>240000</v>
      </c>
      <c r="G13" s="43">
        <f t="shared" si="1"/>
        <v>60000</v>
      </c>
      <c r="H13" s="43">
        <f t="shared" si="1"/>
        <v>60000</v>
      </c>
      <c r="I13" s="43">
        <f t="shared" si="1"/>
        <v>64500</v>
      </c>
      <c r="J13" s="43">
        <f t="shared" si="1"/>
        <v>64500</v>
      </c>
      <c r="K13" s="43">
        <f t="shared" si="1"/>
        <v>64500</v>
      </c>
      <c r="L13" s="43">
        <f t="shared" si="1"/>
        <v>64500</v>
      </c>
      <c r="M13" s="43">
        <f t="shared" si="1"/>
        <v>64500</v>
      </c>
    </row>
    <row r="14" spans="1:13" ht="13.5" thickBot="1" x14ac:dyDescent="0.25">
      <c r="A14" s="78" t="s">
        <v>7</v>
      </c>
      <c r="B14" s="44"/>
      <c r="C14" s="44"/>
      <c r="D14" s="44"/>
      <c r="E14" s="44"/>
      <c r="F14" s="44">
        <v>240000</v>
      </c>
      <c r="G14" s="44">
        <v>60000</v>
      </c>
      <c r="H14" s="44">
        <v>60000</v>
      </c>
      <c r="I14" s="44">
        <v>64500</v>
      </c>
      <c r="J14" s="44">
        <v>64500</v>
      </c>
      <c r="K14" s="44">
        <v>64500</v>
      </c>
      <c r="L14" s="44">
        <v>64500</v>
      </c>
      <c r="M14" s="44">
        <v>64500</v>
      </c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60000</v>
      </c>
      <c r="D15" s="46">
        <f t="shared" si="2"/>
        <v>120000</v>
      </c>
      <c r="E15" s="46">
        <f t="shared" si="2"/>
        <v>180000</v>
      </c>
      <c r="F15" s="46">
        <f>F13-F14</f>
        <v>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0</v>
      </c>
      <c r="L15" s="46">
        <f t="shared" si="2"/>
        <v>0</v>
      </c>
      <c r="M15" s="47">
        <f t="shared" si="2"/>
        <v>0</v>
      </c>
    </row>
    <row r="18" spans="1:13" x14ac:dyDescent="0.2">
      <c r="A18" s="80" t="s">
        <v>0</v>
      </c>
      <c r="B18" s="80" t="s">
        <v>1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</row>
    <row r="19" spans="1:13" x14ac:dyDescent="0.2">
      <c r="A19" s="81"/>
      <c r="B19" s="82">
        <v>46023</v>
      </c>
      <c r="C19" s="82">
        <v>46054</v>
      </c>
      <c r="D19" s="82">
        <v>46082</v>
      </c>
      <c r="E19" s="82">
        <v>46113</v>
      </c>
      <c r="F19" s="82">
        <v>46143</v>
      </c>
      <c r="G19" s="82">
        <v>46174</v>
      </c>
      <c r="H19" s="82">
        <v>46204</v>
      </c>
      <c r="I19" s="82">
        <v>46235</v>
      </c>
      <c r="J19" s="82">
        <v>46266</v>
      </c>
      <c r="K19" s="82">
        <v>46296</v>
      </c>
      <c r="L19" s="82">
        <v>46327</v>
      </c>
      <c r="M19" s="82">
        <v>46357</v>
      </c>
    </row>
    <row r="20" spans="1:13" x14ac:dyDescent="0.2">
      <c r="A20" s="78" t="s">
        <v>110</v>
      </c>
      <c r="B20" s="42"/>
      <c r="C20" s="42">
        <f t="shared" ref="C20:M20" si="3">B31</f>
        <v>0</v>
      </c>
      <c r="D20" s="42">
        <f t="shared" si="3"/>
        <v>0</v>
      </c>
      <c r="E20" s="42">
        <f t="shared" si="3"/>
        <v>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144</v>
      </c>
      <c r="B21" s="42">
        <v>52300</v>
      </c>
      <c r="C21" s="42">
        <v>52300</v>
      </c>
      <c r="D21" s="42">
        <v>52300</v>
      </c>
      <c r="E21" s="42">
        <v>52300</v>
      </c>
      <c r="F21" s="42">
        <v>52300</v>
      </c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362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20000</v>
      </c>
      <c r="C28" s="42">
        <v>20000</v>
      </c>
      <c r="D28" s="42">
        <v>20000</v>
      </c>
      <c r="E28" s="42">
        <v>20000</v>
      </c>
      <c r="F28" s="42">
        <v>20000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 t="shared" ref="B29:M29" si="4">SUM(B20:B28)</f>
        <v>72300</v>
      </c>
      <c r="C29" s="43">
        <f t="shared" si="4"/>
        <v>72300</v>
      </c>
      <c r="D29" s="43">
        <f t="shared" si="4"/>
        <v>72300</v>
      </c>
      <c r="E29" s="43">
        <f t="shared" si="4"/>
        <v>72300</v>
      </c>
      <c r="F29" s="43">
        <f t="shared" si="4"/>
        <v>72300</v>
      </c>
      <c r="G29" s="43">
        <f t="shared" si="4"/>
        <v>0</v>
      </c>
      <c r="H29" s="43">
        <f t="shared" si="4"/>
        <v>0</v>
      </c>
      <c r="I29" s="43">
        <f t="shared" si="4"/>
        <v>0</v>
      </c>
      <c r="J29" s="43">
        <f t="shared" si="4"/>
        <v>0</v>
      </c>
      <c r="K29" s="43">
        <f t="shared" si="4"/>
        <v>0</v>
      </c>
      <c r="L29" s="43">
        <f t="shared" si="4"/>
        <v>0</v>
      </c>
      <c r="M29" s="43">
        <f t="shared" si="4"/>
        <v>0</v>
      </c>
    </row>
    <row r="30" spans="1:13" ht="13.5" thickBot="1" x14ac:dyDescent="0.25">
      <c r="A30" s="78" t="s">
        <v>7</v>
      </c>
      <c r="B30" s="44">
        <v>72300</v>
      </c>
      <c r="C30" s="44">
        <v>72300</v>
      </c>
      <c r="D30" s="44">
        <v>72300</v>
      </c>
      <c r="E30" s="44">
        <v>72300</v>
      </c>
      <c r="F30" s="44">
        <v>72300</v>
      </c>
      <c r="G30" s="44"/>
      <c r="H30" s="44"/>
      <c r="I30" s="44"/>
      <c r="J30" s="44"/>
      <c r="K30" s="44"/>
      <c r="L30" s="44"/>
      <c r="M30" s="44"/>
    </row>
    <row r="31" spans="1:13" ht="13.5" thickBot="1" x14ac:dyDescent="0.25">
      <c r="A31" s="78" t="s">
        <v>111</v>
      </c>
      <c r="B31" s="45">
        <f>B29-B30</f>
        <v>0</v>
      </c>
      <c r="C31" s="46">
        <f>C29-C30</f>
        <v>0</v>
      </c>
      <c r="D31" s="46">
        <f>D29-D30</f>
        <v>0</v>
      </c>
      <c r="E31" s="46">
        <f>E29-E30</f>
        <v>0</v>
      </c>
      <c r="F31" s="46">
        <f>F29-F30</f>
        <v>0</v>
      </c>
      <c r="G31" s="46">
        <f t="shared" ref="G31:M31" si="5">G29-G30</f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7">
        <f t="shared" si="5"/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5"/>
  <dimension ref="A4:M36"/>
  <sheetViews>
    <sheetView topLeftCell="A16" workbookViewId="0">
      <selection activeCell="F33" sqref="F33"/>
    </sheetView>
  </sheetViews>
  <sheetFormatPr baseColWidth="10" defaultRowHeight="12.75" x14ac:dyDescent="0.2"/>
  <cols>
    <col min="1" max="1" width="31.42578125" customWidth="1"/>
    <col min="4" max="4" width="12.28515625" customWidth="1"/>
    <col min="5" max="5" width="12.7109375" customWidth="1"/>
    <col min="6" max="6" width="13.140625" customWidth="1"/>
    <col min="7" max="7" width="14.140625" customWidth="1"/>
    <col min="8" max="9" width="12.85546875" customWidth="1"/>
    <col min="10" max="10" width="13" customWidth="1"/>
    <col min="11" max="11" width="13.42578125" customWidth="1"/>
    <col min="12" max="12" width="13" customWidth="1"/>
    <col min="13" max="13" width="12.7109375" customWidth="1"/>
  </cols>
  <sheetData>
    <row r="4" spans="1:13" x14ac:dyDescent="0.2">
      <c r="A4" s="80" t="s">
        <v>0</v>
      </c>
      <c r="B4" s="80" t="s">
        <v>1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x14ac:dyDescent="0.2">
      <c r="A5" s="81"/>
      <c r="B5" s="82">
        <v>45658</v>
      </c>
      <c r="C5" s="82">
        <v>45689</v>
      </c>
      <c r="D5" s="82">
        <v>45717</v>
      </c>
      <c r="E5" s="82">
        <v>45748</v>
      </c>
      <c r="F5" s="82">
        <v>45778</v>
      </c>
      <c r="G5" s="82">
        <v>45809</v>
      </c>
      <c r="H5" s="82">
        <v>45839</v>
      </c>
      <c r="I5" s="82">
        <v>45870</v>
      </c>
      <c r="J5" s="82">
        <v>45901</v>
      </c>
      <c r="K5" s="82">
        <v>45931</v>
      </c>
      <c r="L5" s="82">
        <v>45962</v>
      </c>
      <c r="M5" s="82">
        <v>45992</v>
      </c>
    </row>
    <row r="6" spans="1:13" x14ac:dyDescent="0.2">
      <c r="A6" s="78" t="s">
        <v>110</v>
      </c>
      <c r="B6" s="42">
        <v>90000</v>
      </c>
      <c r="C6" s="42">
        <f t="shared" ref="C6:M6" si="0">B17</f>
        <v>185000</v>
      </c>
      <c r="D6" s="42">
        <f t="shared" si="0"/>
        <v>280000</v>
      </c>
      <c r="E6" s="42">
        <f t="shared" si="0"/>
        <v>33000</v>
      </c>
      <c r="F6" s="42">
        <f t="shared" si="0"/>
        <v>133000</v>
      </c>
      <c r="G6" s="42">
        <f t="shared" si="0"/>
        <v>233000</v>
      </c>
      <c r="H6" s="42">
        <f t="shared" si="0"/>
        <v>-72000</v>
      </c>
      <c r="I6" s="42">
        <f t="shared" si="0"/>
        <v>38000</v>
      </c>
      <c r="J6" s="42">
        <f t="shared" si="0"/>
        <v>8000</v>
      </c>
      <c r="K6" s="42">
        <f t="shared" si="0"/>
        <v>0</v>
      </c>
      <c r="L6" s="42">
        <f t="shared" si="0"/>
        <v>150000</v>
      </c>
      <c r="M6" s="42">
        <f t="shared" si="0"/>
        <v>300000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>
        <v>500000</v>
      </c>
      <c r="H7" s="42"/>
      <c r="I7" s="42">
        <v>420000</v>
      </c>
      <c r="J7" s="42">
        <v>422000</v>
      </c>
      <c r="K7" s="42"/>
      <c r="L7" s="42"/>
      <c r="M7" s="42"/>
    </row>
    <row r="8" spans="1:13" x14ac:dyDescent="0.2">
      <c r="A8" s="78" t="s">
        <v>3</v>
      </c>
      <c r="B8" s="42"/>
      <c r="C8" s="42"/>
      <c r="D8" s="42">
        <v>158000</v>
      </c>
      <c r="E8" s="42"/>
      <c r="F8" s="42"/>
      <c r="G8" s="42">
        <v>765000</v>
      </c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330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645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251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95000</v>
      </c>
      <c r="C14" s="42">
        <v>95000</v>
      </c>
      <c r="D14" s="42">
        <v>95000</v>
      </c>
      <c r="E14" s="42">
        <v>100000</v>
      </c>
      <c r="F14" s="42">
        <v>100000</v>
      </c>
      <c r="G14" s="42">
        <v>100000</v>
      </c>
      <c r="H14" s="42">
        <v>110000</v>
      </c>
      <c r="I14" s="42">
        <v>110000</v>
      </c>
      <c r="J14" s="42">
        <v>130000</v>
      </c>
      <c r="K14" s="42">
        <v>150000</v>
      </c>
      <c r="L14" s="42">
        <v>150000</v>
      </c>
      <c r="M14" s="42">
        <v>150000</v>
      </c>
    </row>
    <row r="15" spans="1:13" x14ac:dyDescent="0.2">
      <c r="A15" s="78" t="s">
        <v>6</v>
      </c>
      <c r="B15" s="43">
        <f t="shared" ref="B15:M15" si="1">SUM(B6:B14)</f>
        <v>185000</v>
      </c>
      <c r="C15" s="43">
        <f t="shared" si="1"/>
        <v>280000</v>
      </c>
      <c r="D15" s="43">
        <f t="shared" si="1"/>
        <v>533000</v>
      </c>
      <c r="E15" s="43">
        <f t="shared" si="1"/>
        <v>133000</v>
      </c>
      <c r="F15" s="43">
        <f t="shared" si="1"/>
        <v>233000</v>
      </c>
      <c r="G15" s="43">
        <f>SUM(G6:G14)</f>
        <v>1598000</v>
      </c>
      <c r="H15" s="43">
        <f t="shared" si="1"/>
        <v>38000</v>
      </c>
      <c r="I15" s="43">
        <f t="shared" si="1"/>
        <v>568000</v>
      </c>
      <c r="J15" s="43">
        <f t="shared" si="1"/>
        <v>560000</v>
      </c>
      <c r="K15" s="43">
        <f t="shared" si="1"/>
        <v>150000</v>
      </c>
      <c r="L15" s="43">
        <f t="shared" si="1"/>
        <v>300000</v>
      </c>
      <c r="M15" s="43">
        <f t="shared" si="1"/>
        <v>450000</v>
      </c>
    </row>
    <row r="16" spans="1:13" ht="13.5" thickBot="1" x14ac:dyDescent="0.25">
      <c r="A16" s="78" t="s">
        <v>7</v>
      </c>
      <c r="B16" s="44"/>
      <c r="C16" s="44"/>
      <c r="D16" s="44">
        <v>500000</v>
      </c>
      <c r="E16" s="44"/>
      <c r="F16" s="44"/>
      <c r="G16" s="44">
        <f>1170000+500000</f>
        <v>1670000</v>
      </c>
      <c r="H16" s="44"/>
      <c r="I16" s="44">
        <v>560000</v>
      </c>
      <c r="J16" s="44">
        <v>560000</v>
      </c>
      <c r="K16" s="44"/>
      <c r="L16" s="44"/>
      <c r="M16" s="44">
        <v>450000</v>
      </c>
    </row>
    <row r="17" spans="1:13" ht="13.5" thickBot="1" x14ac:dyDescent="0.25">
      <c r="A17" s="78" t="s">
        <v>111</v>
      </c>
      <c r="B17" s="45">
        <f t="shared" ref="B17:M17" si="2">B15-B16</f>
        <v>185000</v>
      </c>
      <c r="C17" s="46">
        <f t="shared" si="2"/>
        <v>280000</v>
      </c>
      <c r="D17" s="46">
        <f t="shared" si="2"/>
        <v>33000</v>
      </c>
      <c r="E17" s="46">
        <f t="shared" si="2"/>
        <v>133000</v>
      </c>
      <c r="F17" s="46">
        <f t="shared" si="2"/>
        <v>233000</v>
      </c>
      <c r="G17" s="46">
        <f t="shared" si="2"/>
        <v>-72000</v>
      </c>
      <c r="H17" s="46">
        <f t="shared" si="2"/>
        <v>38000</v>
      </c>
      <c r="I17" s="46">
        <f>I15-I16</f>
        <v>8000</v>
      </c>
      <c r="J17" s="46">
        <f>J15-J16</f>
        <v>0</v>
      </c>
      <c r="K17" s="46">
        <f t="shared" si="2"/>
        <v>150000</v>
      </c>
      <c r="L17" s="46">
        <f t="shared" si="2"/>
        <v>300000</v>
      </c>
      <c r="M17" s="47">
        <f t="shared" si="2"/>
        <v>0</v>
      </c>
    </row>
    <row r="18" spans="1:13" x14ac:dyDescent="0.2">
      <c r="I18" t="s">
        <v>748</v>
      </c>
      <c r="K18" s="128">
        <v>45974</v>
      </c>
    </row>
    <row r="19" spans="1:13" x14ac:dyDescent="0.2">
      <c r="I19" t="s">
        <v>749</v>
      </c>
    </row>
    <row r="22" spans="1:13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2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2">
      <c r="A24" s="78" t="s">
        <v>110</v>
      </c>
      <c r="B24" s="42"/>
      <c r="C24" s="42">
        <f t="shared" ref="C24:M24" si="3">B35</f>
        <v>180000</v>
      </c>
      <c r="D24" s="42">
        <f t="shared" si="3"/>
        <v>360000</v>
      </c>
      <c r="E24" s="42">
        <f t="shared" si="3"/>
        <v>540000</v>
      </c>
      <c r="F24" s="42">
        <f t="shared" si="3"/>
        <v>720000</v>
      </c>
      <c r="G24" s="42">
        <f t="shared" si="3"/>
        <v>900000</v>
      </c>
      <c r="H24" s="42">
        <f t="shared" si="3"/>
        <v>900000</v>
      </c>
      <c r="I24" s="42">
        <f t="shared" si="3"/>
        <v>900000</v>
      </c>
      <c r="J24" s="42">
        <f t="shared" si="3"/>
        <v>900000</v>
      </c>
      <c r="K24" s="42">
        <f t="shared" si="3"/>
        <v>900000</v>
      </c>
      <c r="L24" s="42">
        <f t="shared" si="3"/>
        <v>900000</v>
      </c>
      <c r="M24" s="42">
        <f t="shared" si="3"/>
        <v>900000</v>
      </c>
    </row>
    <row r="25" spans="1:13" x14ac:dyDescent="0.2">
      <c r="A25" s="78" t="s">
        <v>76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491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251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180000</v>
      </c>
      <c r="C32" s="42">
        <v>180000</v>
      </c>
      <c r="D32" s="42">
        <v>180000</v>
      </c>
      <c r="E32" s="42">
        <v>180000</v>
      </c>
      <c r="F32" s="42">
        <v>180000</v>
      </c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 t="shared" ref="B33:G33" si="4">SUM(B24:B32)</f>
        <v>180000</v>
      </c>
      <c r="C33" s="43">
        <f t="shared" si="4"/>
        <v>360000</v>
      </c>
      <c r="D33" s="43">
        <f t="shared" si="4"/>
        <v>540000</v>
      </c>
      <c r="E33" s="43">
        <f t="shared" si="4"/>
        <v>720000</v>
      </c>
      <c r="F33" s="43">
        <f t="shared" si="4"/>
        <v>900000</v>
      </c>
      <c r="G33" s="43">
        <f t="shared" si="4"/>
        <v>900000</v>
      </c>
      <c r="H33" s="43">
        <f t="shared" ref="H33:M33" si="5">SUM(H24:H32)</f>
        <v>900000</v>
      </c>
      <c r="I33" s="43">
        <f t="shared" si="5"/>
        <v>900000</v>
      </c>
      <c r="J33" s="43">
        <f t="shared" si="5"/>
        <v>900000</v>
      </c>
      <c r="K33" s="43">
        <f t="shared" si="5"/>
        <v>900000</v>
      </c>
      <c r="L33" s="43">
        <f t="shared" si="5"/>
        <v>900000</v>
      </c>
      <c r="M33" s="43">
        <f t="shared" si="5"/>
        <v>900000</v>
      </c>
    </row>
    <row r="34" spans="1:13" ht="13.5" thickBot="1" x14ac:dyDescent="0.25">
      <c r="A34" s="78" t="s">
        <v>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H35" si="6">B33-B34</f>
        <v>180000</v>
      </c>
      <c r="C35" s="46">
        <f t="shared" si="6"/>
        <v>360000</v>
      </c>
      <c r="D35" s="46">
        <f t="shared" si="6"/>
        <v>540000</v>
      </c>
      <c r="E35" s="46">
        <f t="shared" si="6"/>
        <v>720000</v>
      </c>
      <c r="F35" s="46">
        <f t="shared" si="6"/>
        <v>900000</v>
      </c>
      <c r="G35" s="46">
        <f t="shared" si="6"/>
        <v>900000</v>
      </c>
      <c r="H35" s="46">
        <f t="shared" si="6"/>
        <v>900000</v>
      </c>
      <c r="I35" s="46">
        <f>I33-I34</f>
        <v>900000</v>
      </c>
      <c r="J35" s="46">
        <f>J33-J34</f>
        <v>900000</v>
      </c>
      <c r="K35" s="46">
        <f>K33-K34</f>
        <v>900000</v>
      </c>
      <c r="L35" s="46">
        <f>L33-L34</f>
        <v>900000</v>
      </c>
      <c r="M35" s="47">
        <f>M33-M34</f>
        <v>900000</v>
      </c>
    </row>
    <row r="36" spans="1:13" x14ac:dyDescent="0.2">
      <c r="J36" t="s">
        <v>698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6"/>
  <dimension ref="A3:N33"/>
  <sheetViews>
    <sheetView workbookViewId="0">
      <selection activeCell="G16" sqref="G16"/>
    </sheetView>
  </sheetViews>
  <sheetFormatPr baseColWidth="10" defaultRowHeight="12.75" x14ac:dyDescent="0.2"/>
  <cols>
    <col min="1" max="1" width="33.42578125" customWidth="1"/>
    <col min="5" max="5" width="12.5703125" bestFit="1" customWidth="1"/>
    <col min="7" max="7" width="12.5703125" bestFit="1" customWidth="1"/>
    <col min="13" max="13" width="12.7109375" customWidth="1"/>
  </cols>
  <sheetData>
    <row r="3" spans="1:14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4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4" x14ac:dyDescent="0.2">
      <c r="A5" s="78" t="s">
        <v>110</v>
      </c>
      <c r="B5" s="42"/>
      <c r="C5" s="42"/>
      <c r="D5" s="42">
        <f t="shared" ref="D5:M5" si="0">C16</f>
        <v>0</v>
      </c>
      <c r="E5" s="42">
        <f t="shared" si="0"/>
        <v>0</v>
      </c>
      <c r="F5" s="42">
        <f t="shared" si="0"/>
        <v>0</v>
      </c>
      <c r="G5" s="42">
        <f t="shared" si="0"/>
        <v>5000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4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4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4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4" x14ac:dyDescent="0.2">
      <c r="A9" s="78" t="s">
        <v>261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x14ac:dyDescent="0.2">
      <c r="A12" s="78" t="s">
        <v>251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2">
      <c r="A13" s="78" t="s">
        <v>5</v>
      </c>
      <c r="B13" s="42">
        <v>6000</v>
      </c>
      <c r="C13" s="42">
        <v>6000</v>
      </c>
      <c r="D13" s="42">
        <v>6000</v>
      </c>
      <c r="E13" s="42">
        <v>6000</v>
      </c>
      <c r="F13" s="42">
        <v>5000</v>
      </c>
      <c r="G13" s="42">
        <v>5000</v>
      </c>
      <c r="H13" s="42"/>
      <c r="I13" s="42"/>
      <c r="J13" s="42"/>
      <c r="K13" s="42"/>
      <c r="L13" s="42"/>
      <c r="M13" s="42"/>
    </row>
    <row r="14" spans="1:14" x14ac:dyDescent="0.2">
      <c r="A14" s="78" t="s">
        <v>6</v>
      </c>
      <c r="B14" s="43">
        <f t="shared" ref="B14:M14" si="1">SUM(B5:B13)</f>
        <v>6000</v>
      </c>
      <c r="C14" s="43">
        <f t="shared" si="1"/>
        <v>6000</v>
      </c>
      <c r="D14" s="43">
        <f t="shared" si="1"/>
        <v>6000</v>
      </c>
      <c r="E14" s="43">
        <f t="shared" si="1"/>
        <v>6000</v>
      </c>
      <c r="F14" s="43">
        <f t="shared" si="1"/>
        <v>5000</v>
      </c>
      <c r="G14" s="43">
        <f t="shared" si="1"/>
        <v>10000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4" ht="13.5" thickBot="1" x14ac:dyDescent="0.25">
      <c r="A15" s="78" t="s">
        <v>7</v>
      </c>
      <c r="B15" s="44">
        <v>6000</v>
      </c>
      <c r="C15" s="44">
        <v>6000</v>
      </c>
      <c r="D15" s="44">
        <v>6000</v>
      </c>
      <c r="E15" s="44">
        <v>6000</v>
      </c>
      <c r="F15" s="44"/>
      <c r="G15" s="44">
        <v>10000</v>
      </c>
      <c r="H15" s="44"/>
      <c r="I15" s="44"/>
      <c r="J15" s="44"/>
      <c r="K15" s="44"/>
      <c r="L15" s="44"/>
      <c r="M15" s="44"/>
      <c r="N15" s="128"/>
    </row>
    <row r="16" spans="1:14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 t="shared" si="2"/>
        <v>0</v>
      </c>
      <c r="E16" s="46">
        <f t="shared" si="2"/>
        <v>0</v>
      </c>
      <c r="F16" s="46">
        <f t="shared" si="2"/>
        <v>5000</v>
      </c>
      <c r="G16" s="46">
        <f t="shared" si="2"/>
        <v>0</v>
      </c>
      <c r="H16" s="46">
        <f t="shared" si="2"/>
        <v>0</v>
      </c>
      <c r="I16" s="46">
        <f>I14-I15</f>
        <v>0</v>
      </c>
      <c r="J16" s="46">
        <f>J14-J15</f>
        <v>0</v>
      </c>
      <c r="K16" s="46">
        <f t="shared" si="2"/>
        <v>0</v>
      </c>
      <c r="L16" s="46">
        <f t="shared" si="2"/>
        <v>0</v>
      </c>
      <c r="M16" s="47">
        <f t="shared" si="2"/>
        <v>0</v>
      </c>
    </row>
    <row r="17" spans="1:13" x14ac:dyDescent="0.2">
      <c r="M17" s="128">
        <v>45306</v>
      </c>
    </row>
    <row r="20" spans="1:13" x14ac:dyDescent="0.2">
      <c r="A20" s="80" t="s">
        <v>0</v>
      </c>
      <c r="B20" s="80" t="s">
        <v>1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x14ac:dyDescent="0.2">
      <c r="A21" s="81"/>
      <c r="B21" s="82">
        <v>45292</v>
      </c>
      <c r="C21" s="82">
        <v>45323</v>
      </c>
      <c r="D21" s="82">
        <v>45352</v>
      </c>
      <c r="E21" s="82">
        <v>45383</v>
      </c>
      <c r="F21" s="82">
        <v>45413</v>
      </c>
      <c r="G21" s="82">
        <v>45444</v>
      </c>
      <c r="H21" s="82">
        <v>45474</v>
      </c>
      <c r="I21" s="82">
        <v>45505</v>
      </c>
      <c r="J21" s="82">
        <v>45536</v>
      </c>
      <c r="K21" s="82">
        <v>45566</v>
      </c>
      <c r="L21" s="82">
        <v>45597</v>
      </c>
      <c r="M21" s="82">
        <v>45627</v>
      </c>
    </row>
    <row r="22" spans="1:13" x14ac:dyDescent="0.2">
      <c r="A22" s="78" t="s">
        <v>110</v>
      </c>
      <c r="B22" s="42"/>
      <c r="C22" s="42">
        <f t="shared" ref="C22:M22" si="3">B33</f>
        <v>0</v>
      </c>
      <c r="D22" s="42">
        <f t="shared" si="3"/>
        <v>0</v>
      </c>
      <c r="E22" s="42">
        <f t="shared" si="3"/>
        <v>0</v>
      </c>
      <c r="F22" s="42">
        <f t="shared" si="3"/>
        <v>0</v>
      </c>
      <c r="G22" s="42">
        <f t="shared" si="3"/>
        <v>0</v>
      </c>
      <c r="H22" s="42">
        <f t="shared" si="3"/>
        <v>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 t="shared" si="3"/>
        <v>0</v>
      </c>
    </row>
    <row r="23" spans="1:13" x14ac:dyDescent="0.2">
      <c r="A23" s="78" t="s">
        <v>76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261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251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5000</v>
      </c>
      <c r="C30" s="42">
        <v>5000</v>
      </c>
      <c r="D30" s="42">
        <v>5000</v>
      </c>
      <c r="E30" s="42">
        <v>5000</v>
      </c>
      <c r="F30" s="42">
        <v>5000</v>
      </c>
      <c r="G30" s="42">
        <v>5000</v>
      </c>
      <c r="H30" s="42">
        <v>5000</v>
      </c>
      <c r="I30" s="42">
        <v>5000</v>
      </c>
      <c r="J30" s="42">
        <v>5000</v>
      </c>
      <c r="K30" s="42">
        <v>5000</v>
      </c>
      <c r="L30" s="42">
        <v>5000</v>
      </c>
      <c r="M30" s="42">
        <v>5000</v>
      </c>
    </row>
    <row r="31" spans="1:13" x14ac:dyDescent="0.2">
      <c r="A31" s="78" t="s">
        <v>6</v>
      </c>
      <c r="B31" s="43">
        <f t="shared" ref="B31:G31" si="4">SUM(B22:B30)</f>
        <v>5000</v>
      </c>
      <c r="C31" s="43">
        <f t="shared" si="4"/>
        <v>5000</v>
      </c>
      <c r="D31" s="43">
        <f t="shared" si="4"/>
        <v>5000</v>
      </c>
      <c r="E31" s="43">
        <f t="shared" si="4"/>
        <v>5000</v>
      </c>
      <c r="F31" s="43">
        <f t="shared" si="4"/>
        <v>5000</v>
      </c>
      <c r="G31" s="43">
        <f t="shared" si="4"/>
        <v>5000</v>
      </c>
      <c r="H31" s="43">
        <f t="shared" ref="H31:M31" si="5">SUM(H22:H30)</f>
        <v>5000</v>
      </c>
      <c r="I31" s="43">
        <f t="shared" si="5"/>
        <v>5000</v>
      </c>
      <c r="J31" s="43">
        <f t="shared" si="5"/>
        <v>5000</v>
      </c>
      <c r="K31" s="43">
        <f t="shared" si="5"/>
        <v>5000</v>
      </c>
      <c r="L31" s="43">
        <f t="shared" si="5"/>
        <v>5000</v>
      </c>
      <c r="M31" s="43">
        <f t="shared" si="5"/>
        <v>5000</v>
      </c>
    </row>
    <row r="32" spans="1:13" ht="13.5" thickBot="1" x14ac:dyDescent="0.25">
      <c r="A32" s="78" t="s">
        <v>7</v>
      </c>
      <c r="B32" s="44">
        <v>5000</v>
      </c>
      <c r="C32" s="44">
        <v>5000</v>
      </c>
      <c r="D32" s="44">
        <v>5000</v>
      </c>
      <c r="E32" s="44">
        <v>5000</v>
      </c>
      <c r="F32" s="44">
        <v>5000</v>
      </c>
      <c r="G32" s="44">
        <v>5000</v>
      </c>
      <c r="H32" s="44">
        <v>5000</v>
      </c>
      <c r="I32" s="44">
        <v>5000</v>
      </c>
      <c r="J32" s="44">
        <v>5000</v>
      </c>
      <c r="K32" s="44">
        <v>5000</v>
      </c>
      <c r="L32" s="44">
        <v>5000</v>
      </c>
      <c r="M32" s="44">
        <v>5000</v>
      </c>
    </row>
    <row r="33" spans="1:13" ht="13.5" thickBot="1" x14ac:dyDescent="0.25">
      <c r="A33" s="78" t="s">
        <v>111</v>
      </c>
      <c r="B33" s="45">
        <f t="shared" ref="B33:H33" si="6">B31-B32</f>
        <v>0</v>
      </c>
      <c r="C33" s="46">
        <f t="shared" si="6"/>
        <v>0</v>
      </c>
      <c r="D33" s="46">
        <f t="shared" si="6"/>
        <v>0</v>
      </c>
      <c r="E33" s="46">
        <f t="shared" si="6"/>
        <v>0</v>
      </c>
      <c r="F33" s="46">
        <f t="shared" si="6"/>
        <v>0</v>
      </c>
      <c r="G33" s="46">
        <f t="shared" si="6"/>
        <v>0</v>
      </c>
      <c r="H33" s="46">
        <f t="shared" si="6"/>
        <v>0</v>
      </c>
      <c r="I33" s="46">
        <f>I31-I32</f>
        <v>0</v>
      </c>
      <c r="J33" s="46">
        <f>J31-J32</f>
        <v>0</v>
      </c>
      <c r="K33" s="46">
        <f>K31-K32</f>
        <v>0</v>
      </c>
      <c r="L33" s="46">
        <f>L31-L32</f>
        <v>0</v>
      </c>
      <c r="M33" s="47">
        <f>M31-M32</f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8"/>
  <dimension ref="A2:M31"/>
  <sheetViews>
    <sheetView topLeftCell="A13" workbookViewId="0">
      <selection activeCell="F30" sqref="F30"/>
    </sheetView>
  </sheetViews>
  <sheetFormatPr baseColWidth="10" defaultRowHeight="12.75" x14ac:dyDescent="0.2"/>
  <cols>
    <col min="1" max="1" width="35.140625" customWidth="1"/>
  </cols>
  <sheetData>
    <row r="2" spans="1:13" ht="15.75" x14ac:dyDescent="0.25">
      <c r="A2" s="32" t="s">
        <v>0</v>
      </c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5.75" x14ac:dyDescent="0.25">
      <c r="A3" s="33"/>
      <c r="B3" s="34">
        <v>45292</v>
      </c>
      <c r="C3" s="34">
        <v>45323</v>
      </c>
      <c r="D3" s="34">
        <v>45352</v>
      </c>
      <c r="E3" s="34">
        <v>45383</v>
      </c>
      <c r="F3" s="34">
        <v>45413</v>
      </c>
      <c r="G3" s="34">
        <v>45444</v>
      </c>
      <c r="H3" s="34">
        <v>45474</v>
      </c>
      <c r="I3" s="34">
        <v>45505</v>
      </c>
      <c r="J3" s="34">
        <v>45536</v>
      </c>
      <c r="K3" s="34">
        <v>45566</v>
      </c>
      <c r="L3" s="34">
        <v>45597</v>
      </c>
      <c r="M3" s="34">
        <v>45627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70000</v>
      </c>
      <c r="F4" s="42">
        <f t="shared" si="0"/>
        <v>392000</v>
      </c>
      <c r="G4" s="42">
        <f t="shared" si="0"/>
        <v>0</v>
      </c>
      <c r="H4" s="42">
        <f t="shared" si="0"/>
        <v>70000</v>
      </c>
      <c r="I4" s="42">
        <f t="shared" si="0"/>
        <v>140000</v>
      </c>
      <c r="J4" s="42">
        <f t="shared" si="0"/>
        <v>0</v>
      </c>
      <c r="K4" s="42">
        <f t="shared" si="0"/>
        <v>80000</v>
      </c>
      <c r="L4" s="42">
        <f t="shared" si="0"/>
        <v>0</v>
      </c>
      <c r="M4" s="42">
        <f t="shared" si="0"/>
        <v>80000</v>
      </c>
    </row>
    <row r="5" spans="1:13" x14ac:dyDescent="0.2">
      <c r="A5" s="78" t="s">
        <v>144</v>
      </c>
      <c r="B5" s="42"/>
      <c r="C5" s="42"/>
      <c r="D5" s="42"/>
      <c r="E5" s="42">
        <v>252000</v>
      </c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343</v>
      </c>
      <c r="B7" s="42"/>
      <c r="C7" s="42"/>
      <c r="D7" s="42"/>
      <c r="E7" s="42"/>
      <c r="F7" s="166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446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/>
      <c r="D12" s="42">
        <v>70000</v>
      </c>
      <c r="E12" s="42">
        <v>70000</v>
      </c>
      <c r="F12" s="42">
        <v>70000</v>
      </c>
      <c r="G12" s="42">
        <v>70000</v>
      </c>
      <c r="H12" s="42">
        <v>70000</v>
      </c>
      <c r="I12" s="42">
        <v>70000</v>
      </c>
      <c r="J12" s="42">
        <v>80000</v>
      </c>
      <c r="K12" s="42">
        <v>80000</v>
      </c>
      <c r="L12" s="42">
        <v>80000</v>
      </c>
      <c r="M12" s="42">
        <v>80000</v>
      </c>
    </row>
    <row r="13" spans="1:13" x14ac:dyDescent="0.2">
      <c r="A13" s="78" t="s">
        <v>6</v>
      </c>
      <c r="B13" s="43">
        <f>SUM(B4:B12)</f>
        <v>0</v>
      </c>
      <c r="C13" s="43">
        <f>SUM(C4:C12)</f>
        <v>0</v>
      </c>
      <c r="D13" s="43">
        <f t="shared" ref="D13:M13" si="1">SUM(D4:D12)</f>
        <v>70000</v>
      </c>
      <c r="E13" s="43">
        <f t="shared" si="1"/>
        <v>392000</v>
      </c>
      <c r="F13" s="43">
        <f t="shared" si="1"/>
        <v>462000</v>
      </c>
      <c r="G13" s="43">
        <f t="shared" si="1"/>
        <v>70000</v>
      </c>
      <c r="H13" s="43">
        <f t="shared" si="1"/>
        <v>140000</v>
      </c>
      <c r="I13" s="43">
        <f t="shared" si="1"/>
        <v>210000</v>
      </c>
      <c r="J13" s="43">
        <f t="shared" si="1"/>
        <v>80000</v>
      </c>
      <c r="K13" s="43">
        <f t="shared" si="1"/>
        <v>160000</v>
      </c>
      <c r="L13" s="43">
        <f t="shared" si="1"/>
        <v>80000</v>
      </c>
      <c r="M13" s="43">
        <f t="shared" si="1"/>
        <v>160000</v>
      </c>
    </row>
    <row r="14" spans="1:13" ht="13.5" thickBot="1" x14ac:dyDescent="0.25">
      <c r="A14" s="78" t="s">
        <v>7</v>
      </c>
      <c r="B14" s="44"/>
      <c r="C14" s="44"/>
      <c r="D14" s="44"/>
      <c r="E14" s="44"/>
      <c r="F14" s="44">
        <v>462000</v>
      </c>
      <c r="G14" s="44"/>
      <c r="H14" s="44"/>
      <c r="I14" s="44">
        <v>210000</v>
      </c>
      <c r="J14" s="44"/>
      <c r="K14" s="44">
        <v>160000</v>
      </c>
      <c r="L14" s="44"/>
      <c r="M14" s="44"/>
    </row>
    <row r="15" spans="1:13" ht="13.5" thickBot="1" x14ac:dyDescent="0.25">
      <c r="A15" s="78" t="s">
        <v>111</v>
      </c>
      <c r="B15" s="45">
        <f>B13-B14</f>
        <v>0</v>
      </c>
      <c r="C15" s="46">
        <f>C13-C14</f>
        <v>0</v>
      </c>
      <c r="D15" s="46">
        <f t="shared" ref="D15:M15" si="2">D13-D14</f>
        <v>70000</v>
      </c>
      <c r="E15" s="46">
        <f t="shared" si="2"/>
        <v>392000</v>
      </c>
      <c r="F15" s="46">
        <f t="shared" si="2"/>
        <v>0</v>
      </c>
      <c r="G15" s="46">
        <f t="shared" si="2"/>
        <v>70000</v>
      </c>
      <c r="H15" s="46">
        <f t="shared" si="2"/>
        <v>140000</v>
      </c>
      <c r="I15" s="46">
        <f t="shared" si="2"/>
        <v>0</v>
      </c>
      <c r="J15" s="46">
        <f t="shared" si="2"/>
        <v>80000</v>
      </c>
      <c r="K15" s="46">
        <f t="shared" si="2"/>
        <v>0</v>
      </c>
      <c r="L15" s="46">
        <f t="shared" si="2"/>
        <v>80000</v>
      </c>
      <c r="M15" s="47">
        <f t="shared" si="2"/>
        <v>160000</v>
      </c>
    </row>
    <row r="16" spans="1:13" x14ac:dyDescent="0.2">
      <c r="K16" t="s">
        <v>708</v>
      </c>
    </row>
    <row r="19" spans="1:13" ht="15.75" x14ac:dyDescent="0.25">
      <c r="A19" s="33"/>
      <c r="B19" s="34">
        <v>45658</v>
      </c>
      <c r="C19" s="34">
        <v>45689</v>
      </c>
      <c r="D19" s="34">
        <v>45717</v>
      </c>
      <c r="E19" s="34">
        <v>45748</v>
      </c>
      <c r="F19" s="34">
        <v>45778</v>
      </c>
      <c r="G19" s="34">
        <v>45809</v>
      </c>
      <c r="H19" s="34">
        <v>45839</v>
      </c>
      <c r="I19" s="34">
        <v>45870</v>
      </c>
      <c r="J19" s="34">
        <v>45901</v>
      </c>
      <c r="K19" s="34">
        <v>45931</v>
      </c>
      <c r="L19" s="34">
        <v>45962</v>
      </c>
      <c r="M19" s="34">
        <v>45992</v>
      </c>
    </row>
    <row r="20" spans="1:13" x14ac:dyDescent="0.2">
      <c r="A20" s="78" t="s">
        <v>110</v>
      </c>
      <c r="B20" s="42">
        <v>160000</v>
      </c>
      <c r="C20" s="42">
        <f t="shared" ref="C20:M20" si="3">B31</f>
        <v>250000</v>
      </c>
      <c r="D20" s="42">
        <f t="shared" si="3"/>
        <v>340000</v>
      </c>
      <c r="E20" s="42">
        <f t="shared" si="3"/>
        <v>430000</v>
      </c>
      <c r="F20" s="42">
        <f t="shared" si="3"/>
        <v>520000</v>
      </c>
      <c r="G20" s="42">
        <f t="shared" si="3"/>
        <v>610000</v>
      </c>
      <c r="H20" s="42">
        <f t="shared" si="3"/>
        <v>610000</v>
      </c>
      <c r="I20" s="42">
        <f t="shared" si="3"/>
        <v>610000</v>
      </c>
      <c r="J20" s="42">
        <f t="shared" si="3"/>
        <v>610000</v>
      </c>
      <c r="K20" s="42">
        <f t="shared" si="3"/>
        <v>610000</v>
      </c>
      <c r="L20" s="42">
        <f t="shared" si="3"/>
        <v>610000</v>
      </c>
      <c r="M20" s="42">
        <f t="shared" si="3"/>
        <v>610000</v>
      </c>
    </row>
    <row r="21" spans="1:13" x14ac:dyDescent="0.2">
      <c r="A21" s="78" t="s">
        <v>144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343</v>
      </c>
      <c r="B23" s="42"/>
      <c r="C23" s="42"/>
      <c r="D23" s="42"/>
      <c r="E23" s="42"/>
      <c r="F23" s="166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446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90000</v>
      </c>
      <c r="C28" s="42">
        <v>90000</v>
      </c>
      <c r="D28" s="42">
        <v>90000</v>
      </c>
      <c r="E28" s="42">
        <v>90000</v>
      </c>
      <c r="F28" s="42">
        <v>90000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>SUM(B20:B28)</f>
        <v>250000</v>
      </c>
      <c r="C29" s="43">
        <f>SUM(C20:C28)</f>
        <v>340000</v>
      </c>
      <c r="D29" s="43">
        <f t="shared" ref="D29:M29" si="4">SUM(D20:D28)</f>
        <v>430000</v>
      </c>
      <c r="E29" s="43">
        <f t="shared" si="4"/>
        <v>520000</v>
      </c>
      <c r="F29" s="43">
        <f t="shared" si="4"/>
        <v>610000</v>
      </c>
      <c r="G29" s="43">
        <f t="shared" si="4"/>
        <v>610000</v>
      </c>
      <c r="H29" s="43">
        <f t="shared" si="4"/>
        <v>610000</v>
      </c>
      <c r="I29" s="43">
        <f t="shared" si="4"/>
        <v>610000</v>
      </c>
      <c r="J29" s="43">
        <f t="shared" si="4"/>
        <v>610000</v>
      </c>
      <c r="K29" s="43">
        <f t="shared" si="4"/>
        <v>610000</v>
      </c>
      <c r="L29" s="43">
        <f t="shared" si="4"/>
        <v>610000</v>
      </c>
      <c r="M29" s="43">
        <f t="shared" si="4"/>
        <v>610000</v>
      </c>
    </row>
    <row r="30" spans="1:13" ht="13.5" thickBot="1" x14ac:dyDescent="0.25">
      <c r="A30" s="78" t="s">
        <v>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13.5" thickBot="1" x14ac:dyDescent="0.25">
      <c r="A31" s="78" t="s">
        <v>111</v>
      </c>
      <c r="B31" s="45">
        <f>B29-B30</f>
        <v>250000</v>
      </c>
      <c r="C31" s="46">
        <f>C29-C30</f>
        <v>340000</v>
      </c>
      <c r="D31" s="46">
        <f t="shared" ref="D31:M31" si="5">D29-D30</f>
        <v>430000</v>
      </c>
      <c r="E31" s="46">
        <f t="shared" si="5"/>
        <v>520000</v>
      </c>
      <c r="F31" s="46">
        <f t="shared" si="5"/>
        <v>610000</v>
      </c>
      <c r="G31" s="46">
        <f t="shared" si="5"/>
        <v>610000</v>
      </c>
      <c r="H31" s="46">
        <f t="shared" si="5"/>
        <v>610000</v>
      </c>
      <c r="I31" s="46">
        <f t="shared" si="5"/>
        <v>610000</v>
      </c>
      <c r="J31" s="46">
        <f t="shared" si="5"/>
        <v>610000</v>
      </c>
      <c r="K31" s="46">
        <f t="shared" si="5"/>
        <v>610000</v>
      </c>
      <c r="L31" s="46">
        <f t="shared" si="5"/>
        <v>610000</v>
      </c>
      <c r="M31" s="47">
        <f t="shared" si="5"/>
        <v>610000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7"/>
  <dimension ref="A5:M38"/>
  <sheetViews>
    <sheetView topLeftCell="A20" workbookViewId="0">
      <selection activeCell="F35" sqref="F35"/>
    </sheetView>
  </sheetViews>
  <sheetFormatPr baseColWidth="10" defaultRowHeight="12.75" x14ac:dyDescent="0.2"/>
  <cols>
    <col min="1" max="1" width="33.5703125" customWidth="1"/>
    <col min="4" max="4" width="12.85546875" bestFit="1" customWidth="1"/>
  </cols>
  <sheetData>
    <row r="5" spans="1:13" ht="20.25" x14ac:dyDescent="0.3">
      <c r="A5" s="11" t="s">
        <v>11</v>
      </c>
      <c r="B5" s="216" t="s">
        <v>218</v>
      </c>
      <c r="C5" s="216"/>
      <c r="D5" s="216"/>
      <c r="E5" s="216"/>
      <c r="F5" s="216"/>
      <c r="G5" s="216"/>
      <c r="H5" s="2"/>
      <c r="I5" s="2"/>
      <c r="J5" s="2"/>
      <c r="K5" s="2"/>
      <c r="L5" s="2"/>
      <c r="M5" s="2"/>
    </row>
    <row r="6" spans="1:13" ht="20.25" x14ac:dyDescent="0.3">
      <c r="A6" s="2"/>
      <c r="B6" s="2"/>
      <c r="C6" s="2"/>
      <c r="D6" s="2"/>
      <c r="E6" s="2" t="s">
        <v>166</v>
      </c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A7" s="31" t="s">
        <v>0</v>
      </c>
      <c r="B7" s="31" t="s">
        <v>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">
      <c r="A8" s="78"/>
      <c r="B8" s="79">
        <v>45658</v>
      </c>
      <c r="C8" s="79">
        <v>45689</v>
      </c>
      <c r="D8" s="79">
        <v>45717</v>
      </c>
      <c r="E8" s="79">
        <v>45748</v>
      </c>
      <c r="F8" s="79">
        <v>45778</v>
      </c>
      <c r="G8" s="79">
        <v>45809</v>
      </c>
      <c r="H8" s="79">
        <v>45839</v>
      </c>
      <c r="I8" s="79">
        <v>45870</v>
      </c>
      <c r="J8" s="79">
        <v>45901</v>
      </c>
      <c r="K8" s="79">
        <v>45931</v>
      </c>
      <c r="L8" s="79">
        <v>45962</v>
      </c>
      <c r="M8" s="79">
        <v>45992</v>
      </c>
    </row>
    <row r="9" spans="1:13" x14ac:dyDescent="0.2">
      <c r="A9" s="78" t="s">
        <v>110</v>
      </c>
      <c r="B9" s="42">
        <v>539333</v>
      </c>
      <c r="C9" s="42">
        <f>B20</f>
        <v>768118</v>
      </c>
      <c r="D9" s="42">
        <f t="shared" ref="D9:M9" si="0">C20</f>
        <v>224468</v>
      </c>
      <c r="E9" s="42">
        <f t="shared" si="0"/>
        <v>0</v>
      </c>
      <c r="F9" s="42">
        <f t="shared" si="0"/>
        <v>120000</v>
      </c>
      <c r="G9" s="42">
        <f t="shared" si="0"/>
        <v>240000</v>
      </c>
      <c r="H9" s="42">
        <f t="shared" si="0"/>
        <v>360000</v>
      </c>
      <c r="I9" s="42">
        <f t="shared" si="0"/>
        <v>0</v>
      </c>
      <c r="J9" s="42">
        <f t="shared" si="0"/>
        <v>150000</v>
      </c>
      <c r="K9" s="42">
        <f>J20</f>
        <v>300000</v>
      </c>
      <c r="L9" s="42">
        <f t="shared" si="0"/>
        <v>0</v>
      </c>
      <c r="M9" s="42">
        <f t="shared" si="0"/>
        <v>180000</v>
      </c>
    </row>
    <row r="10" spans="1:13" x14ac:dyDescent="0.2">
      <c r="A10" s="78" t="s">
        <v>76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355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74</v>
      </c>
      <c r="B15" s="42">
        <f>82110+16000+20675</f>
        <v>118785</v>
      </c>
      <c r="C15" s="42">
        <f>13700+16000+56650</f>
        <v>86350</v>
      </c>
      <c r="D15" s="42">
        <v>87000</v>
      </c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75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5</v>
      </c>
      <c r="B17" s="42">
        <v>110000</v>
      </c>
      <c r="C17" s="42">
        <v>120000</v>
      </c>
      <c r="D17" s="42">
        <v>120000</v>
      </c>
      <c r="E17" s="42">
        <v>120000</v>
      </c>
      <c r="F17" s="42">
        <v>120000</v>
      </c>
      <c r="G17" s="42">
        <v>120000</v>
      </c>
      <c r="H17" s="42">
        <v>120000</v>
      </c>
      <c r="I17" s="42">
        <v>150000</v>
      </c>
      <c r="J17" s="42">
        <v>150000</v>
      </c>
      <c r="K17" s="42">
        <v>150000</v>
      </c>
      <c r="L17" s="42">
        <v>180000</v>
      </c>
      <c r="M17" s="42">
        <v>180000</v>
      </c>
    </row>
    <row r="18" spans="1:13" x14ac:dyDescent="0.2">
      <c r="A18" s="78" t="s">
        <v>6</v>
      </c>
      <c r="B18" s="43">
        <f>SUM(B9:B17)</f>
        <v>768118</v>
      </c>
      <c r="C18" s="43">
        <f>SUM(C9:C17)</f>
        <v>974468</v>
      </c>
      <c r="D18" s="43">
        <f t="shared" ref="D18:M18" si="1">SUM(D9:D17)</f>
        <v>431468</v>
      </c>
      <c r="E18" s="43">
        <f t="shared" si="1"/>
        <v>120000</v>
      </c>
      <c r="F18" s="43">
        <f t="shared" si="1"/>
        <v>240000</v>
      </c>
      <c r="G18" s="43">
        <f t="shared" si="1"/>
        <v>360000</v>
      </c>
      <c r="H18" s="43">
        <f t="shared" si="1"/>
        <v>480000</v>
      </c>
      <c r="I18" s="43">
        <f t="shared" si="1"/>
        <v>150000</v>
      </c>
      <c r="J18" s="43">
        <f t="shared" si="1"/>
        <v>300000</v>
      </c>
      <c r="K18" s="43">
        <f t="shared" si="1"/>
        <v>450000</v>
      </c>
      <c r="L18" s="43">
        <f t="shared" si="1"/>
        <v>180000</v>
      </c>
      <c r="M18" s="43">
        <f t="shared" si="1"/>
        <v>360000</v>
      </c>
    </row>
    <row r="19" spans="1:13" x14ac:dyDescent="0.2">
      <c r="A19" s="78" t="s">
        <v>7</v>
      </c>
      <c r="B19" s="44"/>
      <c r="C19" s="44">
        <v>750000</v>
      </c>
      <c r="D19" s="44">
        <v>431468</v>
      </c>
      <c r="E19" s="44"/>
      <c r="F19" s="44"/>
      <c r="G19" s="44"/>
      <c r="H19" s="44">
        <v>480000</v>
      </c>
      <c r="I19" s="44"/>
      <c r="J19" s="44"/>
      <c r="K19" s="44">
        <v>450000</v>
      </c>
      <c r="L19" s="44"/>
      <c r="M19" s="44"/>
    </row>
    <row r="20" spans="1:13" x14ac:dyDescent="0.2">
      <c r="A20" s="78" t="s">
        <v>111</v>
      </c>
      <c r="B20" s="43">
        <f>B18-B19</f>
        <v>768118</v>
      </c>
      <c r="C20" s="43">
        <f>C18-C19</f>
        <v>224468</v>
      </c>
      <c r="D20" s="43">
        <f t="shared" ref="D20:M20" si="2">D18-D19</f>
        <v>0</v>
      </c>
      <c r="E20" s="43">
        <f t="shared" si="2"/>
        <v>120000</v>
      </c>
      <c r="F20" s="43">
        <f t="shared" si="2"/>
        <v>240000</v>
      </c>
      <c r="G20" s="43">
        <f t="shared" si="2"/>
        <v>360000</v>
      </c>
      <c r="H20" s="43">
        <f t="shared" si="2"/>
        <v>0</v>
      </c>
      <c r="I20" s="43">
        <f t="shared" si="2"/>
        <v>150000</v>
      </c>
      <c r="J20" s="43">
        <f t="shared" si="2"/>
        <v>300000</v>
      </c>
      <c r="K20" s="43">
        <f t="shared" si="2"/>
        <v>0</v>
      </c>
      <c r="L20" s="43">
        <f t="shared" si="2"/>
        <v>180000</v>
      </c>
      <c r="M20" s="43">
        <f t="shared" si="2"/>
        <v>360000</v>
      </c>
    </row>
    <row r="21" spans="1:13" x14ac:dyDescent="0.2">
      <c r="J21" s="84" t="s">
        <v>550</v>
      </c>
    </row>
    <row r="24" spans="1:13" ht="15.75" x14ac:dyDescent="0.25">
      <c r="A24" s="32" t="s">
        <v>0</v>
      </c>
      <c r="B24" s="32" t="s">
        <v>1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5.75" x14ac:dyDescent="0.25">
      <c r="A25" s="33"/>
      <c r="B25" s="34">
        <v>46023</v>
      </c>
      <c r="C25" s="34">
        <v>46054</v>
      </c>
      <c r="D25" s="34">
        <v>46082</v>
      </c>
      <c r="E25" s="34">
        <v>46113</v>
      </c>
      <c r="F25" s="34">
        <v>46143</v>
      </c>
      <c r="G25" s="34">
        <v>46174</v>
      </c>
      <c r="H25" s="34">
        <v>46204</v>
      </c>
      <c r="I25" s="34">
        <v>46235</v>
      </c>
      <c r="J25" s="34">
        <v>46266</v>
      </c>
      <c r="K25" s="34">
        <v>46296</v>
      </c>
      <c r="L25" s="34">
        <v>46327</v>
      </c>
      <c r="M25" s="34">
        <v>46357</v>
      </c>
    </row>
    <row r="26" spans="1:13" ht="15" x14ac:dyDescent="0.2">
      <c r="A26" s="8" t="s">
        <v>110</v>
      </c>
      <c r="B26" s="42">
        <v>360000</v>
      </c>
      <c r="C26" s="42">
        <f t="shared" ref="C26:M26" si="3">B37</f>
        <v>0</v>
      </c>
      <c r="D26" s="42">
        <f t="shared" si="3"/>
        <v>200000</v>
      </c>
      <c r="E26" s="42">
        <f t="shared" si="3"/>
        <v>400000</v>
      </c>
      <c r="F26" s="42">
        <f t="shared" si="3"/>
        <v>0</v>
      </c>
      <c r="G26" s="42">
        <f t="shared" si="3"/>
        <v>200000</v>
      </c>
      <c r="H26" s="42">
        <f t="shared" si="3"/>
        <v>200000</v>
      </c>
      <c r="I26" s="42">
        <f t="shared" si="3"/>
        <v>200000</v>
      </c>
      <c r="J26" s="42">
        <f t="shared" si="3"/>
        <v>200000</v>
      </c>
      <c r="K26" s="42">
        <f t="shared" si="3"/>
        <v>200000</v>
      </c>
      <c r="L26" s="42">
        <f t="shared" si="3"/>
        <v>200000</v>
      </c>
      <c r="M26" s="42">
        <f t="shared" si="3"/>
        <v>200000</v>
      </c>
    </row>
    <row r="27" spans="1:13" ht="15" x14ac:dyDescent="0.2">
      <c r="A27" s="8" t="s">
        <v>144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343</v>
      </c>
      <c r="B29" s="42"/>
      <c r="C29" s="42"/>
      <c r="D29" s="42"/>
      <c r="E29" s="42"/>
      <c r="F29" s="166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73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ht="15" x14ac:dyDescent="0.2">
      <c r="A32" s="8" t="s">
        <v>74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5" x14ac:dyDescent="0.2">
      <c r="A33" s="8" t="s">
        <v>446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ht="15" x14ac:dyDescent="0.2">
      <c r="A34" s="8" t="s">
        <v>5</v>
      </c>
      <c r="B34" s="42">
        <v>180000</v>
      </c>
      <c r="C34" s="42">
        <v>200000</v>
      </c>
      <c r="D34" s="42">
        <v>200000</v>
      </c>
      <c r="E34" s="42">
        <v>200000</v>
      </c>
      <c r="F34" s="42">
        <v>200000</v>
      </c>
      <c r="G34" s="42"/>
      <c r="H34" s="42"/>
      <c r="I34" s="42"/>
      <c r="J34" s="42"/>
      <c r="K34" s="42"/>
      <c r="L34" s="42"/>
      <c r="M34" s="42"/>
    </row>
    <row r="35" spans="1:13" ht="15" x14ac:dyDescent="0.2">
      <c r="A35" s="8" t="s">
        <v>6</v>
      </c>
      <c r="B35" s="43">
        <f>SUM(B26:B34)</f>
        <v>540000</v>
      </c>
      <c r="C35" s="43">
        <f>SUM(C26:C34)</f>
        <v>200000</v>
      </c>
      <c r="D35" s="43">
        <f t="shared" ref="D35:M35" si="4">SUM(D26:D34)</f>
        <v>400000</v>
      </c>
      <c r="E35" s="43">
        <f t="shared" si="4"/>
        <v>600000</v>
      </c>
      <c r="F35" s="43">
        <f t="shared" si="4"/>
        <v>200000</v>
      </c>
      <c r="G35" s="43">
        <f t="shared" si="4"/>
        <v>200000</v>
      </c>
      <c r="H35" s="43">
        <f t="shared" si="4"/>
        <v>200000</v>
      </c>
      <c r="I35" s="43">
        <f t="shared" si="4"/>
        <v>200000</v>
      </c>
      <c r="J35" s="43">
        <f t="shared" si="4"/>
        <v>200000</v>
      </c>
      <c r="K35" s="43">
        <f t="shared" si="4"/>
        <v>200000</v>
      </c>
      <c r="L35" s="43">
        <f t="shared" si="4"/>
        <v>200000</v>
      </c>
      <c r="M35" s="43">
        <f t="shared" si="4"/>
        <v>200000</v>
      </c>
    </row>
    <row r="36" spans="1:13" ht="15.75" thickBot="1" x14ac:dyDescent="0.25">
      <c r="A36" s="8" t="s">
        <v>7</v>
      </c>
      <c r="B36" s="44">
        <v>540000</v>
      </c>
      <c r="C36" s="44"/>
      <c r="D36" s="44"/>
      <c r="E36" s="44">
        <v>600000</v>
      </c>
      <c r="F36" s="44"/>
      <c r="G36" s="44"/>
      <c r="H36" s="44"/>
      <c r="I36" s="44"/>
      <c r="J36" s="44"/>
      <c r="K36" s="44"/>
      <c r="L36" s="44"/>
      <c r="M36" s="44"/>
    </row>
    <row r="37" spans="1:13" ht="15.75" thickBot="1" x14ac:dyDescent="0.25">
      <c r="A37" s="8" t="s">
        <v>111</v>
      </c>
      <c r="B37" s="45">
        <f>B35-B36</f>
        <v>0</v>
      </c>
      <c r="C37" s="46">
        <f>C35-C36</f>
        <v>200000</v>
      </c>
      <c r="D37" s="46">
        <f t="shared" ref="D37:M37" si="5">D35-D36</f>
        <v>400000</v>
      </c>
      <c r="E37" s="46">
        <f t="shared" si="5"/>
        <v>0</v>
      </c>
      <c r="F37" s="46">
        <f t="shared" si="5"/>
        <v>200000</v>
      </c>
      <c r="G37" s="46">
        <f t="shared" si="5"/>
        <v>200000</v>
      </c>
      <c r="H37" s="46">
        <f t="shared" si="5"/>
        <v>200000</v>
      </c>
      <c r="I37" s="46">
        <f t="shared" si="5"/>
        <v>200000</v>
      </c>
      <c r="J37" s="46">
        <f t="shared" si="5"/>
        <v>200000</v>
      </c>
      <c r="K37" s="46">
        <f t="shared" si="5"/>
        <v>200000</v>
      </c>
      <c r="L37" s="46">
        <f t="shared" si="5"/>
        <v>200000</v>
      </c>
      <c r="M37" s="47">
        <f t="shared" si="5"/>
        <v>200000</v>
      </c>
    </row>
    <row r="38" spans="1:13" x14ac:dyDescent="0.2">
      <c r="J38" s="128">
        <v>43374</v>
      </c>
    </row>
  </sheetData>
  <mergeCells count="1">
    <mergeCell ref="B5:G5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8"/>
  <dimension ref="A4:M33"/>
  <sheetViews>
    <sheetView topLeftCell="A13" workbookViewId="0">
      <selection activeCell="F31" sqref="F31"/>
    </sheetView>
  </sheetViews>
  <sheetFormatPr baseColWidth="10" defaultRowHeight="12.75" x14ac:dyDescent="0.2"/>
  <cols>
    <col min="1" max="1" width="37.140625" customWidth="1"/>
  </cols>
  <sheetData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5.75" x14ac:dyDescent="0.25">
      <c r="A5" s="33"/>
      <c r="B5" s="34">
        <v>45658</v>
      </c>
      <c r="C5" s="34">
        <v>45689</v>
      </c>
      <c r="D5" s="34">
        <v>45717</v>
      </c>
      <c r="E5" s="34">
        <v>45748</v>
      </c>
      <c r="F5" s="34">
        <v>45778</v>
      </c>
      <c r="G5" s="34">
        <v>45809</v>
      </c>
      <c r="H5" s="34">
        <v>45839</v>
      </c>
      <c r="I5" s="34">
        <v>45870</v>
      </c>
      <c r="J5" s="34">
        <v>45901</v>
      </c>
      <c r="K5" s="34">
        <v>45931</v>
      </c>
      <c r="L5" s="34">
        <v>45962</v>
      </c>
      <c r="M5" s="34">
        <v>45992</v>
      </c>
    </row>
    <row r="6" spans="1:13" ht="15" x14ac:dyDescent="0.2">
      <c r="A6" s="8" t="s">
        <v>110</v>
      </c>
      <c r="B6" s="42"/>
      <c r="C6" s="42">
        <f t="shared" ref="C6:M6" si="0">B17</f>
        <v>0</v>
      </c>
      <c r="D6" s="42">
        <f t="shared" si="0"/>
        <v>130120</v>
      </c>
      <c r="E6" s="42">
        <f t="shared" si="0"/>
        <v>0</v>
      </c>
      <c r="F6" s="42">
        <f t="shared" si="0"/>
        <v>130120</v>
      </c>
      <c r="G6" s="42">
        <f t="shared" si="0"/>
        <v>260240</v>
      </c>
      <c r="H6" s="42">
        <f t="shared" si="0"/>
        <v>0</v>
      </c>
      <c r="I6" s="42">
        <f t="shared" si="0"/>
        <v>134820</v>
      </c>
      <c r="J6" s="42">
        <f t="shared" si="0"/>
        <v>284550</v>
      </c>
      <c r="K6" s="42">
        <f t="shared" si="0"/>
        <v>0</v>
      </c>
      <c r="L6" s="42">
        <f t="shared" si="0"/>
        <v>149730</v>
      </c>
      <c r="M6" s="42">
        <f t="shared" si="0"/>
        <v>0</v>
      </c>
    </row>
    <row r="7" spans="1:13" ht="15" x14ac:dyDescent="0.2">
      <c r="A7" s="8" t="s">
        <v>144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3</v>
      </c>
      <c r="B8" s="42">
        <v>56700</v>
      </c>
      <c r="C8" s="42">
        <v>72820</v>
      </c>
      <c r="D8" s="42">
        <v>72820</v>
      </c>
      <c r="E8" s="42">
        <v>72820</v>
      </c>
      <c r="F8" s="42">
        <v>72820</v>
      </c>
      <c r="G8" s="42">
        <v>72820</v>
      </c>
      <c r="H8" s="42">
        <v>72820</v>
      </c>
      <c r="I8" s="42">
        <v>82730</v>
      </c>
      <c r="J8" s="42">
        <v>82730</v>
      </c>
      <c r="K8" s="42">
        <v>82730</v>
      </c>
      <c r="L8" s="42">
        <v>82730</v>
      </c>
      <c r="M8" s="42">
        <v>82730</v>
      </c>
    </row>
    <row r="9" spans="1:13" ht="15" x14ac:dyDescent="0.2">
      <c r="A9" s="8" t="s">
        <v>4</v>
      </c>
      <c r="B9" s="42">
        <v>22300</v>
      </c>
      <c r="C9" s="42">
        <v>22300</v>
      </c>
      <c r="D9" s="42">
        <v>22300</v>
      </c>
      <c r="E9" s="42">
        <v>22300</v>
      </c>
      <c r="F9" s="42">
        <v>22300</v>
      </c>
      <c r="G9" s="42">
        <v>22300</v>
      </c>
      <c r="H9" s="42">
        <v>27000</v>
      </c>
      <c r="I9" s="42">
        <v>27000</v>
      </c>
      <c r="J9" s="42">
        <v>27000</v>
      </c>
      <c r="K9" s="42">
        <v>27000</v>
      </c>
      <c r="L9" s="42">
        <v>27000</v>
      </c>
      <c r="M9" s="42">
        <v>27000</v>
      </c>
    </row>
    <row r="10" spans="1:13" ht="15" x14ac:dyDescent="0.2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446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ht="15" x14ac:dyDescent="0.2">
      <c r="A14" s="8" t="s">
        <v>5</v>
      </c>
      <c r="B14" s="42">
        <v>30000</v>
      </c>
      <c r="C14" s="42">
        <v>35000</v>
      </c>
      <c r="D14" s="42">
        <v>35000</v>
      </c>
      <c r="E14" s="42">
        <v>35000</v>
      </c>
      <c r="F14" s="42">
        <v>35000</v>
      </c>
      <c r="G14" s="42">
        <v>35000</v>
      </c>
      <c r="H14" s="42">
        <v>35000</v>
      </c>
      <c r="I14" s="42">
        <v>40000</v>
      </c>
      <c r="J14" s="42">
        <v>40000</v>
      </c>
      <c r="K14" s="42">
        <v>40000</v>
      </c>
      <c r="L14" s="42">
        <v>40000</v>
      </c>
      <c r="M14" s="42">
        <v>40000</v>
      </c>
    </row>
    <row r="15" spans="1:13" ht="15" x14ac:dyDescent="0.2">
      <c r="A15" s="8" t="s">
        <v>6</v>
      </c>
      <c r="B15" s="43">
        <f>SUM(B6:B14)</f>
        <v>109000</v>
      </c>
      <c r="C15" s="43">
        <f>SUM(C6:C14)</f>
        <v>130120</v>
      </c>
      <c r="D15" s="43">
        <f t="shared" ref="D15:M15" si="1">SUM(D6:D14)</f>
        <v>260240</v>
      </c>
      <c r="E15" s="43">
        <f t="shared" si="1"/>
        <v>130120</v>
      </c>
      <c r="F15" s="43">
        <f t="shared" si="1"/>
        <v>260240</v>
      </c>
      <c r="G15" s="43">
        <f t="shared" si="1"/>
        <v>390360</v>
      </c>
      <c r="H15" s="43">
        <f t="shared" si="1"/>
        <v>134820</v>
      </c>
      <c r="I15" s="43">
        <f t="shared" si="1"/>
        <v>284550</v>
      </c>
      <c r="J15" s="43">
        <f t="shared" si="1"/>
        <v>434280</v>
      </c>
      <c r="K15" s="43">
        <f t="shared" si="1"/>
        <v>149730</v>
      </c>
      <c r="L15" s="43">
        <f t="shared" si="1"/>
        <v>299460</v>
      </c>
      <c r="M15" s="43">
        <f t="shared" si="1"/>
        <v>149730</v>
      </c>
    </row>
    <row r="16" spans="1:13" ht="15.75" thickBot="1" x14ac:dyDescent="0.25">
      <c r="A16" s="8" t="s">
        <v>7</v>
      </c>
      <c r="B16" s="44">
        <v>109000</v>
      </c>
      <c r="C16" s="44"/>
      <c r="D16" s="44">
        <v>260240</v>
      </c>
      <c r="E16" s="44"/>
      <c r="F16" s="44"/>
      <c r="G16" s="44">
        <v>390360</v>
      </c>
      <c r="H16" s="44"/>
      <c r="I16" s="44"/>
      <c r="J16" s="44">
        <v>434280</v>
      </c>
      <c r="K16" s="44"/>
      <c r="L16" s="44">
        <v>299460</v>
      </c>
      <c r="M16" s="44">
        <v>149730</v>
      </c>
    </row>
    <row r="17" spans="1:13" ht="15.75" thickBot="1" x14ac:dyDescent="0.25">
      <c r="A17" s="8" t="s">
        <v>111</v>
      </c>
      <c r="B17" s="45">
        <f>B15-B16</f>
        <v>0</v>
      </c>
      <c r="C17" s="46">
        <f>C15-C16</f>
        <v>130120</v>
      </c>
      <c r="D17" s="46">
        <f t="shared" ref="D17:M17" si="2">D15-D16</f>
        <v>0</v>
      </c>
      <c r="E17" s="46">
        <f t="shared" si="2"/>
        <v>130120</v>
      </c>
      <c r="F17" s="46">
        <f t="shared" si="2"/>
        <v>260240</v>
      </c>
      <c r="G17" s="46">
        <f t="shared" si="2"/>
        <v>0</v>
      </c>
      <c r="H17" s="46">
        <f t="shared" si="2"/>
        <v>134820</v>
      </c>
      <c r="I17" s="46">
        <f t="shared" si="2"/>
        <v>284550</v>
      </c>
      <c r="J17" s="46">
        <f t="shared" si="2"/>
        <v>0</v>
      </c>
      <c r="K17" s="46">
        <f t="shared" si="2"/>
        <v>149730</v>
      </c>
      <c r="L17" s="46">
        <f t="shared" si="2"/>
        <v>0</v>
      </c>
      <c r="M17" s="47">
        <f t="shared" si="2"/>
        <v>0</v>
      </c>
    </row>
    <row r="18" spans="1:13" x14ac:dyDescent="0.2">
      <c r="D18" s="128">
        <v>44302</v>
      </c>
    </row>
    <row r="19" spans="1:13" x14ac:dyDescent="0.2">
      <c r="D19" t="s">
        <v>519</v>
      </c>
    </row>
    <row r="21" spans="1:13" ht="15.75" x14ac:dyDescent="0.25">
      <c r="A21" s="33"/>
      <c r="B21" s="34">
        <v>46023</v>
      </c>
      <c r="C21" s="34">
        <v>46054</v>
      </c>
      <c r="D21" s="34">
        <v>46082</v>
      </c>
      <c r="E21" s="34">
        <v>46113</v>
      </c>
      <c r="F21" s="34">
        <v>46143</v>
      </c>
      <c r="G21" s="34">
        <v>46174</v>
      </c>
      <c r="H21" s="34">
        <v>46204</v>
      </c>
      <c r="I21" s="34">
        <v>46235</v>
      </c>
      <c r="J21" s="34">
        <v>46266</v>
      </c>
      <c r="K21" s="34">
        <v>46296</v>
      </c>
      <c r="L21" s="34">
        <v>46327</v>
      </c>
      <c r="M21" s="34">
        <v>46357</v>
      </c>
    </row>
    <row r="22" spans="1:13" ht="15" x14ac:dyDescent="0.2">
      <c r="A22" s="8" t="s">
        <v>110</v>
      </c>
      <c r="B22" s="42">
        <v>-50</v>
      </c>
      <c r="C22" s="42">
        <f t="shared" ref="C22:M22" si="3">B33</f>
        <v>175600</v>
      </c>
      <c r="D22" s="42">
        <f t="shared" si="3"/>
        <v>0</v>
      </c>
      <c r="E22" s="42">
        <f t="shared" si="3"/>
        <v>175647</v>
      </c>
      <c r="F22" s="42">
        <f t="shared" si="3"/>
        <v>0</v>
      </c>
      <c r="G22" s="42">
        <f t="shared" si="3"/>
        <v>175647</v>
      </c>
      <c r="H22" s="42">
        <f t="shared" si="3"/>
        <v>175647</v>
      </c>
      <c r="I22" s="42">
        <f t="shared" si="3"/>
        <v>175647</v>
      </c>
      <c r="J22" s="42">
        <f t="shared" si="3"/>
        <v>175647</v>
      </c>
      <c r="K22" s="42">
        <f t="shared" si="3"/>
        <v>175647</v>
      </c>
      <c r="L22" s="42">
        <f t="shared" si="3"/>
        <v>175647</v>
      </c>
      <c r="M22" s="42">
        <f t="shared" si="3"/>
        <v>175647</v>
      </c>
    </row>
    <row r="23" spans="1:13" ht="15" x14ac:dyDescent="0.2">
      <c r="A23" s="8" t="s">
        <v>144</v>
      </c>
      <c r="B23" s="42">
        <v>95647</v>
      </c>
      <c r="C23" s="42">
        <v>95647</v>
      </c>
      <c r="D23" s="42">
        <v>95647</v>
      </c>
      <c r="E23" s="42">
        <v>95647</v>
      </c>
      <c r="F23" s="42">
        <v>95647</v>
      </c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4</v>
      </c>
      <c r="B25" s="42">
        <v>30000</v>
      </c>
      <c r="C25" s="42">
        <v>30000</v>
      </c>
      <c r="D25" s="42">
        <v>30000</v>
      </c>
      <c r="E25" s="42">
        <v>30000</v>
      </c>
      <c r="F25" s="42">
        <v>30000</v>
      </c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446</v>
      </c>
      <c r="B29" s="42">
        <v>3</v>
      </c>
      <c r="C29" s="42">
        <v>3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5</v>
      </c>
      <c r="B30" s="42">
        <v>50000</v>
      </c>
      <c r="C30" s="42">
        <v>50000</v>
      </c>
      <c r="D30" s="42">
        <v>50000</v>
      </c>
      <c r="E30" s="42">
        <v>50000</v>
      </c>
      <c r="F30" s="42">
        <v>50000</v>
      </c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6</v>
      </c>
      <c r="B31" s="43">
        <f>SUM(B22:B30)</f>
        <v>175600</v>
      </c>
      <c r="C31" s="43">
        <f>SUM(C22:C30)</f>
        <v>351250</v>
      </c>
      <c r="D31" s="43">
        <f t="shared" ref="D31:M31" si="4">SUM(D22:D30)</f>
        <v>175647</v>
      </c>
      <c r="E31" s="43">
        <f t="shared" si="4"/>
        <v>351294</v>
      </c>
      <c r="F31" s="43">
        <f t="shared" si="4"/>
        <v>175647</v>
      </c>
      <c r="G31" s="43">
        <f t="shared" si="4"/>
        <v>175647</v>
      </c>
      <c r="H31" s="43">
        <f t="shared" si="4"/>
        <v>175647</v>
      </c>
      <c r="I31" s="43">
        <f t="shared" si="4"/>
        <v>175647</v>
      </c>
      <c r="J31" s="43">
        <f t="shared" si="4"/>
        <v>175647</v>
      </c>
      <c r="K31" s="43">
        <f t="shared" si="4"/>
        <v>175647</v>
      </c>
      <c r="L31" s="43">
        <f t="shared" si="4"/>
        <v>175647</v>
      </c>
      <c r="M31" s="43">
        <f t="shared" si="4"/>
        <v>175647</v>
      </c>
    </row>
    <row r="32" spans="1:13" ht="15.75" thickBot="1" x14ac:dyDescent="0.25">
      <c r="A32" s="8" t="s">
        <v>7</v>
      </c>
      <c r="B32" s="44"/>
      <c r="C32" s="44">
        <f>170000+181250</f>
        <v>351250</v>
      </c>
      <c r="D32" s="44"/>
      <c r="E32" s="44">
        <v>351294</v>
      </c>
      <c r="F32" s="44"/>
      <c r="G32" s="44"/>
      <c r="H32" s="44"/>
      <c r="I32" s="44"/>
      <c r="J32" s="44"/>
      <c r="K32" s="44"/>
      <c r="L32" s="44"/>
      <c r="M32" s="44"/>
    </row>
    <row r="33" spans="1:13" ht="15.75" thickBot="1" x14ac:dyDescent="0.25">
      <c r="A33" s="8" t="s">
        <v>111</v>
      </c>
      <c r="B33" s="45">
        <f>B31-B32</f>
        <v>175600</v>
      </c>
      <c r="C33" s="46">
        <f>C31-C32</f>
        <v>0</v>
      </c>
      <c r="D33" s="46">
        <f t="shared" ref="D33:M33" si="5">D31-D32</f>
        <v>175647</v>
      </c>
      <c r="E33" s="46">
        <f t="shared" si="5"/>
        <v>0</v>
      </c>
      <c r="F33" s="46">
        <f t="shared" si="5"/>
        <v>175647</v>
      </c>
      <c r="G33" s="46">
        <f t="shared" si="5"/>
        <v>175647</v>
      </c>
      <c r="H33" s="46">
        <f t="shared" si="5"/>
        <v>175647</v>
      </c>
      <c r="I33" s="46">
        <f t="shared" si="5"/>
        <v>175647</v>
      </c>
      <c r="J33" s="46">
        <f t="shared" si="5"/>
        <v>175647</v>
      </c>
      <c r="K33" s="46">
        <f t="shared" si="5"/>
        <v>175647</v>
      </c>
      <c r="L33" s="46">
        <f t="shared" si="5"/>
        <v>175647</v>
      </c>
      <c r="M33" s="47">
        <f t="shared" si="5"/>
        <v>175647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9"/>
  <dimension ref="A2:M33"/>
  <sheetViews>
    <sheetView workbookViewId="0">
      <selection activeCell="K33" sqref="K33"/>
    </sheetView>
  </sheetViews>
  <sheetFormatPr baseColWidth="10" defaultRowHeight="12.75" x14ac:dyDescent="0.2"/>
  <cols>
    <col min="1" max="1" width="32.5703125" customWidth="1"/>
    <col min="8" max="8" width="13" customWidth="1"/>
  </cols>
  <sheetData>
    <row r="2" spans="1:13" x14ac:dyDescent="0.2">
      <c r="A2" s="80" t="s">
        <v>0</v>
      </c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x14ac:dyDescent="0.2">
      <c r="A3" s="81"/>
      <c r="B3" s="82">
        <v>44197</v>
      </c>
      <c r="C3" s="82">
        <v>44228</v>
      </c>
      <c r="D3" s="82">
        <v>44256</v>
      </c>
      <c r="E3" s="82">
        <v>44287</v>
      </c>
      <c r="F3" s="82">
        <v>44317</v>
      </c>
      <c r="G3" s="82">
        <v>44348</v>
      </c>
      <c r="H3" s="82">
        <v>44378</v>
      </c>
      <c r="I3" s="82">
        <v>44409</v>
      </c>
      <c r="J3" s="82">
        <v>44440</v>
      </c>
      <c r="K3" s="82">
        <v>44470</v>
      </c>
      <c r="L3" s="82">
        <v>44501</v>
      </c>
      <c r="M3" s="82">
        <v>44531</v>
      </c>
    </row>
    <row r="4" spans="1:13" x14ac:dyDescent="0.2">
      <c r="A4" s="78" t="s">
        <v>110</v>
      </c>
      <c r="B4" s="42"/>
      <c r="C4" s="42">
        <f>B15</f>
        <v>3000</v>
      </c>
      <c r="D4" s="42">
        <f t="shared" ref="D4:M4" si="0">C15</f>
        <v>6000</v>
      </c>
      <c r="E4" s="42">
        <f t="shared" si="0"/>
        <v>9000</v>
      </c>
      <c r="F4" s="42">
        <f t="shared" si="0"/>
        <v>12000</v>
      </c>
      <c r="G4" s="42">
        <f t="shared" si="0"/>
        <v>15000</v>
      </c>
      <c r="H4" s="42">
        <f t="shared" si="0"/>
        <v>18000</v>
      </c>
      <c r="I4" s="42">
        <f t="shared" si="0"/>
        <v>21000</v>
      </c>
      <c r="J4" s="42">
        <f t="shared" si="0"/>
        <v>24000</v>
      </c>
      <c r="K4" s="42">
        <f t="shared" si="0"/>
        <v>27000</v>
      </c>
      <c r="L4" s="42">
        <f t="shared" si="0"/>
        <v>30000</v>
      </c>
      <c r="M4" s="42">
        <f t="shared" si="0"/>
        <v>33000</v>
      </c>
    </row>
    <row r="5" spans="1:13" x14ac:dyDescent="0.2">
      <c r="A5" s="78" t="s">
        <v>76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261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251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3000</v>
      </c>
      <c r="C12" s="42">
        <v>3000</v>
      </c>
      <c r="D12" s="42">
        <v>3000</v>
      </c>
      <c r="E12" s="42">
        <v>3000</v>
      </c>
      <c r="F12" s="42">
        <v>3000</v>
      </c>
      <c r="G12" s="42">
        <v>3000</v>
      </c>
      <c r="H12" s="42">
        <v>3000</v>
      </c>
      <c r="I12" s="42">
        <v>3000</v>
      </c>
      <c r="J12" s="42">
        <v>3000</v>
      </c>
      <c r="K12" s="42">
        <v>3000</v>
      </c>
      <c r="L12" s="42">
        <v>3000</v>
      </c>
      <c r="M12" s="42">
        <v>3000</v>
      </c>
    </row>
    <row r="13" spans="1:13" x14ac:dyDescent="0.2">
      <c r="A13" s="78" t="s">
        <v>6</v>
      </c>
      <c r="B13" s="43">
        <f t="shared" ref="B13:M13" si="1">SUM(B4:B12)</f>
        <v>3000</v>
      </c>
      <c r="C13" s="43">
        <f t="shared" si="1"/>
        <v>6000</v>
      </c>
      <c r="D13" s="43">
        <f t="shared" si="1"/>
        <v>9000</v>
      </c>
      <c r="E13" s="43">
        <f t="shared" si="1"/>
        <v>12000</v>
      </c>
      <c r="F13" s="43">
        <f t="shared" si="1"/>
        <v>15000</v>
      </c>
      <c r="G13" s="43">
        <f>SUM(G4:G12)</f>
        <v>18000</v>
      </c>
      <c r="H13" s="43">
        <f t="shared" si="1"/>
        <v>21000</v>
      </c>
      <c r="I13" s="43">
        <f t="shared" si="1"/>
        <v>24000</v>
      </c>
      <c r="J13" s="43">
        <f t="shared" si="1"/>
        <v>27000</v>
      </c>
      <c r="K13" s="43">
        <f t="shared" si="1"/>
        <v>30000</v>
      </c>
      <c r="L13" s="43">
        <f t="shared" si="1"/>
        <v>33000</v>
      </c>
      <c r="M13" s="43">
        <f t="shared" si="1"/>
        <v>36000</v>
      </c>
    </row>
    <row r="14" spans="1:13" ht="13.5" thickBot="1" x14ac:dyDescent="0.25">
      <c r="A14" s="78" t="s">
        <v>7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 ht="13.5" thickBot="1" x14ac:dyDescent="0.25">
      <c r="A15" s="78" t="s">
        <v>111</v>
      </c>
      <c r="B15" s="45">
        <f t="shared" ref="B15:M15" si="2">B13-B14</f>
        <v>3000</v>
      </c>
      <c r="C15" s="46">
        <f t="shared" si="2"/>
        <v>6000</v>
      </c>
      <c r="D15" s="46">
        <f t="shared" si="2"/>
        <v>9000</v>
      </c>
      <c r="E15" s="46">
        <f t="shared" si="2"/>
        <v>12000</v>
      </c>
      <c r="F15" s="46">
        <f t="shared" si="2"/>
        <v>15000</v>
      </c>
      <c r="G15" s="46">
        <f t="shared" si="2"/>
        <v>18000</v>
      </c>
      <c r="H15" s="46">
        <f t="shared" si="2"/>
        <v>21000</v>
      </c>
      <c r="I15" s="46">
        <f>I13-I14</f>
        <v>24000</v>
      </c>
      <c r="J15" s="46">
        <f>J13-J14</f>
        <v>27000</v>
      </c>
      <c r="K15" s="46">
        <f t="shared" si="2"/>
        <v>30000</v>
      </c>
      <c r="L15" s="46">
        <f t="shared" si="2"/>
        <v>33000</v>
      </c>
      <c r="M15" s="47">
        <f t="shared" si="2"/>
        <v>36000</v>
      </c>
    </row>
    <row r="16" spans="1:13" x14ac:dyDescent="0.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80" t="s">
        <v>0</v>
      </c>
      <c r="B20" s="80" t="s">
        <v>1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x14ac:dyDescent="0.2">
      <c r="A21" s="81"/>
      <c r="B21" s="82">
        <v>44562</v>
      </c>
      <c r="C21" s="82">
        <v>44593</v>
      </c>
      <c r="D21" s="82">
        <v>44621</v>
      </c>
      <c r="E21" s="82">
        <v>44652</v>
      </c>
      <c r="F21" s="82">
        <v>44682</v>
      </c>
      <c r="G21" s="82">
        <v>44713</v>
      </c>
      <c r="H21" s="82">
        <v>44743</v>
      </c>
      <c r="I21" s="82">
        <v>44774</v>
      </c>
      <c r="J21" s="82">
        <v>44805</v>
      </c>
      <c r="K21" s="82">
        <v>44835</v>
      </c>
      <c r="L21" s="82">
        <v>44866</v>
      </c>
      <c r="M21" s="82">
        <v>44896</v>
      </c>
    </row>
    <row r="22" spans="1:13" x14ac:dyDescent="0.2">
      <c r="A22" s="78" t="s">
        <v>110</v>
      </c>
      <c r="B22" s="42">
        <v>36000</v>
      </c>
      <c r="C22" s="42">
        <f t="shared" ref="C22:M22" si="3">B33</f>
        <v>16000</v>
      </c>
      <c r="D22" s="42">
        <f t="shared" si="3"/>
        <v>21000</v>
      </c>
      <c r="E22" s="42">
        <f t="shared" si="3"/>
        <v>26000</v>
      </c>
      <c r="F22" s="42">
        <f t="shared" si="3"/>
        <v>31000</v>
      </c>
      <c r="G22" s="42">
        <f t="shared" si="3"/>
        <v>36000</v>
      </c>
      <c r="H22" s="42">
        <f t="shared" si="3"/>
        <v>41000</v>
      </c>
      <c r="I22" s="42">
        <f t="shared" si="3"/>
        <v>46000</v>
      </c>
      <c r="J22" s="42">
        <f t="shared" si="3"/>
        <v>51000</v>
      </c>
      <c r="K22" s="42">
        <f t="shared" si="3"/>
        <v>56000</v>
      </c>
      <c r="L22" s="42">
        <f t="shared" si="3"/>
        <v>31000</v>
      </c>
      <c r="M22" s="42">
        <f t="shared" si="3"/>
        <v>31000</v>
      </c>
    </row>
    <row r="23" spans="1:13" x14ac:dyDescent="0.2">
      <c r="A23" s="78" t="s">
        <v>169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284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5000</v>
      </c>
      <c r="C30" s="42">
        <v>5000</v>
      </c>
      <c r="D30" s="42">
        <v>5000</v>
      </c>
      <c r="E30" s="42">
        <v>5000</v>
      </c>
      <c r="F30" s="42">
        <v>5000</v>
      </c>
      <c r="G30" s="42">
        <v>5000</v>
      </c>
      <c r="H30" s="42">
        <v>5000</v>
      </c>
      <c r="I30" s="42">
        <v>5000</v>
      </c>
      <c r="J30" s="42">
        <v>5000</v>
      </c>
      <c r="K30" s="42">
        <v>5000</v>
      </c>
      <c r="L30" s="42"/>
      <c r="M30" s="42"/>
    </row>
    <row r="31" spans="1:13" x14ac:dyDescent="0.2">
      <c r="A31" s="78" t="s">
        <v>6</v>
      </c>
      <c r="B31" s="43">
        <f t="shared" ref="B31:M31" si="4">SUM(B22:B30)</f>
        <v>41000</v>
      </c>
      <c r="C31" s="43">
        <f t="shared" si="4"/>
        <v>21000</v>
      </c>
      <c r="D31" s="43">
        <f t="shared" si="4"/>
        <v>26000</v>
      </c>
      <c r="E31" s="43">
        <f t="shared" si="4"/>
        <v>31000</v>
      </c>
      <c r="F31" s="43">
        <f t="shared" si="4"/>
        <v>36000</v>
      </c>
      <c r="G31" s="43">
        <f t="shared" si="4"/>
        <v>41000</v>
      </c>
      <c r="H31" s="43">
        <f t="shared" si="4"/>
        <v>46000</v>
      </c>
      <c r="I31" s="43">
        <f t="shared" si="4"/>
        <v>51000</v>
      </c>
      <c r="J31" s="43">
        <f t="shared" si="4"/>
        <v>56000</v>
      </c>
      <c r="K31" s="43">
        <f t="shared" si="4"/>
        <v>61000</v>
      </c>
      <c r="L31" s="43">
        <f t="shared" si="4"/>
        <v>31000</v>
      </c>
      <c r="M31" s="43">
        <f t="shared" si="4"/>
        <v>31000</v>
      </c>
    </row>
    <row r="32" spans="1:13" ht="13.5" thickBot="1" x14ac:dyDescent="0.25">
      <c r="A32" s="78" t="s">
        <v>7</v>
      </c>
      <c r="B32" s="44">
        <v>25000</v>
      </c>
      <c r="C32" s="44"/>
      <c r="D32" s="44"/>
      <c r="E32" s="44"/>
      <c r="F32" s="44"/>
      <c r="G32" s="44"/>
      <c r="H32" s="44"/>
      <c r="I32" s="44"/>
      <c r="J32" s="44"/>
      <c r="K32" s="44">
        <v>30000</v>
      </c>
      <c r="L32" s="44"/>
      <c r="M32" s="44"/>
    </row>
    <row r="33" spans="1:13" ht="13.5" thickBot="1" x14ac:dyDescent="0.25">
      <c r="A33" s="78" t="s">
        <v>111</v>
      </c>
      <c r="B33" s="45">
        <f t="shared" ref="B33:M33" si="5">B31-B32</f>
        <v>16000</v>
      </c>
      <c r="C33" s="46">
        <f t="shared" si="5"/>
        <v>21000</v>
      </c>
      <c r="D33" s="46">
        <f t="shared" si="5"/>
        <v>26000</v>
      </c>
      <c r="E33" s="46">
        <f t="shared" si="5"/>
        <v>31000</v>
      </c>
      <c r="F33" s="46">
        <f t="shared" si="5"/>
        <v>36000</v>
      </c>
      <c r="G33" s="46">
        <f t="shared" si="5"/>
        <v>41000</v>
      </c>
      <c r="H33" s="46">
        <f t="shared" si="5"/>
        <v>46000</v>
      </c>
      <c r="I33" s="46">
        <f t="shared" si="5"/>
        <v>51000</v>
      </c>
      <c r="J33" s="46">
        <f t="shared" si="5"/>
        <v>56000</v>
      </c>
      <c r="K33" s="46">
        <f t="shared" si="5"/>
        <v>31000</v>
      </c>
      <c r="L33" s="46">
        <f t="shared" si="5"/>
        <v>31000</v>
      </c>
      <c r="M33" s="47">
        <f t="shared" si="5"/>
        <v>31000</v>
      </c>
    </row>
  </sheetData>
  <phoneticPr fontId="4" type="noConversion"/>
  <pageMargins left="0.75" right="0.75" top="1" bottom="1" header="0" footer="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0"/>
  <dimension ref="A3:M33"/>
  <sheetViews>
    <sheetView workbookViewId="0">
      <selection activeCell="C15" sqref="C15"/>
    </sheetView>
  </sheetViews>
  <sheetFormatPr baseColWidth="10" defaultRowHeight="12.75" x14ac:dyDescent="0.2"/>
  <cols>
    <col min="1" max="1" width="29.7109375" customWidth="1"/>
    <col min="9" max="10" width="12.140625" customWidth="1"/>
    <col min="11" max="11" width="12.42578125" customWidth="1"/>
    <col min="12" max="12" width="12.28515625" customWidth="1"/>
    <col min="13" max="13" width="12.8554687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>
        <v>183460</v>
      </c>
      <c r="C5" s="42">
        <f t="shared" ref="C5:M5" si="0">B16</f>
        <v>264460</v>
      </c>
      <c r="D5" s="42">
        <f t="shared" si="0"/>
        <v>215960</v>
      </c>
      <c r="E5" s="42">
        <f t="shared" si="0"/>
        <v>310260</v>
      </c>
      <c r="F5" s="42">
        <f t="shared" si="0"/>
        <v>404560</v>
      </c>
      <c r="G5" s="42">
        <f t="shared" si="0"/>
        <v>492560</v>
      </c>
      <c r="H5" s="42">
        <f t="shared" si="0"/>
        <v>492560</v>
      </c>
      <c r="I5" s="42">
        <f t="shared" si="0"/>
        <v>492560</v>
      </c>
      <c r="J5" s="42">
        <f t="shared" si="0"/>
        <v>492560</v>
      </c>
      <c r="K5" s="42">
        <f t="shared" si="0"/>
        <v>492560</v>
      </c>
      <c r="L5" s="42">
        <f t="shared" si="0"/>
        <v>492560</v>
      </c>
      <c r="M5" s="42">
        <f t="shared" si="0"/>
        <v>492560</v>
      </c>
    </row>
    <row r="6" spans="1:13" x14ac:dyDescent="0.2">
      <c r="A6" s="78" t="s">
        <v>2</v>
      </c>
      <c r="B6" s="42">
        <v>9100</v>
      </c>
      <c r="C6" s="42">
        <v>9100</v>
      </c>
      <c r="D6" s="42">
        <v>9100</v>
      </c>
      <c r="E6" s="42">
        <v>9100</v>
      </c>
      <c r="F6" s="42">
        <v>9100</v>
      </c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>
        <v>13900</v>
      </c>
      <c r="C7" s="42">
        <v>13900</v>
      </c>
      <c r="D7" s="42">
        <v>13900</v>
      </c>
      <c r="E7" s="42">
        <v>13900</v>
      </c>
      <c r="F7" s="42">
        <v>13900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8000</v>
      </c>
      <c r="C8" s="42">
        <v>28500</v>
      </c>
      <c r="D8" s="42">
        <v>21300</v>
      </c>
      <c r="E8" s="42">
        <v>21300</v>
      </c>
      <c r="F8" s="42">
        <v>15000</v>
      </c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50000</v>
      </c>
      <c r="C13" s="42">
        <v>50000</v>
      </c>
      <c r="D13" s="42">
        <v>50000</v>
      </c>
      <c r="E13" s="42">
        <v>50000</v>
      </c>
      <c r="F13" s="42">
        <v>50000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264460</v>
      </c>
      <c r="C14" s="43">
        <f t="shared" si="1"/>
        <v>365960</v>
      </c>
      <c r="D14" s="43">
        <f t="shared" si="1"/>
        <v>310260</v>
      </c>
      <c r="E14" s="43">
        <f t="shared" si="1"/>
        <v>404560</v>
      </c>
      <c r="F14" s="43">
        <f t="shared" si="1"/>
        <v>492560</v>
      </c>
      <c r="G14" s="43">
        <f t="shared" si="1"/>
        <v>492560</v>
      </c>
      <c r="H14" s="43">
        <f t="shared" si="1"/>
        <v>492560</v>
      </c>
      <c r="I14" s="43">
        <f t="shared" si="1"/>
        <v>492560</v>
      </c>
      <c r="J14" s="43">
        <f t="shared" si="1"/>
        <v>492560</v>
      </c>
      <c r="K14" s="43">
        <f t="shared" si="1"/>
        <v>492560</v>
      </c>
      <c r="L14" s="43">
        <f t="shared" si="1"/>
        <v>492560</v>
      </c>
      <c r="M14" s="43">
        <f t="shared" si="1"/>
        <v>492560</v>
      </c>
    </row>
    <row r="15" spans="1:13" ht="13.5" thickBot="1" x14ac:dyDescent="0.25">
      <c r="A15" s="78" t="s">
        <v>7</v>
      </c>
      <c r="B15" s="44"/>
      <c r="C15" s="44">
        <v>150000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264460</v>
      </c>
      <c r="C16" s="46">
        <f t="shared" si="2"/>
        <v>215960</v>
      </c>
      <c r="D16" s="46">
        <f t="shared" si="2"/>
        <v>310260</v>
      </c>
      <c r="E16" s="46">
        <f t="shared" si="2"/>
        <v>404560</v>
      </c>
      <c r="F16" s="46">
        <f t="shared" si="2"/>
        <v>492560</v>
      </c>
      <c r="G16" s="46">
        <f t="shared" si="2"/>
        <v>492560</v>
      </c>
      <c r="H16" s="46">
        <f t="shared" si="2"/>
        <v>492560</v>
      </c>
      <c r="I16" s="46">
        <f t="shared" si="2"/>
        <v>492560</v>
      </c>
      <c r="J16" s="46">
        <f t="shared" si="2"/>
        <v>492560</v>
      </c>
      <c r="K16" s="46">
        <f t="shared" si="2"/>
        <v>492560</v>
      </c>
      <c r="L16" s="46">
        <f t="shared" si="2"/>
        <v>492560</v>
      </c>
      <c r="M16" s="47">
        <f t="shared" si="2"/>
        <v>492560</v>
      </c>
    </row>
    <row r="17" spans="1:13" x14ac:dyDescent="0.2">
      <c r="K17" t="s">
        <v>705</v>
      </c>
    </row>
    <row r="18" spans="1:13" x14ac:dyDescent="0.2">
      <c r="K18" t="s">
        <v>706</v>
      </c>
    </row>
    <row r="19" spans="1:13" ht="15.75" x14ac:dyDescent="0.25">
      <c r="A19" s="32" t="s">
        <v>0</v>
      </c>
      <c r="B19" s="32" t="s">
        <v>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ht="15.75" x14ac:dyDescent="0.25">
      <c r="A20" s="33"/>
      <c r="B20" s="34">
        <v>45658</v>
      </c>
      <c r="C20" s="34">
        <v>45689</v>
      </c>
      <c r="D20" s="34">
        <v>45717</v>
      </c>
      <c r="E20" s="34">
        <v>45748</v>
      </c>
      <c r="F20" s="34">
        <v>45778</v>
      </c>
      <c r="G20" s="34">
        <v>45809</v>
      </c>
      <c r="H20" s="34">
        <v>45839</v>
      </c>
      <c r="I20" s="34">
        <v>45870</v>
      </c>
      <c r="J20" s="34">
        <v>45901</v>
      </c>
      <c r="K20" s="34">
        <v>45931</v>
      </c>
      <c r="L20" s="34">
        <v>45962</v>
      </c>
      <c r="M20" s="34">
        <v>45992</v>
      </c>
    </row>
    <row r="21" spans="1:13" ht="15" x14ac:dyDescent="0.2">
      <c r="A21" s="8" t="s">
        <v>110</v>
      </c>
      <c r="B21" s="42">
        <v>32000</v>
      </c>
      <c r="C21" s="42">
        <f t="shared" ref="C21:M21" si="3">B32</f>
        <v>0</v>
      </c>
      <c r="D21" s="42">
        <f t="shared" si="3"/>
        <v>70030</v>
      </c>
      <c r="E21" s="42">
        <f t="shared" si="3"/>
        <v>123960</v>
      </c>
      <c r="F21" s="42">
        <f t="shared" si="3"/>
        <v>690</v>
      </c>
      <c r="G21" s="42">
        <f t="shared" si="3"/>
        <v>70120</v>
      </c>
      <c r="H21" s="42">
        <f t="shared" si="3"/>
        <v>0</v>
      </c>
      <c r="I21" s="42">
        <f t="shared" si="3"/>
        <v>0</v>
      </c>
      <c r="J21" s="42">
        <f t="shared" si="3"/>
        <v>75030</v>
      </c>
      <c r="K21" s="42">
        <f t="shared" si="3"/>
        <v>163760</v>
      </c>
      <c r="L21" s="42">
        <f t="shared" si="3"/>
        <v>0</v>
      </c>
      <c r="M21" s="42">
        <f t="shared" si="3"/>
        <v>91730</v>
      </c>
    </row>
    <row r="22" spans="1:13" ht="15" x14ac:dyDescent="0.2">
      <c r="A22" s="8" t="s">
        <v>2</v>
      </c>
      <c r="B22" s="42">
        <v>5700</v>
      </c>
      <c r="C22" s="42">
        <v>7000</v>
      </c>
      <c r="D22" s="42">
        <v>7000</v>
      </c>
      <c r="E22" s="42">
        <v>7000</v>
      </c>
      <c r="F22" s="42">
        <v>7000</v>
      </c>
      <c r="G22" s="42">
        <v>7000</v>
      </c>
      <c r="H22" s="42">
        <v>7000</v>
      </c>
      <c r="I22" s="42">
        <v>8000</v>
      </c>
      <c r="J22" s="42">
        <v>8000</v>
      </c>
      <c r="K22" s="42">
        <v>8000</v>
      </c>
      <c r="L22" s="42">
        <v>8000</v>
      </c>
      <c r="M22" s="42">
        <v>8000</v>
      </c>
    </row>
    <row r="23" spans="1:13" ht="15" x14ac:dyDescent="0.2">
      <c r="A23" s="8" t="s">
        <v>3</v>
      </c>
      <c r="B23" s="42">
        <v>3800</v>
      </c>
      <c r="C23" s="42">
        <v>10730</v>
      </c>
      <c r="D23" s="42">
        <v>10730</v>
      </c>
      <c r="E23" s="42">
        <v>10730</v>
      </c>
      <c r="F23" s="42">
        <v>10730</v>
      </c>
      <c r="G23" s="42">
        <v>10730</v>
      </c>
      <c r="H23" s="42">
        <v>10730</v>
      </c>
      <c r="I23" s="42">
        <v>10730</v>
      </c>
      <c r="J23" s="42">
        <v>10730</v>
      </c>
      <c r="K23" s="42">
        <v>10730</v>
      </c>
      <c r="L23" s="42">
        <v>10730</v>
      </c>
      <c r="M23" s="42">
        <v>10730</v>
      </c>
    </row>
    <row r="24" spans="1:13" ht="15" x14ac:dyDescent="0.2">
      <c r="A24" s="8" t="s">
        <v>4</v>
      </c>
      <c r="B24" s="42">
        <v>8750</v>
      </c>
      <c r="C24" s="42">
        <v>22300</v>
      </c>
      <c r="D24" s="42">
        <v>6200</v>
      </c>
      <c r="E24" s="42">
        <v>21000</v>
      </c>
      <c r="F24" s="42">
        <v>21700</v>
      </c>
      <c r="G24" s="42">
        <v>19910</v>
      </c>
      <c r="H24" s="42">
        <v>13000</v>
      </c>
      <c r="I24" s="42">
        <f>11300+5000</f>
        <v>16300</v>
      </c>
      <c r="J24" s="42">
        <v>25000</v>
      </c>
      <c r="K24" s="42">
        <v>20600</v>
      </c>
      <c r="L24" s="42">
        <v>28000</v>
      </c>
      <c r="M24" s="42">
        <v>28000</v>
      </c>
    </row>
    <row r="25" spans="1:13" ht="15" x14ac:dyDescent="0.2">
      <c r="A25" s="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500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5</v>
      </c>
      <c r="B29" s="42">
        <v>20000</v>
      </c>
      <c r="C29" s="42">
        <v>30000</v>
      </c>
      <c r="D29" s="42">
        <v>30000</v>
      </c>
      <c r="E29" s="42">
        <v>30000</v>
      </c>
      <c r="F29" s="42">
        <v>30000</v>
      </c>
      <c r="G29" s="42">
        <v>30000</v>
      </c>
      <c r="H29" s="42">
        <v>35000</v>
      </c>
      <c r="I29" s="42">
        <v>40000</v>
      </c>
      <c r="J29" s="42">
        <v>45000</v>
      </c>
      <c r="K29" s="42">
        <v>45000</v>
      </c>
      <c r="L29" s="42">
        <v>45000</v>
      </c>
      <c r="M29" s="42">
        <v>45000</v>
      </c>
    </row>
    <row r="30" spans="1:13" ht="15" x14ac:dyDescent="0.2">
      <c r="A30" s="8" t="s">
        <v>6</v>
      </c>
      <c r="B30" s="43">
        <f t="shared" ref="B30:M30" si="4">SUM(B21:B29)</f>
        <v>70250</v>
      </c>
      <c r="C30" s="43">
        <f t="shared" si="4"/>
        <v>70030</v>
      </c>
      <c r="D30" s="43">
        <f t="shared" si="4"/>
        <v>123960</v>
      </c>
      <c r="E30" s="43">
        <f t="shared" si="4"/>
        <v>192690</v>
      </c>
      <c r="F30" s="43">
        <f t="shared" si="4"/>
        <v>70120</v>
      </c>
      <c r="G30" s="43">
        <f t="shared" si="4"/>
        <v>137760</v>
      </c>
      <c r="H30" s="43">
        <f t="shared" si="4"/>
        <v>65730</v>
      </c>
      <c r="I30" s="43">
        <f t="shared" si="4"/>
        <v>75030</v>
      </c>
      <c r="J30" s="43">
        <f t="shared" si="4"/>
        <v>163760</v>
      </c>
      <c r="K30" s="43">
        <f t="shared" si="4"/>
        <v>248090</v>
      </c>
      <c r="L30" s="43">
        <f t="shared" si="4"/>
        <v>91730</v>
      </c>
      <c r="M30" s="43">
        <f t="shared" si="4"/>
        <v>183460</v>
      </c>
    </row>
    <row r="31" spans="1:13" ht="15.75" thickBot="1" x14ac:dyDescent="0.25">
      <c r="A31" s="8" t="s">
        <v>7</v>
      </c>
      <c r="B31" s="44">
        <v>70250</v>
      </c>
      <c r="C31" s="44"/>
      <c r="D31" s="44"/>
      <c r="E31" s="44">
        <v>192000</v>
      </c>
      <c r="F31" s="44"/>
      <c r="G31" s="44">
        <v>137760</v>
      </c>
      <c r="H31" s="44">
        <v>65730</v>
      </c>
      <c r="I31" s="44"/>
      <c r="J31" s="44"/>
      <c r="K31" s="44">
        <v>248090</v>
      </c>
      <c r="L31" s="44"/>
      <c r="M31" s="44"/>
    </row>
    <row r="32" spans="1:13" ht="15.75" thickBot="1" x14ac:dyDescent="0.25">
      <c r="A32" s="8" t="s">
        <v>111</v>
      </c>
      <c r="B32" s="45">
        <f t="shared" ref="B32:M32" si="5">B30-B31</f>
        <v>0</v>
      </c>
      <c r="C32" s="46">
        <f t="shared" si="5"/>
        <v>70030</v>
      </c>
      <c r="D32" s="46">
        <f t="shared" si="5"/>
        <v>123960</v>
      </c>
      <c r="E32" s="46">
        <f t="shared" si="5"/>
        <v>690</v>
      </c>
      <c r="F32" s="46">
        <f t="shared" si="5"/>
        <v>70120</v>
      </c>
      <c r="G32" s="46">
        <f t="shared" si="5"/>
        <v>0</v>
      </c>
      <c r="H32" s="46">
        <f t="shared" si="5"/>
        <v>0</v>
      </c>
      <c r="I32" s="46">
        <f t="shared" si="5"/>
        <v>75030</v>
      </c>
      <c r="J32" s="46">
        <f t="shared" si="5"/>
        <v>163760</v>
      </c>
      <c r="K32" s="46">
        <f t="shared" si="5"/>
        <v>0</v>
      </c>
      <c r="L32" s="46">
        <f t="shared" si="5"/>
        <v>91730</v>
      </c>
      <c r="M32" s="47">
        <f t="shared" si="5"/>
        <v>183460</v>
      </c>
    </row>
    <row r="33" spans="8:13" x14ac:dyDescent="0.2">
      <c r="H33" t="s">
        <v>635</v>
      </c>
      <c r="M33" s="128">
        <v>43868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1"/>
  <dimension ref="A3:M15"/>
  <sheetViews>
    <sheetView topLeftCell="A19" workbookViewId="0">
      <selection activeCell="C6" sqref="C6"/>
    </sheetView>
  </sheetViews>
  <sheetFormatPr baseColWidth="10" defaultRowHeight="12.75" x14ac:dyDescent="0.2"/>
  <cols>
    <col min="1" max="1" width="36.28515625" customWidth="1"/>
  </cols>
  <sheetData>
    <row r="3" spans="1:13" ht="15.75" x14ac:dyDescent="0.25">
      <c r="A3" s="33"/>
      <c r="B3" s="34">
        <v>43831</v>
      </c>
      <c r="C3" s="34">
        <v>43862</v>
      </c>
      <c r="D3" s="34">
        <v>43891</v>
      </c>
      <c r="E3" s="34">
        <v>43922</v>
      </c>
      <c r="F3" s="34">
        <v>43952</v>
      </c>
      <c r="G3" s="34">
        <v>43983</v>
      </c>
      <c r="H3" s="34">
        <v>44013</v>
      </c>
      <c r="I3" s="34">
        <v>44044</v>
      </c>
      <c r="J3" s="34">
        <v>44075</v>
      </c>
      <c r="K3" s="34">
        <v>44105</v>
      </c>
      <c r="L3" s="34">
        <v>44136</v>
      </c>
      <c r="M3" s="34">
        <v>44166</v>
      </c>
    </row>
    <row r="4" spans="1:13" ht="15" x14ac:dyDescent="0.2">
      <c r="A4" s="8" t="s">
        <v>110</v>
      </c>
      <c r="B4" s="28"/>
      <c r="C4" s="28">
        <f t="shared" ref="C4:M4" si="0">B15</f>
        <v>0</v>
      </c>
      <c r="D4" s="28">
        <f t="shared" si="0"/>
        <v>0</v>
      </c>
      <c r="E4" s="28">
        <f t="shared" si="0"/>
        <v>0</v>
      </c>
      <c r="F4" s="28">
        <f t="shared" si="0"/>
        <v>0</v>
      </c>
      <c r="G4" s="28">
        <f t="shared" si="0"/>
        <v>0</v>
      </c>
      <c r="H4" s="28">
        <f t="shared" si="0"/>
        <v>0</v>
      </c>
      <c r="I4" s="28">
        <f t="shared" si="0"/>
        <v>0</v>
      </c>
      <c r="J4" s="28">
        <f t="shared" si="0"/>
        <v>0</v>
      </c>
      <c r="K4" s="28">
        <f t="shared" si="0"/>
        <v>0</v>
      </c>
      <c r="L4" s="28">
        <f t="shared" si="0"/>
        <v>0</v>
      </c>
      <c r="M4" s="28">
        <f t="shared" si="0"/>
        <v>0</v>
      </c>
    </row>
    <row r="5" spans="1:13" ht="15" x14ac:dyDescent="0.2">
      <c r="A5" s="8" t="s">
        <v>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15" x14ac:dyDescent="0.2">
      <c r="A6" s="8" t="s">
        <v>3</v>
      </c>
      <c r="B6" s="28"/>
      <c r="C6" s="28">
        <v>957</v>
      </c>
      <c r="D6" s="28">
        <v>957</v>
      </c>
      <c r="E6" s="28">
        <v>957</v>
      </c>
      <c r="F6" s="28">
        <v>957</v>
      </c>
      <c r="G6" s="28">
        <v>1057</v>
      </c>
      <c r="H6" s="28">
        <v>1057</v>
      </c>
      <c r="I6" s="28">
        <v>1057</v>
      </c>
      <c r="J6" s="28">
        <v>1057</v>
      </c>
      <c r="K6" s="28">
        <v>1057</v>
      </c>
      <c r="L6" s="28"/>
      <c r="M6" s="28"/>
    </row>
    <row r="7" spans="1:13" ht="15" x14ac:dyDescent="0.2">
      <c r="A7" s="8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 ht="15" x14ac:dyDescent="0.2">
      <c r="A8" s="8" t="s">
        <v>9</v>
      </c>
      <c r="B8" s="28"/>
      <c r="C8" s="28"/>
      <c r="D8" s="22"/>
      <c r="E8" s="28"/>
      <c r="F8" s="28"/>
      <c r="G8" s="28"/>
      <c r="H8" s="28"/>
      <c r="I8" s="28"/>
      <c r="J8" s="28"/>
      <c r="K8" s="28"/>
      <c r="L8" s="28"/>
      <c r="M8" s="28"/>
    </row>
    <row r="9" spans="1:13" ht="15" x14ac:dyDescent="0.2">
      <c r="A9" s="8" t="s">
        <v>73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3" ht="15" x14ac:dyDescent="0.2">
      <c r="A10" s="8" t="s">
        <v>74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15" x14ac:dyDescent="0.2">
      <c r="A11" s="8" t="s">
        <v>169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5" x14ac:dyDescent="0.2">
      <c r="A12" s="8" t="s">
        <v>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15" x14ac:dyDescent="0.2">
      <c r="A13" s="8" t="s">
        <v>6</v>
      </c>
      <c r="B13" s="29">
        <f t="shared" ref="B13:M13" si="1">SUM(B4:B12)</f>
        <v>0</v>
      </c>
      <c r="C13" s="29">
        <f t="shared" si="1"/>
        <v>957</v>
      </c>
      <c r="D13" s="29">
        <f t="shared" si="1"/>
        <v>957</v>
      </c>
      <c r="E13" s="29">
        <f t="shared" si="1"/>
        <v>957</v>
      </c>
      <c r="F13" s="29">
        <f t="shared" si="1"/>
        <v>957</v>
      </c>
      <c r="G13" s="29">
        <f t="shared" si="1"/>
        <v>1057</v>
      </c>
      <c r="H13" s="29">
        <f t="shared" si="1"/>
        <v>1057</v>
      </c>
      <c r="I13" s="29">
        <f t="shared" si="1"/>
        <v>1057</v>
      </c>
      <c r="J13" s="29">
        <f t="shared" si="1"/>
        <v>1057</v>
      </c>
      <c r="K13" s="29">
        <f t="shared" si="1"/>
        <v>1057</v>
      </c>
      <c r="L13" s="29">
        <f t="shared" si="1"/>
        <v>0</v>
      </c>
      <c r="M13" s="29">
        <f t="shared" si="1"/>
        <v>0</v>
      </c>
    </row>
    <row r="14" spans="1:13" ht="15.75" thickBot="1" x14ac:dyDescent="0.25">
      <c r="A14" s="8" t="s">
        <v>7</v>
      </c>
      <c r="B14" s="30"/>
      <c r="C14" s="30">
        <v>957</v>
      </c>
      <c r="D14" s="30">
        <v>957</v>
      </c>
      <c r="E14" s="30">
        <v>957</v>
      </c>
      <c r="F14" s="30">
        <v>957</v>
      </c>
      <c r="G14" s="30">
        <v>1057</v>
      </c>
      <c r="H14" s="30">
        <v>1057</v>
      </c>
      <c r="I14" s="30">
        <v>1057</v>
      </c>
      <c r="J14" s="30">
        <v>1057</v>
      </c>
      <c r="K14" s="30">
        <v>1057</v>
      </c>
      <c r="L14" s="30"/>
      <c r="M14" s="30"/>
    </row>
    <row r="15" spans="1:13" ht="15.75" thickBot="1" x14ac:dyDescent="0.25">
      <c r="A15" s="8" t="s">
        <v>111</v>
      </c>
      <c r="B15" s="35">
        <f t="shared" ref="B15:M15" si="2">B13-B14</f>
        <v>0</v>
      </c>
      <c r="C15" s="36">
        <f t="shared" si="2"/>
        <v>0</v>
      </c>
      <c r="D15" s="36">
        <f t="shared" si="2"/>
        <v>0</v>
      </c>
      <c r="E15" s="36">
        <f t="shared" si="2"/>
        <v>0</v>
      </c>
      <c r="F15" s="36">
        <f t="shared" si="2"/>
        <v>0</v>
      </c>
      <c r="G15" s="36">
        <f t="shared" si="2"/>
        <v>0</v>
      </c>
      <c r="H15" s="36">
        <f t="shared" si="2"/>
        <v>0</v>
      </c>
      <c r="I15" s="36">
        <f t="shared" si="2"/>
        <v>0</v>
      </c>
      <c r="J15" s="36">
        <f t="shared" si="2"/>
        <v>0</v>
      </c>
      <c r="K15" s="36">
        <f t="shared" si="2"/>
        <v>0</v>
      </c>
      <c r="L15" s="36">
        <f t="shared" si="2"/>
        <v>0</v>
      </c>
      <c r="M15" s="37">
        <f t="shared" si="2"/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2"/>
  <dimension ref="B3:N15"/>
  <sheetViews>
    <sheetView workbookViewId="0">
      <selection activeCell="C22" sqref="C22"/>
    </sheetView>
  </sheetViews>
  <sheetFormatPr baseColWidth="10" defaultRowHeight="12.75" x14ac:dyDescent="0.2"/>
  <cols>
    <col min="1" max="1" width="3" customWidth="1"/>
    <col min="2" max="2" width="32.5703125" customWidth="1"/>
  </cols>
  <sheetData>
    <row r="3" spans="2:14" ht="15.75" x14ac:dyDescent="0.25">
      <c r="B3" s="33"/>
      <c r="C3" s="34">
        <v>44197</v>
      </c>
      <c r="D3" s="34">
        <v>44228</v>
      </c>
      <c r="E3" s="34">
        <v>44256</v>
      </c>
      <c r="F3" s="34">
        <v>44287</v>
      </c>
      <c r="G3" s="34">
        <v>44317</v>
      </c>
      <c r="H3" s="34">
        <v>44348</v>
      </c>
      <c r="I3" s="34">
        <v>44378</v>
      </c>
      <c r="J3" s="34">
        <v>44409</v>
      </c>
      <c r="K3" s="34">
        <v>44440</v>
      </c>
      <c r="L3" s="34">
        <v>44470</v>
      </c>
      <c r="M3" s="34">
        <v>44501</v>
      </c>
      <c r="N3" s="34">
        <v>44531</v>
      </c>
    </row>
    <row r="4" spans="2:14" x14ac:dyDescent="0.2">
      <c r="B4" s="78" t="s">
        <v>110</v>
      </c>
      <c r="C4" s="42"/>
      <c r="D4" s="42">
        <f t="shared" ref="D4:N4" si="0">C15</f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 t="shared" si="0"/>
        <v>0</v>
      </c>
      <c r="M4" s="42">
        <f t="shared" si="0"/>
        <v>0</v>
      </c>
      <c r="N4" s="42">
        <f t="shared" si="0"/>
        <v>-2000</v>
      </c>
    </row>
    <row r="5" spans="2:14" x14ac:dyDescent="0.2">
      <c r="B5" s="78" t="s">
        <v>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>
        <v>3247</v>
      </c>
      <c r="N5" s="42">
        <v>3247</v>
      </c>
    </row>
    <row r="6" spans="2:14" x14ac:dyDescent="0.2">
      <c r="B6" s="78" t="s">
        <v>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>
        <v>3</v>
      </c>
      <c r="N6" s="42">
        <v>3</v>
      </c>
    </row>
    <row r="7" spans="2:14" x14ac:dyDescent="0.2">
      <c r="B7" s="78" t="s">
        <v>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">
      <c r="B8" s="78" t="s">
        <v>9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">
      <c r="B9" s="78" t="s">
        <v>73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74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>
        <v>2450</v>
      </c>
      <c r="N10" s="42">
        <v>2450</v>
      </c>
    </row>
    <row r="11" spans="2:14" x14ac:dyDescent="0.2">
      <c r="B11" s="78" t="s">
        <v>169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5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>
        <v>2000</v>
      </c>
    </row>
    <row r="13" spans="2:14" x14ac:dyDescent="0.2">
      <c r="B13" s="78" t="s">
        <v>6</v>
      </c>
      <c r="C13" s="43">
        <f t="shared" ref="C13:N13" si="1">SUM(C4:C12)</f>
        <v>0</v>
      </c>
      <c r="D13" s="43">
        <f t="shared" si="1"/>
        <v>0</v>
      </c>
      <c r="E13" s="43">
        <f t="shared" si="1"/>
        <v>0</v>
      </c>
      <c r="F13" s="43">
        <f t="shared" si="1"/>
        <v>0</v>
      </c>
      <c r="G13" s="43">
        <f t="shared" si="1"/>
        <v>0</v>
      </c>
      <c r="H13" s="43">
        <f t="shared" si="1"/>
        <v>0</v>
      </c>
      <c r="I13" s="43">
        <f t="shared" si="1"/>
        <v>0</v>
      </c>
      <c r="J13" s="43">
        <f t="shared" si="1"/>
        <v>0</v>
      </c>
      <c r="K13" s="43">
        <f t="shared" si="1"/>
        <v>0</v>
      </c>
      <c r="L13" s="43">
        <f t="shared" si="1"/>
        <v>0</v>
      </c>
      <c r="M13" s="43">
        <f t="shared" si="1"/>
        <v>5700</v>
      </c>
      <c r="N13" s="43">
        <f t="shared" si="1"/>
        <v>5700</v>
      </c>
    </row>
    <row r="14" spans="2:14" ht="13.5" thickBot="1" x14ac:dyDescent="0.25">
      <c r="B14" s="78" t="s">
        <v>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>
        <v>7700</v>
      </c>
      <c r="N14" s="44">
        <v>7700</v>
      </c>
    </row>
    <row r="15" spans="2:14" ht="13.5" thickBot="1" x14ac:dyDescent="0.25">
      <c r="B15" s="78" t="s">
        <v>111</v>
      </c>
      <c r="C15" s="45">
        <f t="shared" ref="C15:N15" si="2">C13-C14</f>
        <v>0</v>
      </c>
      <c r="D15" s="46">
        <f t="shared" si="2"/>
        <v>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0</v>
      </c>
      <c r="L15" s="46">
        <f t="shared" si="2"/>
        <v>0</v>
      </c>
      <c r="M15" s="46">
        <f t="shared" si="2"/>
        <v>-2000</v>
      </c>
      <c r="N15" s="47">
        <f t="shared" si="2"/>
        <v>-2000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3"/>
  <dimension ref="A3:O30"/>
  <sheetViews>
    <sheetView topLeftCell="B1" workbookViewId="0">
      <selection activeCell="O15" sqref="O15"/>
    </sheetView>
  </sheetViews>
  <sheetFormatPr baseColWidth="10" defaultRowHeight="12.75" x14ac:dyDescent="0.2"/>
  <cols>
    <col min="1" max="1" width="35.42578125" customWidth="1"/>
  </cols>
  <sheetData>
    <row r="3" spans="1:15" ht="15.75" x14ac:dyDescent="0.25">
      <c r="A3" s="33"/>
      <c r="B3" s="34">
        <v>45292</v>
      </c>
      <c r="C3" s="34">
        <v>45323</v>
      </c>
      <c r="D3" s="34">
        <v>45352</v>
      </c>
      <c r="E3" s="34">
        <v>45383</v>
      </c>
      <c r="F3" s="34">
        <v>45413</v>
      </c>
      <c r="G3" s="34">
        <v>45444</v>
      </c>
      <c r="H3" s="34">
        <v>45474</v>
      </c>
      <c r="I3" s="34">
        <v>45505</v>
      </c>
      <c r="J3" s="34">
        <v>45536</v>
      </c>
      <c r="K3" s="34">
        <v>45566</v>
      </c>
      <c r="L3" s="34">
        <v>45597</v>
      </c>
      <c r="M3" s="34">
        <v>45627</v>
      </c>
    </row>
    <row r="4" spans="1:15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 t="shared" si="0"/>
        <v>0</v>
      </c>
      <c r="M4" s="42">
        <f t="shared" si="0"/>
        <v>0</v>
      </c>
    </row>
    <row r="5" spans="1:15" x14ac:dyDescent="0.2">
      <c r="A5" s="7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5" x14ac:dyDescent="0.2">
      <c r="A6" s="78" t="s">
        <v>3</v>
      </c>
      <c r="B6" s="42"/>
      <c r="C6" s="42"/>
      <c r="D6" s="42"/>
      <c r="E6" s="42">
        <v>7351</v>
      </c>
      <c r="F6" s="42"/>
      <c r="G6" s="42"/>
      <c r="H6" s="42"/>
      <c r="I6" s="42"/>
      <c r="J6" s="42"/>
      <c r="K6" s="42"/>
      <c r="L6" s="42"/>
      <c r="M6" s="42"/>
    </row>
    <row r="7" spans="1:15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5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5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5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5" x14ac:dyDescent="0.2">
      <c r="A11" s="78" t="s">
        <v>169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5" x14ac:dyDescent="0.2">
      <c r="A12" s="78" t="s">
        <v>5</v>
      </c>
      <c r="B12" s="42"/>
      <c r="C12" s="42"/>
      <c r="D12" s="42"/>
      <c r="E12" s="42">
        <v>2000</v>
      </c>
      <c r="F12" s="42"/>
      <c r="G12" s="42"/>
      <c r="H12" s="42"/>
      <c r="I12" s="42"/>
      <c r="J12" s="42"/>
      <c r="K12" s="42"/>
      <c r="L12" s="42"/>
      <c r="M12" s="42"/>
    </row>
    <row r="13" spans="1:15" x14ac:dyDescent="0.2">
      <c r="A13" s="78" t="s">
        <v>6</v>
      </c>
      <c r="B13" s="43">
        <f t="shared" ref="B13:M13" si="1">SUM(B4:B12)</f>
        <v>0</v>
      </c>
      <c r="C13" s="43">
        <f t="shared" si="1"/>
        <v>0</v>
      </c>
      <c r="D13" s="43">
        <f t="shared" si="1"/>
        <v>0</v>
      </c>
      <c r="E13" s="43">
        <f t="shared" si="1"/>
        <v>9351</v>
      </c>
      <c r="F13" s="43">
        <f t="shared" si="1"/>
        <v>0</v>
      </c>
      <c r="G13" s="43">
        <f t="shared" si="1"/>
        <v>0</v>
      </c>
      <c r="H13" s="43">
        <f t="shared" si="1"/>
        <v>0</v>
      </c>
      <c r="I13" s="43">
        <f t="shared" si="1"/>
        <v>0</v>
      </c>
      <c r="J13" s="43">
        <f t="shared" si="1"/>
        <v>0</v>
      </c>
      <c r="K13" s="43">
        <f t="shared" si="1"/>
        <v>0</v>
      </c>
      <c r="L13" s="43">
        <f t="shared" si="1"/>
        <v>0</v>
      </c>
      <c r="M13" s="43">
        <f t="shared" si="1"/>
        <v>0</v>
      </c>
    </row>
    <row r="14" spans="1:15" ht="13.5" thickBot="1" x14ac:dyDescent="0.25">
      <c r="A14" s="78" t="s">
        <v>7</v>
      </c>
      <c r="B14" s="44"/>
      <c r="C14" s="44"/>
      <c r="D14" s="44"/>
      <c r="E14" s="44">
        <v>9351</v>
      </c>
      <c r="F14" s="44"/>
      <c r="G14" s="44"/>
      <c r="H14" s="44"/>
      <c r="I14" s="44"/>
      <c r="J14" s="44"/>
      <c r="K14" s="44"/>
      <c r="L14" s="44"/>
      <c r="M14" s="44"/>
      <c r="N14">
        <v>40000</v>
      </c>
      <c r="O14" s="179">
        <v>45722</v>
      </c>
    </row>
    <row r="15" spans="1:15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0</v>
      </c>
      <c r="D15" s="46">
        <f t="shared" si="2"/>
        <v>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0</v>
      </c>
      <c r="L15" s="46">
        <f t="shared" si="2"/>
        <v>0</v>
      </c>
      <c r="M15" s="47">
        <f t="shared" si="2"/>
        <v>0</v>
      </c>
    </row>
    <row r="18" spans="1:13" ht="15.75" x14ac:dyDescent="0.25">
      <c r="A18" s="33"/>
      <c r="B18" s="34">
        <v>44197</v>
      </c>
      <c r="C18" s="34">
        <v>44228</v>
      </c>
      <c r="D18" s="34">
        <v>44256</v>
      </c>
      <c r="E18" s="34">
        <v>44287</v>
      </c>
      <c r="F18" s="34">
        <v>44317</v>
      </c>
      <c r="G18" s="34">
        <v>44348</v>
      </c>
      <c r="H18" s="34">
        <v>44378</v>
      </c>
      <c r="I18" s="34">
        <v>44409</v>
      </c>
      <c r="J18" s="34">
        <v>44440</v>
      </c>
      <c r="K18" s="34">
        <v>44470</v>
      </c>
      <c r="L18" s="34">
        <v>44501</v>
      </c>
      <c r="M18" s="34">
        <v>44531</v>
      </c>
    </row>
    <row r="19" spans="1:13" x14ac:dyDescent="0.2">
      <c r="A19" s="78" t="s">
        <v>110</v>
      </c>
      <c r="B19" s="42">
        <v>3557</v>
      </c>
      <c r="C19" s="42">
        <f t="shared" ref="C19:M19" si="3">B30</f>
        <v>4</v>
      </c>
      <c r="D19" s="42">
        <f t="shared" si="3"/>
        <v>0</v>
      </c>
      <c r="E19" s="42">
        <f t="shared" si="3"/>
        <v>2950</v>
      </c>
      <c r="F19" s="42">
        <f t="shared" si="3"/>
        <v>0</v>
      </c>
      <c r="G19" s="42">
        <f t="shared" si="3"/>
        <v>0</v>
      </c>
      <c r="H19" s="42">
        <f t="shared" si="3"/>
        <v>3722.2</v>
      </c>
      <c r="I19" s="42">
        <f t="shared" si="3"/>
        <v>772.19999999999982</v>
      </c>
      <c r="J19" s="42">
        <f t="shared" si="3"/>
        <v>6272.2</v>
      </c>
      <c r="K19" s="42">
        <f t="shared" si="3"/>
        <v>0.2000000000007276</v>
      </c>
      <c r="L19" s="42">
        <f t="shared" si="3"/>
        <v>5500.2000000000007</v>
      </c>
      <c r="M19" s="42">
        <f t="shared" si="3"/>
        <v>0.2000000000007276</v>
      </c>
    </row>
    <row r="20" spans="1:13" x14ac:dyDescent="0.2">
      <c r="A20" s="78" t="s">
        <v>2</v>
      </c>
      <c r="B20" s="42">
        <v>2500</v>
      </c>
      <c r="C20" s="42">
        <v>2186.8000000000002</v>
      </c>
      <c r="D20" s="42">
        <v>2186.8000000000002</v>
      </c>
      <c r="E20" s="42">
        <v>2186.8000000000002</v>
      </c>
      <c r="F20" s="42">
        <v>2186.8000000000002</v>
      </c>
      <c r="G20" s="42">
        <v>2959</v>
      </c>
      <c r="H20" s="42">
        <v>2958.95</v>
      </c>
      <c r="I20" s="42">
        <v>3990</v>
      </c>
      <c r="J20" s="42">
        <v>3990</v>
      </c>
      <c r="K20" s="42">
        <v>3990</v>
      </c>
      <c r="L20" s="42">
        <v>3990</v>
      </c>
      <c r="M20" s="42">
        <v>3990</v>
      </c>
    </row>
    <row r="21" spans="1:13" x14ac:dyDescent="0.2">
      <c r="A21" s="78" t="s">
        <v>3</v>
      </c>
      <c r="B21" s="42">
        <v>1057</v>
      </c>
      <c r="C21" s="42">
        <v>756</v>
      </c>
      <c r="D21" s="42">
        <v>756</v>
      </c>
      <c r="E21" s="42">
        <v>756</v>
      </c>
      <c r="F21" s="42">
        <v>756</v>
      </c>
      <c r="G21" s="42">
        <v>756</v>
      </c>
      <c r="H21" s="42">
        <v>756</v>
      </c>
      <c r="I21" s="42">
        <v>1510</v>
      </c>
      <c r="J21" s="42">
        <v>1510</v>
      </c>
      <c r="K21" s="42">
        <v>1510</v>
      </c>
      <c r="L21" s="42">
        <v>1510</v>
      </c>
      <c r="M21" s="42">
        <v>1510</v>
      </c>
    </row>
    <row r="22" spans="1:13" x14ac:dyDescent="0.2">
      <c r="A22" s="78" t="s">
        <v>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169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5</v>
      </c>
      <c r="B27" s="42"/>
      <c r="C27" s="42">
        <v>3.2</v>
      </c>
      <c r="D27" s="42">
        <v>7.2</v>
      </c>
      <c r="E27" s="42">
        <v>7.2</v>
      </c>
      <c r="F27" s="42">
        <v>7.2</v>
      </c>
      <c r="G27" s="42">
        <v>7.2</v>
      </c>
      <c r="H27" s="42">
        <v>0.05</v>
      </c>
      <c r="I27" s="42"/>
      <c r="J27" s="42">
        <v>3000</v>
      </c>
      <c r="K27" s="42"/>
      <c r="L27" s="42">
        <v>1500</v>
      </c>
      <c r="M27" s="42">
        <v>1500</v>
      </c>
    </row>
    <row r="28" spans="1:13" x14ac:dyDescent="0.2">
      <c r="A28" s="78" t="s">
        <v>6</v>
      </c>
      <c r="B28" s="43">
        <f t="shared" ref="B28:M28" si="4">SUM(B19:B27)</f>
        <v>7114</v>
      </c>
      <c r="C28" s="43">
        <f t="shared" si="4"/>
        <v>2950</v>
      </c>
      <c r="D28" s="43">
        <f t="shared" si="4"/>
        <v>2950</v>
      </c>
      <c r="E28" s="43">
        <f t="shared" si="4"/>
        <v>5900</v>
      </c>
      <c r="F28" s="43">
        <f t="shared" si="4"/>
        <v>2950</v>
      </c>
      <c r="G28" s="43">
        <f t="shared" si="4"/>
        <v>3722.2</v>
      </c>
      <c r="H28" s="43">
        <f t="shared" si="4"/>
        <v>7437.2</v>
      </c>
      <c r="I28" s="43">
        <f t="shared" si="4"/>
        <v>6272.2</v>
      </c>
      <c r="J28" s="43">
        <f t="shared" si="4"/>
        <v>14772.2</v>
      </c>
      <c r="K28" s="43">
        <f t="shared" si="4"/>
        <v>5500.2000000000007</v>
      </c>
      <c r="L28" s="43">
        <f t="shared" si="4"/>
        <v>12500.2</v>
      </c>
      <c r="M28" s="43">
        <f t="shared" si="4"/>
        <v>7000.2000000000007</v>
      </c>
    </row>
    <row r="29" spans="1:13" ht="13.5" thickBot="1" x14ac:dyDescent="0.25">
      <c r="A29" s="78" t="s">
        <v>7</v>
      </c>
      <c r="B29" s="44">
        <v>7110</v>
      </c>
      <c r="C29" s="44">
        <v>2950</v>
      </c>
      <c r="D29" s="44"/>
      <c r="E29" s="44">
        <v>5900</v>
      </c>
      <c r="F29" s="44">
        <v>2950</v>
      </c>
      <c r="G29" s="44"/>
      <c r="H29" s="44">
        <v>6665</v>
      </c>
      <c r="I29" s="44"/>
      <c r="J29" s="44">
        <f>12772+2000</f>
        <v>14772</v>
      </c>
      <c r="K29" s="44"/>
      <c r="L29" s="44">
        <v>12500</v>
      </c>
      <c r="M29" s="44"/>
    </row>
    <row r="30" spans="1:13" ht="13.5" thickBot="1" x14ac:dyDescent="0.25">
      <c r="A30" s="78" t="s">
        <v>111</v>
      </c>
      <c r="B30" s="45">
        <f t="shared" ref="B30:M30" si="5">B28-B29</f>
        <v>4</v>
      </c>
      <c r="C30" s="46">
        <f t="shared" si="5"/>
        <v>0</v>
      </c>
      <c r="D30" s="46">
        <f t="shared" si="5"/>
        <v>2950</v>
      </c>
      <c r="E30" s="46">
        <f t="shared" si="5"/>
        <v>0</v>
      </c>
      <c r="F30" s="46">
        <f t="shared" si="5"/>
        <v>0</v>
      </c>
      <c r="G30" s="46">
        <f t="shared" si="5"/>
        <v>3722.2</v>
      </c>
      <c r="H30" s="46">
        <f t="shared" si="5"/>
        <v>772.19999999999982</v>
      </c>
      <c r="I30" s="46">
        <f t="shared" si="5"/>
        <v>6272.2</v>
      </c>
      <c r="J30" s="46">
        <f t="shared" si="5"/>
        <v>0.2000000000007276</v>
      </c>
      <c r="K30" s="46">
        <f t="shared" si="5"/>
        <v>5500.2000000000007</v>
      </c>
      <c r="L30" s="46">
        <f t="shared" si="5"/>
        <v>0.2000000000007276</v>
      </c>
      <c r="M30" s="47">
        <f t="shared" si="5"/>
        <v>7000.2000000000007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4"/>
  <dimension ref="A3:M33"/>
  <sheetViews>
    <sheetView topLeftCell="A13" workbookViewId="0">
      <selection activeCell="F33" sqref="F33"/>
    </sheetView>
  </sheetViews>
  <sheetFormatPr baseColWidth="10" defaultRowHeight="12.75" x14ac:dyDescent="0.2"/>
  <cols>
    <col min="1" max="1" width="34.140625" customWidth="1"/>
    <col min="8" max="8" width="12.5703125" bestFit="1" customWidth="1"/>
    <col min="11" max="11" width="12.140625" bestFit="1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ht="15.75" x14ac:dyDescent="0.25">
      <c r="A4" s="33"/>
      <c r="B4" s="34">
        <v>45658</v>
      </c>
      <c r="C4" s="34">
        <v>45689</v>
      </c>
      <c r="D4" s="34">
        <v>45717</v>
      </c>
      <c r="E4" s="34">
        <v>45748</v>
      </c>
      <c r="F4" s="34">
        <v>45778</v>
      </c>
      <c r="G4" s="34">
        <v>45809</v>
      </c>
      <c r="H4" s="34">
        <v>45839</v>
      </c>
      <c r="I4" s="34">
        <v>45870</v>
      </c>
      <c r="J4" s="34">
        <v>45901</v>
      </c>
      <c r="K4" s="34">
        <v>45931</v>
      </c>
      <c r="L4" s="34">
        <v>45962</v>
      </c>
      <c r="M4" s="34">
        <v>45992</v>
      </c>
    </row>
    <row r="5" spans="1:13" x14ac:dyDescent="0.2">
      <c r="A5" s="65" t="s">
        <v>110</v>
      </c>
      <c r="B5" s="69">
        <v>143900</v>
      </c>
      <c r="C5" s="69">
        <f t="shared" ref="C5:M5" si="0">B16</f>
        <v>244200</v>
      </c>
      <c r="D5" s="69">
        <f t="shared" si="0"/>
        <v>0</v>
      </c>
      <c r="E5" s="69">
        <f t="shared" si="0"/>
        <v>97300</v>
      </c>
      <c r="F5" s="69">
        <f t="shared" si="0"/>
        <v>194600</v>
      </c>
      <c r="G5" s="69">
        <f t="shared" si="0"/>
        <v>0</v>
      </c>
      <c r="H5" s="69">
        <f t="shared" si="0"/>
        <v>157300</v>
      </c>
      <c r="I5" s="69">
        <f t="shared" si="0"/>
        <v>0</v>
      </c>
      <c r="J5" s="69">
        <f t="shared" si="0"/>
        <v>-130</v>
      </c>
      <c r="K5" s="69">
        <f t="shared" si="0"/>
        <v>184170</v>
      </c>
      <c r="L5" s="69">
        <f t="shared" si="0"/>
        <v>368470</v>
      </c>
      <c r="M5" s="69">
        <f t="shared" si="0"/>
        <v>552770</v>
      </c>
    </row>
    <row r="6" spans="1:13" x14ac:dyDescent="0.2">
      <c r="A6" s="65" t="s">
        <v>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>
        <v>3000</v>
      </c>
      <c r="C7" s="69">
        <v>110000</v>
      </c>
      <c r="D7" s="69"/>
      <c r="E7" s="69"/>
      <c r="F7" s="69"/>
      <c r="G7" s="69">
        <v>55000</v>
      </c>
      <c r="H7" s="69">
        <v>120000</v>
      </c>
      <c r="I7" s="69">
        <v>170000</v>
      </c>
      <c r="J7" s="69"/>
      <c r="K7" s="69"/>
      <c r="L7" s="69"/>
      <c r="M7" s="69">
        <v>46000</v>
      </c>
    </row>
    <row r="8" spans="1:13" x14ac:dyDescent="0.2">
      <c r="A8" s="65" t="s">
        <v>4</v>
      </c>
      <c r="B8" s="69">
        <v>22300</v>
      </c>
      <c r="C8" s="69">
        <v>22300</v>
      </c>
      <c r="D8" s="69">
        <v>22300</v>
      </c>
      <c r="E8" s="69">
        <v>22300</v>
      </c>
      <c r="F8" s="69">
        <v>22300</v>
      </c>
      <c r="G8" s="69">
        <v>22300</v>
      </c>
      <c r="H8" s="69">
        <v>22800</v>
      </c>
      <c r="I8" s="69">
        <v>29870</v>
      </c>
      <c r="J8" s="69">
        <v>30000</v>
      </c>
      <c r="K8" s="69">
        <v>30000</v>
      </c>
      <c r="L8" s="69">
        <v>30000</v>
      </c>
      <c r="M8" s="69">
        <v>30000</v>
      </c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499</v>
      </c>
      <c r="B10" s="69"/>
      <c r="C10" s="69"/>
      <c r="D10" s="69"/>
      <c r="E10" s="69"/>
      <c r="F10" s="69"/>
      <c r="G10" s="69"/>
      <c r="H10" s="69"/>
      <c r="I10" s="69"/>
      <c r="J10" s="69">
        <v>44300</v>
      </c>
      <c r="K10" s="69">
        <v>44300</v>
      </c>
      <c r="L10" s="69">
        <v>44300</v>
      </c>
      <c r="M10" s="69">
        <v>44300</v>
      </c>
    </row>
    <row r="11" spans="1:13" x14ac:dyDescent="0.2">
      <c r="A11" s="65" t="s">
        <v>359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498</v>
      </c>
      <c r="B12" s="69"/>
      <c r="C12" s="69"/>
      <c r="D12" s="69"/>
      <c r="E12" s="69"/>
      <c r="F12" s="69">
        <v>100</v>
      </c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>
        <v>75000</v>
      </c>
      <c r="C13" s="69">
        <v>75000</v>
      </c>
      <c r="D13" s="69">
        <v>75000</v>
      </c>
      <c r="E13" s="69">
        <v>75000</v>
      </c>
      <c r="F13" s="69">
        <v>75000</v>
      </c>
      <c r="G13" s="69">
        <v>80000</v>
      </c>
      <c r="H13" s="69">
        <v>80000</v>
      </c>
      <c r="I13" s="69">
        <v>100000</v>
      </c>
      <c r="J13" s="69">
        <v>110000</v>
      </c>
      <c r="K13" s="69">
        <v>110000</v>
      </c>
      <c r="L13" s="69">
        <v>110000</v>
      </c>
      <c r="M13" s="69">
        <v>120000</v>
      </c>
    </row>
    <row r="14" spans="1:13" x14ac:dyDescent="0.2">
      <c r="A14" s="65" t="s">
        <v>6</v>
      </c>
      <c r="B14" s="70">
        <f t="shared" ref="B14:M14" si="1">SUM(B5:B13)</f>
        <v>244200</v>
      </c>
      <c r="C14" s="70">
        <f t="shared" si="1"/>
        <v>451500</v>
      </c>
      <c r="D14" s="70">
        <f t="shared" si="1"/>
        <v>97300</v>
      </c>
      <c r="E14" s="70">
        <f t="shared" si="1"/>
        <v>194600</v>
      </c>
      <c r="F14" s="70">
        <f t="shared" si="1"/>
        <v>292000</v>
      </c>
      <c r="G14" s="70">
        <f t="shared" si="1"/>
        <v>157300</v>
      </c>
      <c r="H14" s="70">
        <f t="shared" si="1"/>
        <v>380100</v>
      </c>
      <c r="I14" s="70">
        <f t="shared" si="1"/>
        <v>299870</v>
      </c>
      <c r="J14" s="70">
        <f t="shared" si="1"/>
        <v>184170</v>
      </c>
      <c r="K14" s="70">
        <f t="shared" si="1"/>
        <v>368470</v>
      </c>
      <c r="L14" s="70">
        <f t="shared" si="1"/>
        <v>552770</v>
      </c>
      <c r="M14" s="70">
        <f t="shared" si="1"/>
        <v>793070</v>
      </c>
    </row>
    <row r="15" spans="1:13" ht="13.5" thickBot="1" x14ac:dyDescent="0.25">
      <c r="A15" s="65" t="s">
        <v>7</v>
      </c>
      <c r="B15" s="71"/>
      <c r="C15" s="71">
        <v>451500</v>
      </c>
      <c r="D15" s="71"/>
      <c r="E15" s="71"/>
      <c r="F15" s="71">
        <v>292000</v>
      </c>
      <c r="G15" s="71"/>
      <c r="H15" s="71">
        <v>380100</v>
      </c>
      <c r="I15" s="71">
        <v>300000</v>
      </c>
      <c r="J15" s="71"/>
      <c r="K15" s="71"/>
      <c r="L15" s="71"/>
      <c r="M15" s="71">
        <v>370000</v>
      </c>
    </row>
    <row r="16" spans="1:13" ht="13.5" thickBot="1" x14ac:dyDescent="0.25">
      <c r="A16" s="65" t="s">
        <v>111</v>
      </c>
      <c r="B16" s="75">
        <f t="shared" ref="B16:M16" si="2">B14-B15</f>
        <v>244200</v>
      </c>
      <c r="C16" s="76">
        <f t="shared" si="2"/>
        <v>0</v>
      </c>
      <c r="D16" s="76">
        <f t="shared" si="2"/>
        <v>97300</v>
      </c>
      <c r="E16" s="76">
        <f t="shared" si="2"/>
        <v>194600</v>
      </c>
      <c r="F16" s="76">
        <f t="shared" si="2"/>
        <v>0</v>
      </c>
      <c r="G16" s="76">
        <f t="shared" si="2"/>
        <v>157300</v>
      </c>
      <c r="H16" s="76">
        <f t="shared" si="2"/>
        <v>0</v>
      </c>
      <c r="I16" s="76">
        <f t="shared" si="2"/>
        <v>-130</v>
      </c>
      <c r="J16" s="76">
        <f t="shared" si="2"/>
        <v>184170</v>
      </c>
      <c r="K16" s="76">
        <f t="shared" si="2"/>
        <v>368470</v>
      </c>
      <c r="L16" s="76">
        <f t="shared" si="2"/>
        <v>552770</v>
      </c>
      <c r="M16" s="77">
        <f t="shared" si="2"/>
        <v>423070</v>
      </c>
    </row>
    <row r="17" spans="1:13" x14ac:dyDescent="0.2">
      <c r="D17" s="128">
        <v>44281</v>
      </c>
    </row>
    <row r="20" spans="1:13" ht="15.75" x14ac:dyDescent="0.25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ht="15.75" x14ac:dyDescent="0.25">
      <c r="A21" s="33"/>
      <c r="B21" s="34">
        <v>46023</v>
      </c>
      <c r="C21" s="34">
        <v>46054</v>
      </c>
      <c r="D21" s="34">
        <v>46082</v>
      </c>
      <c r="E21" s="34">
        <v>46113</v>
      </c>
      <c r="F21" s="34">
        <v>46143</v>
      </c>
      <c r="G21" s="34">
        <v>46174</v>
      </c>
      <c r="H21" s="34">
        <v>46204</v>
      </c>
      <c r="I21" s="34">
        <v>46235</v>
      </c>
      <c r="J21" s="34">
        <v>46266</v>
      </c>
      <c r="K21" s="34">
        <v>46296</v>
      </c>
      <c r="L21" s="34">
        <v>46327</v>
      </c>
      <c r="M21" s="34">
        <v>46357</v>
      </c>
    </row>
    <row r="22" spans="1:13" x14ac:dyDescent="0.2">
      <c r="A22" s="65" t="s">
        <v>110</v>
      </c>
      <c r="B22" s="69">
        <v>423070</v>
      </c>
      <c r="C22" s="69">
        <f t="shared" ref="C22:M22" si="3">B33</f>
        <v>-1630</v>
      </c>
      <c r="D22" s="69">
        <f t="shared" si="3"/>
        <v>348870</v>
      </c>
      <c r="E22" s="69">
        <f t="shared" si="3"/>
        <v>-549</v>
      </c>
      <c r="F22" s="69">
        <f t="shared" si="3"/>
        <v>250651</v>
      </c>
      <c r="G22" s="69">
        <f t="shared" si="3"/>
        <v>0</v>
      </c>
      <c r="H22" s="69">
        <f t="shared" si="3"/>
        <v>0</v>
      </c>
      <c r="I22" s="69">
        <f t="shared" si="3"/>
        <v>0</v>
      </c>
      <c r="J22" s="69">
        <f t="shared" si="3"/>
        <v>0</v>
      </c>
      <c r="K22" s="69">
        <f t="shared" si="3"/>
        <v>0</v>
      </c>
      <c r="L22" s="69">
        <f t="shared" si="3"/>
        <v>0</v>
      </c>
      <c r="M22" s="69">
        <f t="shared" si="3"/>
        <v>0</v>
      </c>
    </row>
    <row r="23" spans="1:13" x14ac:dyDescent="0.2">
      <c r="A23" s="65" t="s">
        <v>2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3</v>
      </c>
      <c r="B24" s="69">
        <v>130300</v>
      </c>
      <c r="C24" s="69">
        <v>120000</v>
      </c>
      <c r="D24" s="69">
        <v>25000</v>
      </c>
      <c r="E24" s="69">
        <v>12200</v>
      </c>
      <c r="F24" s="69">
        <v>9000</v>
      </c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4</v>
      </c>
      <c r="B25" s="69">
        <v>35000</v>
      </c>
      <c r="C25" s="69">
        <v>28500</v>
      </c>
      <c r="D25" s="69">
        <v>34581</v>
      </c>
      <c r="E25" s="69">
        <v>37000</v>
      </c>
      <c r="F25" s="69">
        <v>37000</v>
      </c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73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481</v>
      </c>
      <c r="B27" s="69"/>
      <c r="C27" s="69">
        <v>52000</v>
      </c>
      <c r="D27" s="69">
        <v>52000</v>
      </c>
      <c r="E27" s="69">
        <v>52000</v>
      </c>
      <c r="F27" s="69">
        <v>52000</v>
      </c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685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349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5</v>
      </c>
      <c r="B30" s="69">
        <v>130000</v>
      </c>
      <c r="C30" s="69">
        <v>150000</v>
      </c>
      <c r="D30" s="69">
        <v>150000</v>
      </c>
      <c r="E30" s="69">
        <v>150000</v>
      </c>
      <c r="F30" s="69">
        <v>150000</v>
      </c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6</v>
      </c>
      <c r="B31" s="70">
        <f t="shared" ref="B31:M31" si="4">SUM(B22:B30)</f>
        <v>718370</v>
      </c>
      <c r="C31" s="70">
        <f t="shared" si="4"/>
        <v>348870</v>
      </c>
      <c r="D31" s="70">
        <f t="shared" si="4"/>
        <v>610451</v>
      </c>
      <c r="E31" s="70">
        <f t="shared" si="4"/>
        <v>250651</v>
      </c>
      <c r="F31" s="70">
        <f t="shared" si="4"/>
        <v>498651</v>
      </c>
      <c r="G31" s="70">
        <f t="shared" si="4"/>
        <v>0</v>
      </c>
      <c r="H31" s="70">
        <f t="shared" si="4"/>
        <v>0</v>
      </c>
      <c r="I31" s="70">
        <f t="shared" si="4"/>
        <v>0</v>
      </c>
      <c r="J31" s="70">
        <f t="shared" si="4"/>
        <v>0</v>
      </c>
      <c r="K31" s="70">
        <f t="shared" si="4"/>
        <v>0</v>
      </c>
      <c r="L31" s="70">
        <f t="shared" si="4"/>
        <v>0</v>
      </c>
      <c r="M31" s="70">
        <f t="shared" si="4"/>
        <v>0</v>
      </c>
    </row>
    <row r="32" spans="1:13" ht="13.5" thickBot="1" x14ac:dyDescent="0.25">
      <c r="A32" s="65" t="s">
        <v>7</v>
      </c>
      <c r="B32" s="71">
        <f>350000+170000+200000</f>
        <v>720000</v>
      </c>
      <c r="C32" s="71"/>
      <c r="D32" s="71">
        <v>611000</v>
      </c>
      <c r="E32" s="71"/>
      <c r="F32" s="71">
        <v>498651</v>
      </c>
      <c r="G32" s="71"/>
      <c r="H32" s="71"/>
      <c r="I32" s="71"/>
      <c r="J32" s="71"/>
      <c r="K32" s="71"/>
      <c r="L32" s="71"/>
      <c r="M32" s="71"/>
    </row>
    <row r="33" spans="1:13" ht="13.5" thickBot="1" x14ac:dyDescent="0.25">
      <c r="A33" s="65" t="s">
        <v>111</v>
      </c>
      <c r="B33" s="75">
        <f t="shared" ref="B33:M33" si="5">B31-B32</f>
        <v>-1630</v>
      </c>
      <c r="C33" s="76">
        <f t="shared" si="5"/>
        <v>348870</v>
      </c>
      <c r="D33" s="76">
        <f t="shared" si="5"/>
        <v>-549</v>
      </c>
      <c r="E33" s="76">
        <f t="shared" si="5"/>
        <v>250651</v>
      </c>
      <c r="F33" s="76">
        <f t="shared" si="5"/>
        <v>0</v>
      </c>
      <c r="G33" s="76">
        <f t="shared" si="5"/>
        <v>0</v>
      </c>
      <c r="H33" s="76">
        <f t="shared" si="5"/>
        <v>0</v>
      </c>
      <c r="I33" s="76">
        <f t="shared" si="5"/>
        <v>0</v>
      </c>
      <c r="J33" s="76">
        <f t="shared" si="5"/>
        <v>0</v>
      </c>
      <c r="K33" s="76">
        <f t="shared" si="5"/>
        <v>0</v>
      </c>
      <c r="L33" s="76">
        <f t="shared" si="5"/>
        <v>0</v>
      </c>
      <c r="M33" s="77">
        <f t="shared" si="5"/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5"/>
  <dimension ref="A4:M51"/>
  <sheetViews>
    <sheetView topLeftCell="A16" workbookViewId="0">
      <selection activeCell="F34" sqref="F34"/>
    </sheetView>
  </sheetViews>
  <sheetFormatPr baseColWidth="10" defaultRowHeight="12.75" x14ac:dyDescent="0.2"/>
  <cols>
    <col min="1" max="1" width="34.5703125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2">
      <c r="A6" s="78" t="s">
        <v>110</v>
      </c>
      <c r="B6" s="42">
        <v>10018</v>
      </c>
      <c r="C6" s="42">
        <f>B17</f>
        <v>23518</v>
      </c>
      <c r="D6" s="42">
        <f t="shared" ref="D6:M6" si="0">C17</f>
        <v>46318</v>
      </c>
      <c r="E6" s="42">
        <f t="shared" si="0"/>
        <v>69118</v>
      </c>
      <c r="F6" s="42">
        <f t="shared" si="0"/>
        <v>91918</v>
      </c>
      <c r="G6" s="42">
        <f t="shared" si="0"/>
        <v>114718</v>
      </c>
      <c r="H6" s="42">
        <f t="shared" si="0"/>
        <v>122518</v>
      </c>
      <c r="I6" s="42">
        <f t="shared" si="0"/>
        <v>123518</v>
      </c>
      <c r="J6" s="42">
        <f t="shared" si="0"/>
        <v>114518</v>
      </c>
      <c r="K6" s="42">
        <f>J17</f>
        <v>105518</v>
      </c>
      <c r="L6" s="42">
        <f t="shared" si="0"/>
        <v>96518</v>
      </c>
      <c r="M6" s="42">
        <f t="shared" si="0"/>
        <v>87518</v>
      </c>
    </row>
    <row r="7" spans="1:13" x14ac:dyDescent="0.2">
      <c r="A7" s="78" t="s">
        <v>369</v>
      </c>
      <c r="B7" s="42">
        <v>10700</v>
      </c>
      <c r="C7" s="42">
        <v>15000</v>
      </c>
      <c r="D7" s="42">
        <v>15000</v>
      </c>
      <c r="E7" s="42">
        <v>15000</v>
      </c>
      <c r="F7" s="42">
        <v>15000</v>
      </c>
      <c r="G7" s="42">
        <v>15000</v>
      </c>
      <c r="H7" s="42">
        <v>15000</v>
      </c>
      <c r="I7" s="42">
        <v>15000</v>
      </c>
      <c r="J7" s="42">
        <v>15000</v>
      </c>
      <c r="K7" s="42">
        <v>15000</v>
      </c>
      <c r="L7" s="42">
        <v>15000</v>
      </c>
      <c r="M7" s="42">
        <v>15000</v>
      </c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>
        <v>22800</v>
      </c>
      <c r="C9" s="42">
        <v>22800</v>
      </c>
      <c r="D9" s="42">
        <v>22800</v>
      </c>
      <c r="E9" s="42">
        <v>22800</v>
      </c>
      <c r="F9" s="42">
        <v>22800</v>
      </c>
      <c r="G9" s="42">
        <v>22800</v>
      </c>
      <c r="H9" s="42">
        <v>26000</v>
      </c>
      <c r="I9" s="42">
        <v>26000</v>
      </c>
      <c r="J9" s="42">
        <v>26000</v>
      </c>
      <c r="K9" s="42">
        <v>26000</v>
      </c>
      <c r="L9" s="42">
        <v>26000</v>
      </c>
      <c r="M9" s="42">
        <v>26000</v>
      </c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25000</v>
      </c>
      <c r="C14" s="42">
        <v>25000</v>
      </c>
      <c r="D14" s="42">
        <v>25000</v>
      </c>
      <c r="E14" s="42">
        <v>25000</v>
      </c>
      <c r="F14" s="42">
        <v>30000</v>
      </c>
      <c r="G14" s="42">
        <v>30000</v>
      </c>
      <c r="H14" s="42">
        <v>30000</v>
      </c>
      <c r="I14" s="42">
        <v>30000</v>
      </c>
      <c r="J14" s="42">
        <v>30000</v>
      </c>
      <c r="K14" s="42">
        <v>30000</v>
      </c>
      <c r="L14" s="42">
        <v>30000</v>
      </c>
      <c r="M14" s="42">
        <v>30000</v>
      </c>
    </row>
    <row r="15" spans="1:13" x14ac:dyDescent="0.2">
      <c r="A15" s="78" t="s">
        <v>6</v>
      </c>
      <c r="B15" s="43">
        <f>SUM(B6:B14)</f>
        <v>68518</v>
      </c>
      <c r="C15" s="43">
        <f>SUM(C6:C14)</f>
        <v>86318</v>
      </c>
      <c r="D15" s="43">
        <f t="shared" ref="D15:M15" si="1">SUM(D6:D14)</f>
        <v>109118</v>
      </c>
      <c r="E15" s="43">
        <f t="shared" si="1"/>
        <v>131918</v>
      </c>
      <c r="F15" s="43">
        <f t="shared" si="1"/>
        <v>159718</v>
      </c>
      <c r="G15" s="43">
        <f t="shared" si="1"/>
        <v>182518</v>
      </c>
      <c r="H15" s="43">
        <f t="shared" si="1"/>
        <v>193518</v>
      </c>
      <c r="I15" s="43">
        <f t="shared" si="1"/>
        <v>194518</v>
      </c>
      <c r="J15" s="43">
        <f t="shared" si="1"/>
        <v>185518</v>
      </c>
      <c r="K15" s="43">
        <f t="shared" si="1"/>
        <v>176518</v>
      </c>
      <c r="L15" s="43">
        <f t="shared" si="1"/>
        <v>167518</v>
      </c>
      <c r="M15" s="43">
        <f t="shared" si="1"/>
        <v>158518</v>
      </c>
    </row>
    <row r="16" spans="1:13" x14ac:dyDescent="0.2">
      <c r="A16" s="78" t="s">
        <v>7</v>
      </c>
      <c r="B16" s="44">
        <v>45000</v>
      </c>
      <c r="C16" s="44">
        <v>40000</v>
      </c>
      <c r="D16" s="44">
        <v>40000</v>
      </c>
      <c r="E16" s="44">
        <v>40000</v>
      </c>
      <c r="F16" s="44">
        <v>45000</v>
      </c>
      <c r="G16" s="44">
        <v>60000</v>
      </c>
      <c r="H16" s="44">
        <v>70000</v>
      </c>
      <c r="I16" s="44">
        <v>80000</v>
      </c>
      <c r="J16" s="44">
        <v>80000</v>
      </c>
      <c r="K16" s="44">
        <v>80000</v>
      </c>
      <c r="L16" s="44">
        <v>80000</v>
      </c>
      <c r="M16" s="44">
        <v>80000</v>
      </c>
    </row>
    <row r="17" spans="1:13" x14ac:dyDescent="0.2">
      <c r="A17" s="78" t="s">
        <v>111</v>
      </c>
      <c r="B17" s="43">
        <f>B15-B16</f>
        <v>23518</v>
      </c>
      <c r="C17" s="43">
        <f>C15-C16</f>
        <v>46318</v>
      </c>
      <c r="D17" s="43">
        <f t="shared" ref="D17:M17" si="2">D15-D16</f>
        <v>69118</v>
      </c>
      <c r="E17" s="43">
        <f t="shared" si="2"/>
        <v>91918</v>
      </c>
      <c r="F17" s="43">
        <f t="shared" si="2"/>
        <v>114718</v>
      </c>
      <c r="G17" s="43">
        <f t="shared" si="2"/>
        <v>122518</v>
      </c>
      <c r="H17" s="43">
        <f t="shared" si="2"/>
        <v>123518</v>
      </c>
      <c r="I17" s="43">
        <f t="shared" si="2"/>
        <v>114518</v>
      </c>
      <c r="J17" s="43">
        <f t="shared" si="2"/>
        <v>105518</v>
      </c>
      <c r="K17" s="43">
        <f t="shared" si="2"/>
        <v>96518</v>
      </c>
      <c r="L17" s="43">
        <f t="shared" si="2"/>
        <v>87518</v>
      </c>
      <c r="M17" s="43">
        <f t="shared" si="2"/>
        <v>78518</v>
      </c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78"/>
      <c r="B22" s="79">
        <v>46023</v>
      </c>
      <c r="C22" s="79">
        <v>46054</v>
      </c>
      <c r="D22" s="79">
        <v>46082</v>
      </c>
      <c r="E22" s="79">
        <v>46113</v>
      </c>
      <c r="F22" s="79">
        <v>46143</v>
      </c>
      <c r="G22" s="79">
        <v>46174</v>
      </c>
      <c r="H22" s="79">
        <v>46204</v>
      </c>
      <c r="I22" s="79">
        <v>46235</v>
      </c>
      <c r="J22" s="79">
        <v>46266</v>
      </c>
      <c r="K22" s="79">
        <v>46296</v>
      </c>
      <c r="L22" s="79">
        <v>46327</v>
      </c>
      <c r="M22" s="79">
        <v>46357</v>
      </c>
    </row>
    <row r="23" spans="1:13" x14ac:dyDescent="0.2">
      <c r="A23" s="78" t="s">
        <v>110</v>
      </c>
      <c r="B23" s="42">
        <v>78518</v>
      </c>
      <c r="C23" s="42">
        <f>B34</f>
        <v>167518</v>
      </c>
      <c r="D23" s="42">
        <f t="shared" ref="D23:M23" si="3">C34</f>
        <v>86518</v>
      </c>
      <c r="E23" s="42">
        <f t="shared" si="3"/>
        <v>175518</v>
      </c>
      <c r="F23" s="42">
        <f t="shared" si="3"/>
        <v>264518</v>
      </c>
      <c r="G23" s="42">
        <f t="shared" si="3"/>
        <v>254518</v>
      </c>
      <c r="H23" s="42">
        <f t="shared" si="3"/>
        <v>254518</v>
      </c>
      <c r="I23" s="42">
        <f t="shared" si="3"/>
        <v>254518</v>
      </c>
      <c r="J23" s="42">
        <f t="shared" si="3"/>
        <v>254518</v>
      </c>
      <c r="K23" s="42">
        <f t="shared" si="3"/>
        <v>254518</v>
      </c>
      <c r="L23" s="42">
        <f t="shared" si="3"/>
        <v>254518</v>
      </c>
      <c r="M23" s="42">
        <f t="shared" si="3"/>
        <v>254518</v>
      </c>
    </row>
    <row r="24" spans="1:13" x14ac:dyDescent="0.2">
      <c r="A24" s="78" t="s">
        <v>369</v>
      </c>
      <c r="B24" s="42">
        <v>19000</v>
      </c>
      <c r="C24" s="42">
        <v>19000</v>
      </c>
      <c r="D24" s="42">
        <v>19000</v>
      </c>
      <c r="E24" s="42">
        <v>19000</v>
      </c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>
        <v>30000</v>
      </c>
      <c r="C26" s="42">
        <v>30000</v>
      </c>
      <c r="D26" s="42">
        <v>30000</v>
      </c>
      <c r="E26" s="42">
        <v>30000</v>
      </c>
      <c r="F26" s="42">
        <v>30000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40000</v>
      </c>
      <c r="C31" s="42">
        <v>40000</v>
      </c>
      <c r="D31" s="42">
        <v>40000</v>
      </c>
      <c r="E31" s="42">
        <v>40000</v>
      </c>
      <c r="F31" s="42">
        <v>40000</v>
      </c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6</v>
      </c>
      <c r="B32" s="43">
        <f>SUM(B23:B31)</f>
        <v>167518</v>
      </c>
      <c r="C32" s="43">
        <f>SUM(C23:C31)</f>
        <v>256518</v>
      </c>
      <c r="D32" s="43">
        <f t="shared" ref="D32:M32" si="4">SUM(D23:D31)</f>
        <v>175518</v>
      </c>
      <c r="E32" s="43">
        <f t="shared" si="4"/>
        <v>264518</v>
      </c>
      <c r="F32" s="43">
        <f t="shared" si="4"/>
        <v>334518</v>
      </c>
      <c r="G32" s="43">
        <f t="shared" si="4"/>
        <v>254518</v>
      </c>
      <c r="H32" s="43">
        <f t="shared" si="4"/>
        <v>254518</v>
      </c>
      <c r="I32" s="43">
        <f t="shared" si="4"/>
        <v>254518</v>
      </c>
      <c r="J32" s="43">
        <f t="shared" si="4"/>
        <v>254518</v>
      </c>
      <c r="K32" s="43">
        <f t="shared" si="4"/>
        <v>254518</v>
      </c>
      <c r="L32" s="43">
        <f t="shared" si="4"/>
        <v>254518</v>
      </c>
      <c r="M32" s="43">
        <f t="shared" si="4"/>
        <v>254518</v>
      </c>
    </row>
    <row r="33" spans="1:13" x14ac:dyDescent="0.2">
      <c r="A33" s="78" t="s">
        <v>7</v>
      </c>
      <c r="B33" s="44"/>
      <c r="C33" s="44">
        <f>90000+80000</f>
        <v>170000</v>
      </c>
      <c r="D33" s="44"/>
      <c r="E33" s="44"/>
      <c r="F33" s="44">
        <v>80000</v>
      </c>
      <c r="G33" s="44"/>
      <c r="H33" s="44"/>
      <c r="I33" s="44"/>
      <c r="J33" s="44"/>
      <c r="K33" s="44"/>
      <c r="L33" s="44"/>
      <c r="M33" s="44"/>
    </row>
    <row r="34" spans="1:13" x14ac:dyDescent="0.2">
      <c r="A34" s="78" t="s">
        <v>111</v>
      </c>
      <c r="B34" s="43">
        <f>B32-B33</f>
        <v>167518</v>
      </c>
      <c r="C34" s="43">
        <f>C32-C33</f>
        <v>86518</v>
      </c>
      <c r="D34" s="43">
        <f t="shared" ref="D34:M34" si="5">D32-D33</f>
        <v>175518</v>
      </c>
      <c r="E34" s="43">
        <f t="shared" si="5"/>
        <v>264518</v>
      </c>
      <c r="F34" s="43">
        <f t="shared" si="5"/>
        <v>254518</v>
      </c>
      <c r="G34" s="43">
        <f t="shared" si="5"/>
        <v>254518</v>
      </c>
      <c r="H34" s="43">
        <f t="shared" si="5"/>
        <v>254518</v>
      </c>
      <c r="I34" s="43">
        <f t="shared" si="5"/>
        <v>254518</v>
      </c>
      <c r="J34" s="43">
        <f t="shared" si="5"/>
        <v>254518</v>
      </c>
      <c r="K34" s="43">
        <f t="shared" si="5"/>
        <v>254518</v>
      </c>
      <c r="L34" s="43">
        <f t="shared" si="5"/>
        <v>254518</v>
      </c>
      <c r="M34" s="43">
        <f t="shared" si="5"/>
        <v>254518</v>
      </c>
    </row>
    <row r="38" spans="1:13" ht="15.75" x14ac:dyDescent="0.25">
      <c r="A38" s="31" t="s">
        <v>0</v>
      </c>
      <c r="B38" s="31" t="s">
        <v>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">
      <c r="A39" s="78"/>
      <c r="B39" s="79">
        <v>43466</v>
      </c>
      <c r="C39" s="79">
        <v>43497</v>
      </c>
      <c r="D39" s="79">
        <v>43525</v>
      </c>
      <c r="E39" s="79">
        <v>43556</v>
      </c>
      <c r="F39" s="79">
        <v>43586</v>
      </c>
      <c r="G39" s="79">
        <v>43617</v>
      </c>
      <c r="H39" s="79">
        <v>43647</v>
      </c>
      <c r="I39" s="79">
        <v>43678</v>
      </c>
      <c r="J39" s="79">
        <v>43709</v>
      </c>
      <c r="K39" s="79">
        <v>43739</v>
      </c>
      <c r="L39" s="79">
        <v>43770</v>
      </c>
      <c r="M39" s="79">
        <v>43800</v>
      </c>
    </row>
    <row r="40" spans="1:13" x14ac:dyDescent="0.2">
      <c r="A40" s="78" t="s">
        <v>110</v>
      </c>
      <c r="B40" s="42">
        <v>16063</v>
      </c>
      <c r="C40" s="42">
        <f t="shared" ref="C40:M40" si="6">B51</f>
        <v>16963</v>
      </c>
      <c r="D40" s="42">
        <f t="shared" si="6"/>
        <v>17968</v>
      </c>
      <c r="E40" s="42">
        <f t="shared" si="6"/>
        <v>18973</v>
      </c>
      <c r="F40" s="42">
        <f t="shared" si="6"/>
        <v>20123</v>
      </c>
      <c r="G40" s="42">
        <f t="shared" si="6"/>
        <v>21273</v>
      </c>
      <c r="H40" s="42">
        <f t="shared" si="6"/>
        <v>22423</v>
      </c>
      <c r="I40" s="42">
        <f t="shared" si="6"/>
        <v>23573</v>
      </c>
      <c r="J40" s="42">
        <f t="shared" si="6"/>
        <v>24723</v>
      </c>
      <c r="K40" s="42">
        <f t="shared" si="6"/>
        <v>25873</v>
      </c>
      <c r="L40" s="42">
        <f t="shared" si="6"/>
        <v>14023</v>
      </c>
      <c r="M40" s="42">
        <f t="shared" si="6"/>
        <v>173</v>
      </c>
    </row>
    <row r="41" spans="1:13" x14ac:dyDescent="0.2">
      <c r="A41" s="78" t="s">
        <v>369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4</v>
      </c>
      <c r="B43" s="42">
        <v>400</v>
      </c>
      <c r="C43" s="42">
        <v>505</v>
      </c>
      <c r="D43" s="42">
        <v>505</v>
      </c>
      <c r="E43" s="42">
        <v>650</v>
      </c>
      <c r="F43" s="42">
        <v>650</v>
      </c>
      <c r="G43" s="42">
        <v>650</v>
      </c>
      <c r="H43" s="42">
        <v>650</v>
      </c>
      <c r="I43" s="42">
        <v>650</v>
      </c>
      <c r="J43" s="42">
        <v>650</v>
      </c>
      <c r="K43" s="42">
        <v>650</v>
      </c>
      <c r="L43" s="42">
        <v>650</v>
      </c>
      <c r="M43" s="42">
        <v>850</v>
      </c>
    </row>
    <row r="44" spans="1:13" x14ac:dyDescent="0.2">
      <c r="A44" s="78" t="s">
        <v>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73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75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5</v>
      </c>
      <c r="B48" s="42">
        <v>500</v>
      </c>
      <c r="C48" s="42">
        <v>500</v>
      </c>
      <c r="D48" s="42">
        <v>500</v>
      </c>
      <c r="E48" s="42">
        <v>500</v>
      </c>
      <c r="F48" s="42">
        <v>500</v>
      </c>
      <c r="G48" s="42">
        <v>500</v>
      </c>
      <c r="H48" s="42">
        <v>500</v>
      </c>
      <c r="I48" s="42">
        <v>500</v>
      </c>
      <c r="J48" s="42">
        <v>500</v>
      </c>
      <c r="K48" s="42">
        <v>500</v>
      </c>
      <c r="L48" s="42">
        <v>500</v>
      </c>
      <c r="M48" s="42">
        <v>600</v>
      </c>
    </row>
    <row r="49" spans="1:13" x14ac:dyDescent="0.2">
      <c r="A49" s="78" t="s">
        <v>6</v>
      </c>
      <c r="B49" s="43">
        <f>SUM(B40:B48)</f>
        <v>16963</v>
      </c>
      <c r="C49" s="43">
        <f t="shared" ref="C49:M49" si="7">SUM(C40:C48)</f>
        <v>17968</v>
      </c>
      <c r="D49" s="43">
        <f t="shared" si="7"/>
        <v>18973</v>
      </c>
      <c r="E49" s="43">
        <f t="shared" si="7"/>
        <v>20123</v>
      </c>
      <c r="F49" s="43">
        <f t="shared" si="7"/>
        <v>21273</v>
      </c>
      <c r="G49" s="43">
        <f t="shared" si="7"/>
        <v>22423</v>
      </c>
      <c r="H49" s="43">
        <f t="shared" si="7"/>
        <v>23573</v>
      </c>
      <c r="I49" s="43">
        <f t="shared" si="7"/>
        <v>24723</v>
      </c>
      <c r="J49" s="43">
        <f t="shared" si="7"/>
        <v>25873</v>
      </c>
      <c r="K49" s="43">
        <f t="shared" si="7"/>
        <v>27023</v>
      </c>
      <c r="L49" s="43">
        <f t="shared" si="7"/>
        <v>15173</v>
      </c>
      <c r="M49" s="43">
        <f t="shared" si="7"/>
        <v>1623</v>
      </c>
    </row>
    <row r="50" spans="1:13" x14ac:dyDescent="0.2">
      <c r="A50" s="78" t="s">
        <v>7</v>
      </c>
      <c r="B50" s="44"/>
      <c r="C50" s="44"/>
      <c r="D50" s="44"/>
      <c r="E50" s="44"/>
      <c r="F50" s="44"/>
      <c r="G50" s="44"/>
      <c r="H50" s="44"/>
      <c r="I50" s="44"/>
      <c r="J50" s="44"/>
      <c r="K50" s="44">
        <v>13000</v>
      </c>
      <c r="L50" s="44">
        <f>7000+8000</f>
        <v>15000</v>
      </c>
      <c r="M50" s="44"/>
    </row>
    <row r="51" spans="1:13" x14ac:dyDescent="0.2">
      <c r="A51" s="78" t="s">
        <v>111</v>
      </c>
      <c r="B51" s="43">
        <f>B49-B50</f>
        <v>16963</v>
      </c>
      <c r="C51" s="43">
        <f>C49-C50</f>
        <v>17968</v>
      </c>
      <c r="D51" s="43">
        <f t="shared" ref="D51:M51" si="8">D49-D50</f>
        <v>18973</v>
      </c>
      <c r="E51" s="43">
        <f t="shared" si="8"/>
        <v>20123</v>
      </c>
      <c r="F51" s="43">
        <f t="shared" si="8"/>
        <v>21273</v>
      </c>
      <c r="G51" s="43">
        <f t="shared" si="8"/>
        <v>22423</v>
      </c>
      <c r="H51" s="43">
        <f t="shared" si="8"/>
        <v>23573</v>
      </c>
      <c r="I51" s="43">
        <f t="shared" si="8"/>
        <v>24723</v>
      </c>
      <c r="J51" s="43">
        <f t="shared" si="8"/>
        <v>25873</v>
      </c>
      <c r="K51" s="43">
        <f t="shared" si="8"/>
        <v>14023</v>
      </c>
      <c r="L51" s="43">
        <f t="shared" si="8"/>
        <v>173</v>
      </c>
      <c r="M51" s="43">
        <f t="shared" si="8"/>
        <v>1623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1"/>
  <dimension ref="A3:M16"/>
  <sheetViews>
    <sheetView workbookViewId="0">
      <selection activeCell="F13" sqref="F13"/>
    </sheetView>
  </sheetViews>
  <sheetFormatPr baseColWidth="10" defaultRowHeight="12.75" x14ac:dyDescent="0.2"/>
  <cols>
    <col min="1" max="1" width="33.710937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46023</v>
      </c>
      <c r="C4" s="79">
        <v>46054</v>
      </c>
      <c r="D4" s="79">
        <v>46082</v>
      </c>
      <c r="E4" s="79">
        <v>46113</v>
      </c>
      <c r="F4" s="79">
        <v>46143</v>
      </c>
      <c r="G4" s="79">
        <v>46174</v>
      </c>
      <c r="H4" s="79">
        <v>46204</v>
      </c>
      <c r="I4" s="79">
        <v>46235</v>
      </c>
      <c r="J4" s="79">
        <v>46266</v>
      </c>
      <c r="K4" s="79">
        <v>46296</v>
      </c>
      <c r="L4" s="79">
        <v>46327</v>
      </c>
      <c r="M4" s="79">
        <v>46357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M5" si="0">C16</f>
        <v>0</v>
      </c>
      <c r="E5" s="42">
        <f t="shared" si="0"/>
        <v>0</v>
      </c>
      <c r="F5" s="42">
        <f t="shared" si="0"/>
        <v>0</v>
      </c>
      <c r="G5" s="42">
        <f t="shared" si="0"/>
        <v>239000</v>
      </c>
      <c r="H5" s="42">
        <f t="shared" si="0"/>
        <v>239000</v>
      </c>
      <c r="I5" s="42">
        <f t="shared" si="0"/>
        <v>239000</v>
      </c>
      <c r="J5" s="42">
        <f t="shared" si="0"/>
        <v>239000</v>
      </c>
      <c r="K5" s="42">
        <f t="shared" si="0"/>
        <v>239000</v>
      </c>
      <c r="L5" s="42">
        <f t="shared" si="0"/>
        <v>239000</v>
      </c>
      <c r="M5" s="42">
        <f t="shared" si="0"/>
        <v>239000</v>
      </c>
    </row>
    <row r="6" spans="1:13" x14ac:dyDescent="0.2">
      <c r="A6" s="78" t="s">
        <v>308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>
        <v>60000</v>
      </c>
      <c r="E7" s="42">
        <v>12000</v>
      </c>
      <c r="F7" s="42">
        <v>12000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785</v>
      </c>
      <c r="B12" s="42"/>
      <c r="C12" s="42"/>
      <c r="D12" s="42"/>
      <c r="E12" s="42">
        <v>77000</v>
      </c>
      <c r="F12" s="42">
        <v>77000</v>
      </c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/>
      <c r="C13" s="42"/>
      <c r="D13" s="42">
        <v>150000</v>
      </c>
      <c r="E13" s="42">
        <v>150000</v>
      </c>
      <c r="F13" s="42">
        <v>150000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0</v>
      </c>
      <c r="C14" s="43">
        <f>SUM(C5:C13)</f>
        <v>0</v>
      </c>
      <c r="D14" s="43">
        <f t="shared" ref="D14:M14" si="1">SUM(D5:D13)</f>
        <v>210000</v>
      </c>
      <c r="E14" s="43">
        <f t="shared" si="1"/>
        <v>239000</v>
      </c>
      <c r="F14" s="43">
        <f t="shared" si="1"/>
        <v>239000</v>
      </c>
      <c r="G14" s="43">
        <f t="shared" si="1"/>
        <v>239000</v>
      </c>
      <c r="H14" s="43">
        <f t="shared" si="1"/>
        <v>239000</v>
      </c>
      <c r="I14" s="43">
        <f t="shared" si="1"/>
        <v>239000</v>
      </c>
      <c r="J14" s="43">
        <f t="shared" si="1"/>
        <v>239000</v>
      </c>
      <c r="K14" s="43">
        <f t="shared" si="1"/>
        <v>239000</v>
      </c>
      <c r="L14" s="43">
        <f t="shared" si="1"/>
        <v>239000</v>
      </c>
      <c r="M14" s="43">
        <f t="shared" si="1"/>
        <v>239000</v>
      </c>
    </row>
    <row r="15" spans="1:13" x14ac:dyDescent="0.2">
      <c r="A15" s="78" t="s">
        <v>7</v>
      </c>
      <c r="B15" s="44"/>
      <c r="C15" s="44"/>
      <c r="D15" s="44">
        <v>210000</v>
      </c>
      <c r="E15" s="44">
        <v>239000</v>
      </c>
      <c r="F15" s="44"/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0</v>
      </c>
      <c r="E16" s="43">
        <f t="shared" si="2"/>
        <v>0</v>
      </c>
      <c r="F16" s="43">
        <f>F14-F15</f>
        <v>239000</v>
      </c>
      <c r="G16" s="43">
        <f>G14-G15</f>
        <v>239000</v>
      </c>
      <c r="H16" s="43">
        <f t="shared" si="2"/>
        <v>239000</v>
      </c>
      <c r="I16" s="43">
        <f t="shared" si="2"/>
        <v>239000</v>
      </c>
      <c r="J16" s="43">
        <f t="shared" si="2"/>
        <v>239000</v>
      </c>
      <c r="K16" s="43">
        <f t="shared" si="2"/>
        <v>239000</v>
      </c>
      <c r="L16" s="43">
        <f t="shared" si="2"/>
        <v>239000</v>
      </c>
      <c r="M16" s="43">
        <f t="shared" si="2"/>
        <v>239000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6"/>
  <dimension ref="A2:N31"/>
  <sheetViews>
    <sheetView workbookViewId="0">
      <selection activeCell="F13" sqref="F13"/>
    </sheetView>
  </sheetViews>
  <sheetFormatPr baseColWidth="10" defaultRowHeight="12.75" x14ac:dyDescent="0.2"/>
  <cols>
    <col min="1" max="1" width="27.28515625" customWidth="1"/>
    <col min="4" max="4" width="12.85546875" bestFit="1" customWidth="1"/>
  </cols>
  <sheetData>
    <row r="2" spans="1:13" ht="15.75" x14ac:dyDescent="0.25">
      <c r="A2" s="31" t="s">
        <v>0</v>
      </c>
      <c r="B2" s="31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78"/>
      <c r="B3" s="79">
        <v>46023</v>
      </c>
      <c r="C3" s="79">
        <v>46054</v>
      </c>
      <c r="D3" s="79">
        <v>46082</v>
      </c>
      <c r="E3" s="79">
        <v>46113</v>
      </c>
      <c r="F3" s="79">
        <v>46143</v>
      </c>
      <c r="G3" s="79">
        <v>46174</v>
      </c>
      <c r="H3" s="79">
        <v>46204</v>
      </c>
      <c r="I3" s="79">
        <v>46235</v>
      </c>
      <c r="J3" s="79">
        <v>46266</v>
      </c>
      <c r="K3" s="79">
        <v>46296</v>
      </c>
      <c r="L3" s="79">
        <v>46327</v>
      </c>
      <c r="M3" s="79">
        <v>46357</v>
      </c>
    </row>
    <row r="4" spans="1:13" x14ac:dyDescent="0.2">
      <c r="A4" s="78" t="s">
        <v>110</v>
      </c>
      <c r="B4" s="42"/>
      <c r="C4" s="42">
        <f>B15</f>
        <v>0</v>
      </c>
      <c r="D4" s="42">
        <f t="shared" ref="D4:M4" si="0">C15</f>
        <v>100000</v>
      </c>
      <c r="E4" s="42">
        <f t="shared" si="0"/>
        <v>0</v>
      </c>
      <c r="F4" s="42">
        <f t="shared" si="0"/>
        <v>0</v>
      </c>
      <c r="G4" s="42">
        <f t="shared" si="0"/>
        <v>100000</v>
      </c>
      <c r="H4" s="42">
        <f t="shared" si="0"/>
        <v>100000</v>
      </c>
      <c r="I4" s="42">
        <f t="shared" si="0"/>
        <v>100000</v>
      </c>
      <c r="J4" s="42">
        <f t="shared" si="0"/>
        <v>100000</v>
      </c>
      <c r="K4" s="42">
        <f t="shared" si="0"/>
        <v>100000</v>
      </c>
      <c r="L4" s="42">
        <f t="shared" si="0"/>
        <v>100000</v>
      </c>
      <c r="M4" s="42">
        <f t="shared" si="0"/>
        <v>100000</v>
      </c>
    </row>
    <row r="5" spans="1:13" x14ac:dyDescent="0.2">
      <c r="A5" s="78" t="s">
        <v>308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100000</v>
      </c>
      <c r="C12" s="42">
        <v>100000</v>
      </c>
      <c r="D12" s="42">
        <v>100000</v>
      </c>
      <c r="E12" s="42">
        <v>100000</v>
      </c>
      <c r="F12" s="42">
        <v>100000</v>
      </c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6</v>
      </c>
      <c r="B13" s="43">
        <f>SUM(B4:B12)</f>
        <v>100000</v>
      </c>
      <c r="C13" s="43">
        <f>SUM(C4:C12)</f>
        <v>100000</v>
      </c>
      <c r="D13" s="43">
        <f t="shared" ref="D13:M13" si="1">SUM(D4:D12)</f>
        <v>200000</v>
      </c>
      <c r="E13" s="43">
        <f t="shared" si="1"/>
        <v>100000</v>
      </c>
      <c r="F13" s="43">
        <f t="shared" si="1"/>
        <v>100000</v>
      </c>
      <c r="G13" s="43">
        <f t="shared" si="1"/>
        <v>100000</v>
      </c>
      <c r="H13" s="43">
        <f t="shared" si="1"/>
        <v>100000</v>
      </c>
      <c r="I13" s="43">
        <f t="shared" si="1"/>
        <v>100000</v>
      </c>
      <c r="J13" s="43">
        <f t="shared" si="1"/>
        <v>100000</v>
      </c>
      <c r="K13" s="43">
        <f t="shared" si="1"/>
        <v>100000</v>
      </c>
      <c r="L13" s="43">
        <f t="shared" si="1"/>
        <v>100000</v>
      </c>
      <c r="M13" s="43">
        <f t="shared" si="1"/>
        <v>100000</v>
      </c>
    </row>
    <row r="14" spans="1:13" x14ac:dyDescent="0.2">
      <c r="A14" s="78" t="s">
        <v>7</v>
      </c>
      <c r="B14" s="44">
        <v>100000</v>
      </c>
      <c r="C14" s="44"/>
      <c r="D14" s="44">
        <v>200000</v>
      </c>
      <c r="E14" s="44">
        <v>100000</v>
      </c>
      <c r="F14" s="44"/>
      <c r="G14" s="44"/>
      <c r="H14" s="44"/>
      <c r="I14" s="44"/>
      <c r="J14" s="44"/>
      <c r="K14" s="44"/>
      <c r="L14" s="44"/>
      <c r="M14" s="44"/>
    </row>
    <row r="15" spans="1:13" x14ac:dyDescent="0.2">
      <c r="A15" s="78" t="s">
        <v>111</v>
      </c>
      <c r="B15" s="43">
        <f>B13-B14</f>
        <v>0</v>
      </c>
      <c r="C15" s="43">
        <f>C13-C14</f>
        <v>100000</v>
      </c>
      <c r="D15" s="43">
        <f t="shared" ref="D15:M15" si="2">D13-D14</f>
        <v>0</v>
      </c>
      <c r="E15" s="43">
        <f t="shared" si="2"/>
        <v>0</v>
      </c>
      <c r="F15" s="43">
        <f>F13-F14</f>
        <v>100000</v>
      </c>
      <c r="G15" s="43">
        <f>G13-G14</f>
        <v>100000</v>
      </c>
      <c r="H15" s="43">
        <f t="shared" si="2"/>
        <v>100000</v>
      </c>
      <c r="I15" s="43">
        <f t="shared" si="2"/>
        <v>100000</v>
      </c>
      <c r="J15" s="43">
        <f t="shared" si="2"/>
        <v>100000</v>
      </c>
      <c r="K15" s="43">
        <f t="shared" si="2"/>
        <v>100000</v>
      </c>
      <c r="L15" s="43">
        <f t="shared" si="2"/>
        <v>100000</v>
      </c>
      <c r="M15" s="43">
        <f t="shared" si="2"/>
        <v>100000</v>
      </c>
    </row>
    <row r="18" spans="1:14" ht="15.75" x14ac:dyDescent="0.25">
      <c r="A18" s="31" t="s">
        <v>0</v>
      </c>
      <c r="B18" s="31" t="s">
        <v>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4" x14ac:dyDescent="0.2">
      <c r="A19" s="78"/>
      <c r="B19" s="79">
        <v>45658</v>
      </c>
      <c r="C19" s="79">
        <v>45689</v>
      </c>
      <c r="D19" s="79">
        <v>45717</v>
      </c>
      <c r="E19" s="79">
        <v>45748</v>
      </c>
      <c r="F19" s="79">
        <v>45778</v>
      </c>
      <c r="G19" s="79">
        <v>45809</v>
      </c>
      <c r="H19" s="79">
        <v>45839</v>
      </c>
      <c r="I19" s="79">
        <v>45870</v>
      </c>
      <c r="J19" s="79">
        <v>45901</v>
      </c>
      <c r="K19" s="79">
        <v>45931</v>
      </c>
      <c r="L19" s="79">
        <v>45962</v>
      </c>
      <c r="M19" s="79">
        <v>45992</v>
      </c>
    </row>
    <row r="20" spans="1:14" x14ac:dyDescent="0.2">
      <c r="A20" s="78" t="s">
        <v>110</v>
      </c>
      <c r="B20" s="42"/>
      <c r="C20" s="42">
        <f t="shared" ref="C20:M20" si="3">B31</f>
        <v>80000</v>
      </c>
      <c r="D20" s="42">
        <f t="shared" si="3"/>
        <v>160000</v>
      </c>
      <c r="E20" s="42">
        <f t="shared" si="3"/>
        <v>240000</v>
      </c>
      <c r="F20" s="42">
        <f t="shared" si="3"/>
        <v>330000</v>
      </c>
      <c r="G20" s="42">
        <f t="shared" si="3"/>
        <v>420000</v>
      </c>
      <c r="H20" s="42">
        <f t="shared" si="3"/>
        <v>0</v>
      </c>
      <c r="I20" s="42">
        <f t="shared" si="3"/>
        <v>90000</v>
      </c>
      <c r="J20" s="42">
        <f t="shared" si="3"/>
        <v>0</v>
      </c>
      <c r="K20" s="42">
        <f t="shared" si="3"/>
        <v>90000</v>
      </c>
      <c r="L20" s="42">
        <f t="shared" si="3"/>
        <v>180000</v>
      </c>
      <c r="M20" s="42">
        <f t="shared" si="3"/>
        <v>270000</v>
      </c>
    </row>
    <row r="21" spans="1:14" x14ac:dyDescent="0.2">
      <c r="A21" s="78" t="s">
        <v>369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t="s">
        <v>551</v>
      </c>
    </row>
    <row r="22" spans="1:14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4" x14ac:dyDescent="0.2">
      <c r="A23" s="78" t="s">
        <v>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4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4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4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x14ac:dyDescent="0.2">
      <c r="A27" s="78" t="s">
        <v>75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4" x14ac:dyDescent="0.2">
      <c r="A28" s="78" t="s">
        <v>5</v>
      </c>
      <c r="B28" s="42">
        <v>80000</v>
      </c>
      <c r="C28" s="42">
        <v>80000</v>
      </c>
      <c r="D28" s="42">
        <v>80000</v>
      </c>
      <c r="E28" s="42">
        <v>90000</v>
      </c>
      <c r="F28" s="42">
        <v>90000</v>
      </c>
      <c r="G28" s="42">
        <v>90000</v>
      </c>
      <c r="H28" s="42">
        <v>90000</v>
      </c>
      <c r="I28" s="42">
        <v>90000</v>
      </c>
      <c r="J28" s="42">
        <v>90000</v>
      </c>
      <c r="K28" s="42">
        <v>90000</v>
      </c>
      <c r="L28" s="42">
        <v>90000</v>
      </c>
      <c r="M28" s="42">
        <v>90000</v>
      </c>
    </row>
    <row r="29" spans="1:14" x14ac:dyDescent="0.2">
      <c r="A29" s="78" t="s">
        <v>6</v>
      </c>
      <c r="B29" s="43">
        <f>SUM(B20:B28)</f>
        <v>80000</v>
      </c>
      <c r="C29" s="43">
        <f>SUM(C20:C28)</f>
        <v>160000</v>
      </c>
      <c r="D29" s="43">
        <f t="shared" ref="D29:M29" si="4">SUM(D20:D28)</f>
        <v>240000</v>
      </c>
      <c r="E29" s="43">
        <f t="shared" si="4"/>
        <v>330000</v>
      </c>
      <c r="F29" s="43">
        <f t="shared" si="4"/>
        <v>420000</v>
      </c>
      <c r="G29" s="43">
        <f t="shared" si="4"/>
        <v>510000</v>
      </c>
      <c r="H29" s="43">
        <f t="shared" si="4"/>
        <v>90000</v>
      </c>
      <c r="I29" s="43">
        <f t="shared" si="4"/>
        <v>180000</v>
      </c>
      <c r="J29" s="43">
        <f t="shared" si="4"/>
        <v>90000</v>
      </c>
      <c r="K29" s="43">
        <f t="shared" si="4"/>
        <v>180000</v>
      </c>
      <c r="L29" s="43">
        <f t="shared" si="4"/>
        <v>270000</v>
      </c>
      <c r="M29" s="43">
        <f t="shared" si="4"/>
        <v>360000</v>
      </c>
    </row>
    <row r="30" spans="1:14" x14ac:dyDescent="0.2">
      <c r="A30" s="78" t="s">
        <v>7</v>
      </c>
      <c r="B30" s="44"/>
      <c r="C30" s="44"/>
      <c r="D30" s="44"/>
      <c r="E30" s="44"/>
      <c r="F30" s="44"/>
      <c r="G30" s="44">
        <v>510000</v>
      </c>
      <c r="H30" s="44"/>
      <c r="I30" s="44">
        <v>180000</v>
      </c>
      <c r="J30" s="44"/>
      <c r="K30" s="44"/>
      <c r="L30" s="44"/>
      <c r="M30" s="44">
        <v>360000</v>
      </c>
    </row>
    <row r="31" spans="1:14" x14ac:dyDescent="0.2">
      <c r="A31" s="78" t="s">
        <v>111</v>
      </c>
      <c r="B31" s="43">
        <f t="shared" ref="B31:G31" si="5">B29-B30</f>
        <v>80000</v>
      </c>
      <c r="C31" s="43">
        <f t="shared" si="5"/>
        <v>160000</v>
      </c>
      <c r="D31" s="43">
        <f t="shared" si="5"/>
        <v>240000</v>
      </c>
      <c r="E31" s="43">
        <f t="shared" si="5"/>
        <v>330000</v>
      </c>
      <c r="F31" s="43">
        <f t="shared" si="5"/>
        <v>420000</v>
      </c>
      <c r="G31" s="43">
        <f t="shared" si="5"/>
        <v>0</v>
      </c>
      <c r="H31" s="43">
        <f t="shared" ref="H31:M31" si="6">H29-H30</f>
        <v>90000</v>
      </c>
      <c r="I31" s="43">
        <f t="shared" si="6"/>
        <v>0</v>
      </c>
      <c r="J31" s="43">
        <f t="shared" si="6"/>
        <v>90000</v>
      </c>
      <c r="K31" s="43">
        <f t="shared" si="6"/>
        <v>180000</v>
      </c>
      <c r="L31" s="43">
        <f t="shared" si="6"/>
        <v>270000</v>
      </c>
      <c r="M31" s="43">
        <f t="shared" si="6"/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7"/>
  <dimension ref="A3:M32"/>
  <sheetViews>
    <sheetView topLeftCell="A4" workbookViewId="0">
      <selection activeCell="F16" sqref="F16"/>
    </sheetView>
  </sheetViews>
  <sheetFormatPr baseColWidth="10" defaultRowHeight="12.75" x14ac:dyDescent="0.2"/>
  <cols>
    <col min="1" max="1" width="29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46023</v>
      </c>
      <c r="C4" s="79">
        <v>46054</v>
      </c>
      <c r="D4" s="79">
        <v>46082</v>
      </c>
      <c r="E4" s="79">
        <v>46113</v>
      </c>
      <c r="F4" s="79">
        <v>46143</v>
      </c>
      <c r="G4" s="79">
        <v>46174</v>
      </c>
      <c r="H4" s="79">
        <v>46204</v>
      </c>
      <c r="I4" s="79">
        <v>46235</v>
      </c>
      <c r="J4" s="79">
        <v>46266</v>
      </c>
      <c r="K4" s="79">
        <v>46296</v>
      </c>
      <c r="L4" s="79">
        <v>46327</v>
      </c>
      <c r="M4" s="79">
        <v>46357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M5" si="0">C16</f>
        <v>-700</v>
      </c>
      <c r="E5" s="42">
        <f t="shared" si="0"/>
        <v>6300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369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>
        <v>52000</v>
      </c>
      <c r="C7" s="42">
        <v>52000</v>
      </c>
      <c r="D7" s="42">
        <v>52000</v>
      </c>
      <c r="E7" s="42">
        <v>52000</v>
      </c>
      <c r="F7" s="42">
        <v>52000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25000</v>
      </c>
      <c r="C13" s="42">
        <v>25000</v>
      </c>
      <c r="D13" s="42">
        <v>25000</v>
      </c>
      <c r="E13" s="42">
        <v>25000</v>
      </c>
      <c r="F13" s="42">
        <v>25000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77000</v>
      </c>
      <c r="C14" s="43">
        <f>SUM(C5:C13)</f>
        <v>77000</v>
      </c>
      <c r="D14" s="43">
        <f t="shared" ref="D14:M14" si="1">SUM(D5:D13)</f>
        <v>76300</v>
      </c>
      <c r="E14" s="43">
        <f t="shared" si="1"/>
        <v>83300</v>
      </c>
      <c r="F14" s="43">
        <f t="shared" si="1"/>
        <v>77000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x14ac:dyDescent="0.2">
      <c r="A15" s="78" t="s">
        <v>7</v>
      </c>
      <c r="B15" s="44">
        <v>77000</v>
      </c>
      <c r="C15" s="44">
        <v>77700</v>
      </c>
      <c r="D15" s="44">
        <v>70000</v>
      </c>
      <c r="E15" s="44">
        <v>83300</v>
      </c>
      <c r="F15" s="44">
        <v>77000</v>
      </c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0</v>
      </c>
      <c r="C16" s="43">
        <f>C14-C15</f>
        <v>-700</v>
      </c>
      <c r="D16" s="43">
        <f t="shared" ref="D16:M16" si="2">D14-D15</f>
        <v>6300</v>
      </c>
      <c r="E16" s="43">
        <f t="shared" si="2"/>
        <v>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</row>
    <row r="17" spans="1:13" x14ac:dyDescent="0.2">
      <c r="B17" s="128">
        <v>44588</v>
      </c>
      <c r="I17" s="128">
        <v>44803</v>
      </c>
    </row>
    <row r="19" spans="1:13" ht="15.75" x14ac:dyDescent="0.25">
      <c r="A19" s="31" t="s">
        <v>0</v>
      </c>
      <c r="B19" s="31" t="s">
        <v>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">
      <c r="A20" s="78"/>
      <c r="B20" s="79">
        <v>45658</v>
      </c>
      <c r="C20" s="79">
        <v>45689</v>
      </c>
      <c r="D20" s="79">
        <v>45717</v>
      </c>
      <c r="E20" s="79">
        <v>45748</v>
      </c>
      <c r="F20" s="79">
        <v>45778</v>
      </c>
      <c r="G20" s="79">
        <v>45809</v>
      </c>
      <c r="H20" s="79">
        <v>45839</v>
      </c>
      <c r="I20" s="79">
        <v>45870</v>
      </c>
      <c r="J20" s="79">
        <v>45901</v>
      </c>
      <c r="K20" s="79">
        <v>45931</v>
      </c>
      <c r="L20" s="79">
        <v>45962</v>
      </c>
      <c r="M20" s="79">
        <v>45992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0</v>
      </c>
      <c r="M21" s="42">
        <f t="shared" si="3"/>
        <v>0</v>
      </c>
    </row>
    <row r="22" spans="1:13" x14ac:dyDescent="0.2">
      <c r="A22" s="78" t="s">
        <v>369</v>
      </c>
      <c r="B22" s="42">
        <v>29100</v>
      </c>
      <c r="C22" s="42">
        <v>39410</v>
      </c>
      <c r="D22" s="42">
        <v>39410</v>
      </c>
      <c r="E22" s="42">
        <v>39410</v>
      </c>
      <c r="F22" s="42">
        <v>39410</v>
      </c>
      <c r="G22" s="42">
        <v>39410</v>
      </c>
      <c r="H22" s="42">
        <v>39410</v>
      </c>
      <c r="I22" s="42">
        <v>44250</v>
      </c>
      <c r="J22" s="42">
        <v>44250</v>
      </c>
      <c r="K22" s="42">
        <v>44250</v>
      </c>
      <c r="L22" s="42">
        <v>44250</v>
      </c>
      <c r="M22" s="42">
        <v>44250</v>
      </c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15900</v>
      </c>
      <c r="C29" s="42">
        <v>20000</v>
      </c>
      <c r="D29" s="42">
        <v>20000</v>
      </c>
      <c r="E29" s="42">
        <v>20000</v>
      </c>
      <c r="F29" s="42">
        <v>20000</v>
      </c>
      <c r="G29" s="42">
        <v>20000</v>
      </c>
      <c r="H29" s="42">
        <v>20000</v>
      </c>
      <c r="I29" s="42">
        <v>25000</v>
      </c>
      <c r="J29" s="42">
        <v>25000</v>
      </c>
      <c r="K29" s="42">
        <v>25000</v>
      </c>
      <c r="L29" s="42">
        <v>25000</v>
      </c>
      <c r="M29" s="42">
        <v>25000</v>
      </c>
    </row>
    <row r="30" spans="1:13" x14ac:dyDescent="0.2">
      <c r="A30" s="78" t="s">
        <v>6</v>
      </c>
      <c r="B30" s="43">
        <f>SUM(B21:B29)</f>
        <v>45000</v>
      </c>
      <c r="C30" s="43">
        <f>SUM(C21:C29)</f>
        <v>59410</v>
      </c>
      <c r="D30" s="43">
        <f t="shared" ref="D30:M30" si="4">SUM(D21:D29)</f>
        <v>59410</v>
      </c>
      <c r="E30" s="43">
        <f t="shared" si="4"/>
        <v>59410</v>
      </c>
      <c r="F30" s="43">
        <f t="shared" si="4"/>
        <v>59410</v>
      </c>
      <c r="G30" s="43">
        <f t="shared" si="4"/>
        <v>59410</v>
      </c>
      <c r="H30" s="43">
        <f t="shared" si="4"/>
        <v>59410</v>
      </c>
      <c r="I30" s="43">
        <f t="shared" si="4"/>
        <v>69250</v>
      </c>
      <c r="J30" s="43">
        <f t="shared" si="4"/>
        <v>69250</v>
      </c>
      <c r="K30" s="43">
        <f t="shared" si="4"/>
        <v>69250</v>
      </c>
      <c r="L30" s="43">
        <f t="shared" si="4"/>
        <v>69250</v>
      </c>
      <c r="M30" s="43">
        <f t="shared" si="4"/>
        <v>69250</v>
      </c>
    </row>
    <row r="31" spans="1:13" x14ac:dyDescent="0.2">
      <c r="A31" s="78" t="s">
        <v>7</v>
      </c>
      <c r="B31" s="44">
        <v>45000</v>
      </c>
      <c r="C31" s="44">
        <f>45000+14410</f>
        <v>59410</v>
      </c>
      <c r="D31" s="44">
        <v>59410</v>
      </c>
      <c r="E31" s="44">
        <v>59410</v>
      </c>
      <c r="F31" s="44">
        <v>59410</v>
      </c>
      <c r="G31" s="44">
        <v>59410</v>
      </c>
      <c r="H31" s="44">
        <v>59410</v>
      </c>
      <c r="I31" s="44">
        <f>59410+9840</f>
        <v>69250</v>
      </c>
      <c r="J31" s="44">
        <v>69250</v>
      </c>
      <c r="K31" s="44">
        <v>69250</v>
      </c>
      <c r="L31" s="44">
        <v>69250</v>
      </c>
      <c r="M31" s="44">
        <v>69250</v>
      </c>
    </row>
    <row r="32" spans="1:13" x14ac:dyDescent="0.2">
      <c r="A32" s="78" t="s">
        <v>111</v>
      </c>
      <c r="B32" s="43">
        <f>B30-B31</f>
        <v>0</v>
      </c>
      <c r="C32" s="43">
        <f>C30-C31</f>
        <v>0</v>
      </c>
      <c r="D32" s="43">
        <f t="shared" ref="D32:M32" si="5">D30-D31</f>
        <v>0</v>
      </c>
      <c r="E32" s="43">
        <f t="shared" si="5"/>
        <v>0</v>
      </c>
      <c r="F32" s="43">
        <f t="shared" si="5"/>
        <v>0</v>
      </c>
      <c r="G32" s="43">
        <f t="shared" si="5"/>
        <v>0</v>
      </c>
      <c r="H32" s="43">
        <f t="shared" si="5"/>
        <v>0</v>
      </c>
      <c r="I32" s="43">
        <f t="shared" si="5"/>
        <v>0</v>
      </c>
      <c r="J32" s="43">
        <f t="shared" si="5"/>
        <v>0</v>
      </c>
      <c r="K32" s="43">
        <f t="shared" si="5"/>
        <v>0</v>
      </c>
      <c r="L32" s="43">
        <f t="shared" si="5"/>
        <v>0</v>
      </c>
      <c r="M32" s="43">
        <f t="shared" si="5"/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9"/>
  <dimension ref="A3:M33"/>
  <sheetViews>
    <sheetView topLeftCell="A14" workbookViewId="0">
      <selection activeCell="G22" sqref="G22"/>
    </sheetView>
  </sheetViews>
  <sheetFormatPr baseColWidth="10" defaultRowHeight="12.75" x14ac:dyDescent="0.2"/>
  <cols>
    <col min="1" max="1" width="27.710937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0</v>
      </c>
      <c r="G5" s="42">
        <f t="shared" si="0"/>
        <v>-1000</v>
      </c>
      <c r="H5" s="42">
        <f t="shared" si="0"/>
        <v>0</v>
      </c>
      <c r="I5" s="42">
        <f t="shared" si="0"/>
        <v>-540</v>
      </c>
      <c r="J5" s="42">
        <f t="shared" si="0"/>
        <v>0</v>
      </c>
      <c r="K5" s="42">
        <f t="shared" si="0"/>
        <v>0</v>
      </c>
      <c r="L5" s="42">
        <f t="shared" si="0"/>
        <v>250</v>
      </c>
      <c r="M5" s="42">
        <f t="shared" si="0"/>
        <v>0</v>
      </c>
    </row>
    <row r="6" spans="1:13" x14ac:dyDescent="0.2">
      <c r="A6" s="78" t="s">
        <v>369</v>
      </c>
      <c r="B6" s="42"/>
      <c r="C6" s="42"/>
      <c r="D6" s="42">
        <v>14460</v>
      </c>
      <c r="E6" s="42">
        <v>14460</v>
      </c>
      <c r="F6" s="42">
        <v>14460</v>
      </c>
      <c r="G6" s="42">
        <v>14460</v>
      </c>
      <c r="H6" s="42">
        <v>14460</v>
      </c>
      <c r="I6" s="42">
        <v>16250</v>
      </c>
      <c r="J6" s="42">
        <v>16250</v>
      </c>
      <c r="K6" s="42">
        <v>16250</v>
      </c>
      <c r="L6" s="42">
        <v>16250</v>
      </c>
      <c r="M6" s="42">
        <v>16250</v>
      </c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>
        <v>22300</v>
      </c>
      <c r="F8" s="42">
        <v>22300</v>
      </c>
      <c r="G8" s="42">
        <v>22300</v>
      </c>
      <c r="H8" s="42">
        <v>28000</v>
      </c>
      <c r="I8" s="42">
        <v>29000</v>
      </c>
      <c r="J8" s="42">
        <v>29000</v>
      </c>
      <c r="K8" s="42">
        <v>29000</v>
      </c>
      <c r="L8" s="42">
        <v>29000</v>
      </c>
      <c r="M8" s="42">
        <v>29000</v>
      </c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>
        <v>1000</v>
      </c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>
        <v>240</v>
      </c>
      <c r="F12" s="42">
        <v>240</v>
      </c>
      <c r="G12" s="42">
        <v>240</v>
      </c>
      <c r="H12" s="42"/>
      <c r="I12" s="42"/>
      <c r="J12" s="42"/>
      <c r="K12" s="42"/>
      <c r="L12" s="42"/>
      <c r="M12" s="42">
        <v>750</v>
      </c>
    </row>
    <row r="13" spans="1:13" x14ac:dyDescent="0.2">
      <c r="A13" s="78" t="s">
        <v>5</v>
      </c>
      <c r="B13" s="42"/>
      <c r="C13" s="42"/>
      <c r="D13" s="42">
        <v>30000</v>
      </c>
      <c r="E13" s="42">
        <v>30000</v>
      </c>
      <c r="F13" s="42">
        <v>30000</v>
      </c>
      <c r="G13" s="42">
        <v>30000</v>
      </c>
      <c r="H13" s="42">
        <v>30000</v>
      </c>
      <c r="I13" s="42">
        <v>35000</v>
      </c>
      <c r="J13" s="42">
        <v>35000</v>
      </c>
      <c r="K13" s="42">
        <v>35000</v>
      </c>
      <c r="L13" s="42">
        <v>35000</v>
      </c>
      <c r="M13" s="42">
        <v>35000</v>
      </c>
    </row>
    <row r="14" spans="1:13" x14ac:dyDescent="0.2">
      <c r="A14" s="78" t="s">
        <v>6</v>
      </c>
      <c r="B14" s="43">
        <f>SUM(B5:B13)</f>
        <v>0</v>
      </c>
      <c r="C14" s="43">
        <f>SUM(C5:C13)</f>
        <v>0</v>
      </c>
      <c r="D14" s="43">
        <f t="shared" ref="D14:M14" si="1">SUM(D5:D13)</f>
        <v>44460</v>
      </c>
      <c r="E14" s="43">
        <f t="shared" si="1"/>
        <v>67000</v>
      </c>
      <c r="F14" s="43">
        <f t="shared" si="1"/>
        <v>67000</v>
      </c>
      <c r="G14" s="43">
        <f t="shared" si="1"/>
        <v>67000</v>
      </c>
      <c r="H14" s="43">
        <f t="shared" si="1"/>
        <v>72460</v>
      </c>
      <c r="I14" s="43">
        <f t="shared" si="1"/>
        <v>79710</v>
      </c>
      <c r="J14" s="43">
        <f t="shared" si="1"/>
        <v>80250</v>
      </c>
      <c r="K14" s="43">
        <f t="shared" si="1"/>
        <v>80250</v>
      </c>
      <c r="L14" s="43">
        <f t="shared" si="1"/>
        <v>80500</v>
      </c>
      <c r="M14" s="43">
        <f t="shared" si="1"/>
        <v>81000</v>
      </c>
    </row>
    <row r="15" spans="1:13" x14ac:dyDescent="0.2">
      <c r="A15" s="78" t="s">
        <v>7</v>
      </c>
      <c r="B15" s="44"/>
      <c r="C15" s="44"/>
      <c r="D15" s="44">
        <v>44460</v>
      </c>
      <c r="E15" s="44">
        <v>67000</v>
      </c>
      <c r="F15" s="44">
        <v>68000</v>
      </c>
      <c r="G15" s="44">
        <v>67000</v>
      </c>
      <c r="H15" s="44">
        <v>73000</v>
      </c>
      <c r="I15" s="44">
        <v>79710</v>
      </c>
      <c r="J15" s="44">
        <v>80250</v>
      </c>
      <c r="K15" s="44">
        <v>80000</v>
      </c>
      <c r="L15" s="44">
        <v>80500</v>
      </c>
      <c r="M15" s="44"/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0</v>
      </c>
      <c r="E16" s="43">
        <f t="shared" si="2"/>
        <v>0</v>
      </c>
      <c r="F16" s="43">
        <f t="shared" si="2"/>
        <v>-1000</v>
      </c>
      <c r="G16" s="43">
        <f t="shared" si="2"/>
        <v>0</v>
      </c>
      <c r="H16" s="43">
        <f t="shared" si="2"/>
        <v>-540</v>
      </c>
      <c r="I16" s="43">
        <f t="shared" si="2"/>
        <v>0</v>
      </c>
      <c r="J16" s="43">
        <f t="shared" si="2"/>
        <v>0</v>
      </c>
      <c r="K16" s="43">
        <f t="shared" si="2"/>
        <v>250</v>
      </c>
      <c r="L16" s="43">
        <f t="shared" si="2"/>
        <v>0</v>
      </c>
      <c r="M16" s="43">
        <f t="shared" si="2"/>
        <v>81000</v>
      </c>
    </row>
    <row r="19" spans="1:13" ht="15.75" x14ac:dyDescent="0.25">
      <c r="A19" s="31" t="s">
        <v>0</v>
      </c>
      <c r="B19" s="31" t="s">
        <v>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">
      <c r="A20" s="78"/>
      <c r="B20" s="79">
        <v>46023</v>
      </c>
      <c r="C20" s="79">
        <v>46054</v>
      </c>
      <c r="D20" s="79">
        <v>46082</v>
      </c>
      <c r="E20" s="79">
        <v>46113</v>
      </c>
      <c r="F20" s="79">
        <v>46143</v>
      </c>
      <c r="G20" s="79">
        <v>46174</v>
      </c>
      <c r="H20" s="79">
        <v>46204</v>
      </c>
      <c r="I20" s="79">
        <v>46235</v>
      </c>
      <c r="J20" s="79">
        <v>46266</v>
      </c>
      <c r="K20" s="79">
        <v>46296</v>
      </c>
      <c r="L20" s="79">
        <v>46327</v>
      </c>
      <c r="M20" s="79">
        <v>46357</v>
      </c>
    </row>
    <row r="21" spans="1:13" x14ac:dyDescent="0.2">
      <c r="A21" s="78" t="s">
        <v>110</v>
      </c>
      <c r="B21" s="42">
        <v>81000</v>
      </c>
      <c r="C21" s="42">
        <f t="shared" ref="C21:M21" si="3">B32</f>
        <v>-200</v>
      </c>
      <c r="D21" s="42">
        <f t="shared" si="3"/>
        <v>89500</v>
      </c>
      <c r="E21" s="42">
        <f t="shared" si="3"/>
        <v>0</v>
      </c>
      <c r="F21" s="42">
        <f t="shared" si="3"/>
        <v>0</v>
      </c>
      <c r="G21" s="42">
        <f t="shared" si="3"/>
        <v>90000</v>
      </c>
      <c r="H21" s="42">
        <f t="shared" si="3"/>
        <v>90000</v>
      </c>
      <c r="I21" s="42">
        <f t="shared" si="3"/>
        <v>90000</v>
      </c>
      <c r="J21" s="42">
        <f t="shared" si="3"/>
        <v>90000</v>
      </c>
      <c r="K21" s="42">
        <f t="shared" si="3"/>
        <v>90000</v>
      </c>
      <c r="L21" s="42">
        <f t="shared" si="3"/>
        <v>90000</v>
      </c>
      <c r="M21" s="42">
        <f t="shared" si="3"/>
        <v>90000</v>
      </c>
    </row>
    <row r="22" spans="1:13" x14ac:dyDescent="0.2">
      <c r="A22" s="78" t="s">
        <v>369</v>
      </c>
      <c r="B22" s="42">
        <v>20000</v>
      </c>
      <c r="C22" s="42">
        <v>20000</v>
      </c>
      <c r="D22" s="42">
        <v>20000</v>
      </c>
      <c r="E22" s="42">
        <v>20000</v>
      </c>
      <c r="F22" s="42">
        <v>20000</v>
      </c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29600</v>
      </c>
      <c r="C24" s="42">
        <v>29600</v>
      </c>
      <c r="D24" s="42">
        <v>30000</v>
      </c>
      <c r="E24" s="42">
        <v>30000</v>
      </c>
      <c r="F24" s="42">
        <v>30000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>
        <v>-100</v>
      </c>
      <c r="C28" s="42">
        <v>100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40000</v>
      </c>
      <c r="C29" s="42">
        <v>40000</v>
      </c>
      <c r="D29" s="42">
        <v>40000</v>
      </c>
      <c r="E29" s="42">
        <v>40000</v>
      </c>
      <c r="F29" s="42">
        <v>40000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>SUM(B21:B29)</f>
        <v>170500</v>
      </c>
      <c r="C30" s="43">
        <f>SUM(C21:C29)</f>
        <v>89500</v>
      </c>
      <c r="D30" s="43">
        <f t="shared" ref="D30:M30" si="4">SUM(D21:D29)</f>
        <v>179500</v>
      </c>
      <c r="E30" s="43">
        <f t="shared" si="4"/>
        <v>90000</v>
      </c>
      <c r="F30" s="43">
        <f t="shared" si="4"/>
        <v>90000</v>
      </c>
      <c r="G30" s="43">
        <f t="shared" si="4"/>
        <v>90000</v>
      </c>
      <c r="H30" s="43">
        <f t="shared" si="4"/>
        <v>90000</v>
      </c>
      <c r="I30" s="43">
        <f t="shared" si="4"/>
        <v>90000</v>
      </c>
      <c r="J30" s="43">
        <f t="shared" si="4"/>
        <v>90000</v>
      </c>
      <c r="K30" s="43">
        <f t="shared" si="4"/>
        <v>90000</v>
      </c>
      <c r="L30" s="43">
        <f t="shared" si="4"/>
        <v>90000</v>
      </c>
      <c r="M30" s="43">
        <f t="shared" si="4"/>
        <v>90000</v>
      </c>
    </row>
    <row r="31" spans="1:13" x14ac:dyDescent="0.2">
      <c r="A31" s="78" t="s">
        <v>7</v>
      </c>
      <c r="B31" s="44">
        <v>170700</v>
      </c>
      <c r="C31" s="44"/>
      <c r="D31" s="44">
        <v>179500</v>
      </c>
      <c r="E31" s="44">
        <v>90000</v>
      </c>
      <c r="F31" s="44"/>
      <c r="G31" s="44"/>
      <c r="H31" s="44"/>
      <c r="I31" s="44"/>
      <c r="J31" s="44"/>
      <c r="K31" s="44"/>
      <c r="L31" s="44"/>
      <c r="M31" s="44"/>
    </row>
    <row r="32" spans="1:13" x14ac:dyDescent="0.2">
      <c r="A32" s="78" t="s">
        <v>111</v>
      </c>
      <c r="B32" s="43">
        <f>B30-B31</f>
        <v>-200</v>
      </c>
      <c r="C32" s="43">
        <f>C30-C31</f>
        <v>89500</v>
      </c>
      <c r="D32" s="43">
        <f t="shared" ref="D32:M32" si="5">D30-D31</f>
        <v>0</v>
      </c>
      <c r="E32" s="43">
        <f t="shared" si="5"/>
        <v>0</v>
      </c>
      <c r="F32" s="43">
        <f t="shared" si="5"/>
        <v>90000</v>
      </c>
      <c r="G32" s="43">
        <f t="shared" si="5"/>
        <v>90000</v>
      </c>
      <c r="H32" s="43">
        <f t="shared" si="5"/>
        <v>90000</v>
      </c>
      <c r="I32" s="43">
        <f t="shared" si="5"/>
        <v>90000</v>
      </c>
      <c r="J32" s="43">
        <f t="shared" si="5"/>
        <v>90000</v>
      </c>
      <c r="K32" s="43">
        <f t="shared" si="5"/>
        <v>90000</v>
      </c>
      <c r="L32" s="43">
        <f t="shared" si="5"/>
        <v>90000</v>
      </c>
      <c r="M32" s="43">
        <f t="shared" si="5"/>
        <v>90000</v>
      </c>
    </row>
    <row r="33" spans="5:5" x14ac:dyDescent="0.2">
      <c r="E33" s="128">
        <v>46140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0"/>
  <dimension ref="A3:M16"/>
  <sheetViews>
    <sheetView workbookViewId="0">
      <selection activeCell="J19" sqref="J19"/>
    </sheetView>
  </sheetViews>
  <sheetFormatPr baseColWidth="10" defaultRowHeight="12.75" x14ac:dyDescent="0.2"/>
  <cols>
    <col min="1" max="1" width="27.710937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59200</v>
      </c>
      <c r="F5" s="42">
        <f t="shared" si="0"/>
        <v>118400</v>
      </c>
      <c r="G5" s="42">
        <f t="shared" si="0"/>
        <v>177600</v>
      </c>
      <c r="H5" s="42">
        <f t="shared" si="0"/>
        <v>236800</v>
      </c>
      <c r="I5" s="42">
        <f t="shared" si="0"/>
        <v>296100</v>
      </c>
      <c r="J5" s="42">
        <f t="shared" si="0"/>
        <v>355400</v>
      </c>
      <c r="K5" s="42">
        <f t="shared" si="0"/>
        <v>414700</v>
      </c>
      <c r="L5" s="42">
        <f t="shared" si="0"/>
        <v>474000</v>
      </c>
      <c r="M5" s="42">
        <f t="shared" si="0"/>
        <v>474000</v>
      </c>
    </row>
    <row r="6" spans="1:13" x14ac:dyDescent="0.2">
      <c r="A6" s="78" t="s">
        <v>369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>
        <v>9200</v>
      </c>
      <c r="E7" s="42">
        <v>9200</v>
      </c>
      <c r="F7" s="42">
        <v>9200</v>
      </c>
      <c r="G7" s="42">
        <v>9200</v>
      </c>
      <c r="H7" s="42">
        <v>9300</v>
      </c>
      <c r="I7" s="42">
        <v>9300</v>
      </c>
      <c r="J7" s="42">
        <v>9300</v>
      </c>
      <c r="K7" s="42">
        <v>9300</v>
      </c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/>
      <c r="C13" s="42"/>
      <c r="D13" s="42">
        <v>50000</v>
      </c>
      <c r="E13" s="42">
        <v>50000</v>
      </c>
      <c r="F13" s="42">
        <v>50000</v>
      </c>
      <c r="G13" s="42">
        <v>50000</v>
      </c>
      <c r="H13" s="42">
        <v>50000</v>
      </c>
      <c r="I13" s="42">
        <v>50000</v>
      </c>
      <c r="J13" s="42">
        <v>50000</v>
      </c>
      <c r="K13" s="42">
        <v>50000</v>
      </c>
      <c r="L13" s="42"/>
      <c r="M13" s="42"/>
    </row>
    <row r="14" spans="1:13" x14ac:dyDescent="0.2">
      <c r="A14" s="78" t="s">
        <v>6</v>
      </c>
      <c r="B14" s="43">
        <f>SUM(B5:B13)</f>
        <v>0</v>
      </c>
      <c r="C14" s="43">
        <f>SUM(C5:C13)</f>
        <v>0</v>
      </c>
      <c r="D14" s="43">
        <f t="shared" ref="D14:M14" si="1">SUM(D5:D13)</f>
        <v>59200</v>
      </c>
      <c r="E14" s="43">
        <f t="shared" si="1"/>
        <v>118400</v>
      </c>
      <c r="F14" s="43">
        <f t="shared" si="1"/>
        <v>177600</v>
      </c>
      <c r="G14" s="43">
        <f t="shared" si="1"/>
        <v>236800</v>
      </c>
      <c r="H14" s="43">
        <f t="shared" si="1"/>
        <v>296100</v>
      </c>
      <c r="I14" s="43">
        <f t="shared" si="1"/>
        <v>355400</v>
      </c>
      <c r="J14" s="43">
        <f t="shared" si="1"/>
        <v>414700</v>
      </c>
      <c r="K14" s="43">
        <f t="shared" si="1"/>
        <v>474000</v>
      </c>
      <c r="L14" s="43">
        <f t="shared" si="1"/>
        <v>474000</v>
      </c>
      <c r="M14" s="43">
        <f t="shared" si="1"/>
        <v>474000</v>
      </c>
    </row>
    <row r="15" spans="1:13" x14ac:dyDescent="0.2">
      <c r="A15" s="78" t="s">
        <v>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59200</v>
      </c>
      <c r="E16" s="43">
        <f t="shared" si="2"/>
        <v>118400</v>
      </c>
      <c r="F16" s="43">
        <f t="shared" si="2"/>
        <v>177600</v>
      </c>
      <c r="G16" s="43">
        <f t="shared" si="2"/>
        <v>236800</v>
      </c>
      <c r="H16" s="43">
        <f t="shared" si="2"/>
        <v>296100</v>
      </c>
      <c r="I16" s="43">
        <f t="shared" si="2"/>
        <v>355400</v>
      </c>
      <c r="J16" s="43">
        <f t="shared" si="2"/>
        <v>414700</v>
      </c>
      <c r="K16" s="43">
        <f t="shared" si="2"/>
        <v>474000</v>
      </c>
      <c r="L16" s="43">
        <f t="shared" si="2"/>
        <v>474000</v>
      </c>
      <c r="M16" s="43">
        <f t="shared" si="2"/>
        <v>474000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8"/>
  <dimension ref="A4:M84"/>
  <sheetViews>
    <sheetView topLeftCell="A4" workbookViewId="0">
      <selection activeCell="L17" sqref="L17"/>
    </sheetView>
  </sheetViews>
  <sheetFormatPr baseColWidth="10" defaultRowHeight="12.75" x14ac:dyDescent="0.2"/>
  <cols>
    <col min="1" max="1" width="33.85546875" customWidth="1"/>
    <col min="2" max="2" width="12.42578125" bestFit="1" customWidth="1"/>
    <col min="6" max="6" width="12.7109375" customWidth="1"/>
    <col min="7" max="8" width="12.5703125" customWidth="1"/>
    <col min="9" max="9" width="12.7109375" customWidth="1"/>
    <col min="10" max="10" width="12.85546875" customWidth="1"/>
    <col min="11" max="11" width="12.7109375" customWidth="1"/>
    <col min="12" max="12" width="13" customWidth="1"/>
    <col min="13" max="13" width="12.5703125" customWidth="1"/>
  </cols>
  <sheetData>
    <row r="4" spans="1:13" ht="15" x14ac:dyDescent="0.25">
      <c r="A4" s="103" t="s">
        <v>0</v>
      </c>
      <c r="B4" s="103" t="s">
        <v>1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5" x14ac:dyDescent="0.25">
      <c r="A5" s="64"/>
      <c r="B5" s="104">
        <v>45658</v>
      </c>
      <c r="C5" s="104">
        <v>45689</v>
      </c>
      <c r="D5" s="104">
        <v>45717</v>
      </c>
      <c r="E5" s="104">
        <v>45748</v>
      </c>
      <c r="F5" s="104">
        <v>45778</v>
      </c>
      <c r="G5" s="104">
        <v>45809</v>
      </c>
      <c r="H5" s="104">
        <v>45839</v>
      </c>
      <c r="I5" s="104">
        <v>45870</v>
      </c>
      <c r="J5" s="104">
        <v>45901</v>
      </c>
      <c r="K5" s="104">
        <v>45931</v>
      </c>
      <c r="L5" s="104">
        <v>45962</v>
      </c>
      <c r="M5" s="104">
        <v>45992</v>
      </c>
    </row>
    <row r="6" spans="1:13" ht="14.25" x14ac:dyDescent="0.2">
      <c r="A6" s="64" t="s">
        <v>110</v>
      </c>
      <c r="B6" s="42">
        <v>614000</v>
      </c>
      <c r="C6" s="42">
        <f>B17</f>
        <v>614150</v>
      </c>
      <c r="D6" s="42">
        <f t="shared" ref="D6:M6" si="0">C17</f>
        <v>714150</v>
      </c>
      <c r="E6" s="42">
        <f t="shared" si="0"/>
        <v>814150</v>
      </c>
      <c r="F6" s="42">
        <f t="shared" si="0"/>
        <v>914150</v>
      </c>
      <c r="G6" s="42">
        <f t="shared" si="0"/>
        <v>1014150</v>
      </c>
      <c r="H6" s="42">
        <f t="shared" si="0"/>
        <v>964150</v>
      </c>
      <c r="I6" s="42">
        <f t="shared" si="0"/>
        <v>664150</v>
      </c>
      <c r="J6" s="42">
        <f t="shared" si="0"/>
        <v>764150</v>
      </c>
      <c r="K6" s="42">
        <f t="shared" si="0"/>
        <v>864150</v>
      </c>
      <c r="L6" s="42">
        <f t="shared" si="0"/>
        <v>664150</v>
      </c>
      <c r="M6" s="42">
        <f t="shared" si="0"/>
        <v>294150</v>
      </c>
    </row>
    <row r="7" spans="1:13" ht="14.25" x14ac:dyDescent="0.2">
      <c r="A7" s="64" t="s">
        <v>326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4.25" x14ac:dyDescent="0.2">
      <c r="A8" s="64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4.25" x14ac:dyDescent="0.2">
      <c r="A9" s="64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4.25" x14ac:dyDescent="0.2">
      <c r="A10" s="64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4.25" x14ac:dyDescent="0.2">
      <c r="A11" s="64" t="s">
        <v>326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4.25" x14ac:dyDescent="0.2">
      <c r="A12" s="64" t="s">
        <v>371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4.25" x14ac:dyDescent="0.2">
      <c r="A13" s="64" t="s">
        <v>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>
        <v>30000</v>
      </c>
      <c r="M13" s="42"/>
    </row>
    <row r="14" spans="1:13" ht="14.25" x14ac:dyDescent="0.2">
      <c r="A14" s="64" t="s">
        <v>5</v>
      </c>
      <c r="B14" s="42">
        <v>150</v>
      </c>
      <c r="C14" s="42">
        <v>100000</v>
      </c>
      <c r="D14" s="42">
        <v>100000</v>
      </c>
      <c r="E14" s="42">
        <v>100000</v>
      </c>
      <c r="F14" s="42">
        <v>100000</v>
      </c>
      <c r="G14" s="42">
        <v>100000</v>
      </c>
      <c r="H14" s="42">
        <v>100000</v>
      </c>
      <c r="I14" s="42">
        <v>100000</v>
      </c>
      <c r="J14" s="42">
        <v>100000</v>
      </c>
      <c r="K14" s="42">
        <v>100000</v>
      </c>
      <c r="L14" s="42">
        <v>100000</v>
      </c>
      <c r="M14" s="42"/>
    </row>
    <row r="15" spans="1:13" ht="14.25" x14ac:dyDescent="0.2">
      <c r="A15" s="64" t="s">
        <v>6</v>
      </c>
      <c r="B15" s="43">
        <f>SUM(B6:B14)</f>
        <v>614150</v>
      </c>
      <c r="C15" s="43">
        <f t="shared" ref="C15:M15" si="1">SUM(C6:C14)</f>
        <v>714150</v>
      </c>
      <c r="D15" s="43">
        <f t="shared" si="1"/>
        <v>814150</v>
      </c>
      <c r="E15" s="43">
        <f t="shared" si="1"/>
        <v>914150</v>
      </c>
      <c r="F15" s="43">
        <f t="shared" si="1"/>
        <v>1014150</v>
      </c>
      <c r="G15" s="43">
        <f t="shared" si="1"/>
        <v>1114150</v>
      </c>
      <c r="H15" s="43">
        <f t="shared" si="1"/>
        <v>1064150</v>
      </c>
      <c r="I15" s="43">
        <f t="shared" si="1"/>
        <v>764150</v>
      </c>
      <c r="J15" s="43">
        <f t="shared" si="1"/>
        <v>864150</v>
      </c>
      <c r="K15" s="43">
        <f t="shared" si="1"/>
        <v>964150</v>
      </c>
      <c r="L15" s="43">
        <f t="shared" si="1"/>
        <v>794150</v>
      </c>
      <c r="M15" s="43">
        <f t="shared" si="1"/>
        <v>294150</v>
      </c>
    </row>
    <row r="16" spans="1:13" ht="14.25" x14ac:dyDescent="0.2">
      <c r="A16" s="64" t="s">
        <v>7</v>
      </c>
      <c r="B16" s="44"/>
      <c r="C16" s="44"/>
      <c r="D16" s="44"/>
      <c r="E16" s="44"/>
      <c r="F16" s="44"/>
      <c r="G16" s="44">
        <v>150000</v>
      </c>
      <c r="H16" s="44">
        <v>400000</v>
      </c>
      <c r="I16" s="44"/>
      <c r="J16" s="44"/>
      <c r="K16" s="44">
        <v>300000</v>
      </c>
      <c r="L16" s="44">
        <v>500000</v>
      </c>
      <c r="M16" s="44"/>
    </row>
    <row r="17" spans="1:13" ht="14.25" x14ac:dyDescent="0.2">
      <c r="A17" s="64" t="s">
        <v>111</v>
      </c>
      <c r="B17" s="43">
        <f>B15-B16</f>
        <v>614150</v>
      </c>
      <c r="C17" s="43">
        <f>C15-C16</f>
        <v>714150</v>
      </c>
      <c r="D17" s="43">
        <f t="shared" ref="D17:M17" si="2">D15-D16</f>
        <v>814150</v>
      </c>
      <c r="E17" s="43">
        <f t="shared" si="2"/>
        <v>914150</v>
      </c>
      <c r="F17" s="43">
        <f t="shared" si="2"/>
        <v>1014150</v>
      </c>
      <c r="G17" s="43">
        <f t="shared" si="2"/>
        <v>964150</v>
      </c>
      <c r="H17" s="43">
        <f t="shared" si="2"/>
        <v>664150</v>
      </c>
      <c r="I17" s="43">
        <f t="shared" si="2"/>
        <v>764150</v>
      </c>
      <c r="J17" s="43">
        <f t="shared" si="2"/>
        <v>864150</v>
      </c>
      <c r="K17" s="43">
        <f t="shared" si="2"/>
        <v>664150</v>
      </c>
      <c r="L17" s="43">
        <f t="shared" si="2"/>
        <v>294150</v>
      </c>
      <c r="M17" s="43">
        <f t="shared" si="2"/>
        <v>294150</v>
      </c>
    </row>
    <row r="21" spans="1:13" ht="15" x14ac:dyDescent="0.25">
      <c r="A21" s="103" t="s">
        <v>0</v>
      </c>
      <c r="B21" s="103" t="s">
        <v>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</row>
    <row r="22" spans="1:13" x14ac:dyDescent="0.2">
      <c r="A22" s="65"/>
      <c r="B22" s="68">
        <v>44927</v>
      </c>
      <c r="C22" s="68">
        <v>44958</v>
      </c>
      <c r="D22" s="68">
        <v>44986</v>
      </c>
      <c r="E22" s="68">
        <v>45017</v>
      </c>
      <c r="F22" s="68">
        <v>45047</v>
      </c>
      <c r="G22" s="68">
        <v>45078</v>
      </c>
      <c r="H22" s="68">
        <v>45108</v>
      </c>
      <c r="I22" s="68">
        <v>45139</v>
      </c>
      <c r="J22" s="68">
        <v>45170</v>
      </c>
      <c r="K22" s="68">
        <v>45200</v>
      </c>
      <c r="L22" s="68">
        <v>45231</v>
      </c>
      <c r="M22" s="68">
        <v>45261</v>
      </c>
    </row>
    <row r="23" spans="1:13" x14ac:dyDescent="0.2">
      <c r="A23" s="65" t="s">
        <v>110</v>
      </c>
      <c r="B23" s="69">
        <v>30000</v>
      </c>
      <c r="C23" s="69">
        <f t="shared" ref="C23:M23" si="3">B34</f>
        <v>50000</v>
      </c>
      <c r="D23" s="69">
        <f t="shared" si="3"/>
        <v>0</v>
      </c>
      <c r="E23" s="69">
        <f t="shared" si="3"/>
        <v>22000</v>
      </c>
      <c r="F23" s="69">
        <f t="shared" si="3"/>
        <v>44000</v>
      </c>
      <c r="G23" s="69">
        <f t="shared" si="3"/>
        <v>69000</v>
      </c>
      <c r="H23" s="69">
        <f t="shared" si="3"/>
        <v>94000</v>
      </c>
      <c r="I23" s="69">
        <f t="shared" si="3"/>
        <v>119000</v>
      </c>
      <c r="J23" s="69">
        <f t="shared" si="3"/>
        <v>154000</v>
      </c>
      <c r="K23" s="69">
        <f t="shared" si="3"/>
        <v>64000</v>
      </c>
      <c r="L23" s="69">
        <f t="shared" si="3"/>
        <v>99000</v>
      </c>
      <c r="M23" s="69">
        <f t="shared" si="3"/>
        <v>134000</v>
      </c>
    </row>
    <row r="24" spans="1:13" x14ac:dyDescent="0.2">
      <c r="A24" s="65" t="s">
        <v>326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4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73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342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5</v>
      </c>
      <c r="B31" s="69">
        <v>20000</v>
      </c>
      <c r="C31" s="69">
        <v>20000</v>
      </c>
      <c r="D31" s="69">
        <v>22000</v>
      </c>
      <c r="E31" s="69">
        <v>22000</v>
      </c>
      <c r="F31" s="69">
        <v>25000</v>
      </c>
      <c r="G31" s="69">
        <v>25000</v>
      </c>
      <c r="H31" s="69">
        <v>25000</v>
      </c>
      <c r="I31" s="69">
        <v>35000</v>
      </c>
      <c r="J31" s="69">
        <v>35000</v>
      </c>
      <c r="K31" s="69">
        <v>35000</v>
      </c>
      <c r="L31" s="69">
        <v>35000</v>
      </c>
      <c r="M31" s="69">
        <v>40000</v>
      </c>
    </row>
    <row r="32" spans="1:13" x14ac:dyDescent="0.2">
      <c r="A32" s="65" t="s">
        <v>6</v>
      </c>
      <c r="B32" s="70">
        <f>SUM(B23:B31)</f>
        <v>50000</v>
      </c>
      <c r="C32" s="70">
        <f t="shared" ref="C32:M32" si="4">SUM(C23:C31)</f>
        <v>70000</v>
      </c>
      <c r="D32" s="70">
        <f t="shared" si="4"/>
        <v>22000</v>
      </c>
      <c r="E32" s="70">
        <f t="shared" si="4"/>
        <v>44000</v>
      </c>
      <c r="F32" s="70">
        <f t="shared" si="4"/>
        <v>69000</v>
      </c>
      <c r="G32" s="70">
        <f t="shared" si="4"/>
        <v>94000</v>
      </c>
      <c r="H32" s="70">
        <f t="shared" si="4"/>
        <v>119000</v>
      </c>
      <c r="I32" s="70">
        <f t="shared" si="4"/>
        <v>154000</v>
      </c>
      <c r="J32" s="70">
        <f t="shared" si="4"/>
        <v>189000</v>
      </c>
      <c r="K32" s="70">
        <f t="shared" si="4"/>
        <v>99000</v>
      </c>
      <c r="L32" s="70">
        <f t="shared" si="4"/>
        <v>134000</v>
      </c>
      <c r="M32" s="70">
        <f t="shared" si="4"/>
        <v>174000</v>
      </c>
    </row>
    <row r="33" spans="1:13" x14ac:dyDescent="0.2">
      <c r="A33" s="65" t="s">
        <v>7</v>
      </c>
      <c r="B33" s="71"/>
      <c r="C33" s="71">
        <v>70000</v>
      </c>
      <c r="D33" s="71"/>
      <c r="E33" s="71"/>
      <c r="F33" s="71"/>
      <c r="G33" s="71"/>
      <c r="H33" s="71"/>
      <c r="I33" s="71"/>
      <c r="J33" s="71">
        <v>125000</v>
      </c>
      <c r="K33" s="71"/>
      <c r="L33" s="71"/>
      <c r="M33" s="71"/>
    </row>
    <row r="34" spans="1:13" x14ac:dyDescent="0.2">
      <c r="A34" s="65" t="s">
        <v>111</v>
      </c>
      <c r="B34" s="70">
        <f>B32-B33</f>
        <v>50000</v>
      </c>
      <c r="C34" s="70">
        <f>C32-C33</f>
        <v>0</v>
      </c>
      <c r="D34" s="70">
        <f t="shared" ref="D34:M34" si="5">D32-D33</f>
        <v>22000</v>
      </c>
      <c r="E34" s="70">
        <f t="shared" si="5"/>
        <v>44000</v>
      </c>
      <c r="F34" s="70">
        <f t="shared" si="5"/>
        <v>69000</v>
      </c>
      <c r="G34" s="70">
        <f t="shared" si="5"/>
        <v>94000</v>
      </c>
      <c r="H34" s="70">
        <f t="shared" si="5"/>
        <v>119000</v>
      </c>
      <c r="I34" s="70">
        <f t="shared" si="5"/>
        <v>154000</v>
      </c>
      <c r="J34" s="70">
        <f t="shared" si="5"/>
        <v>64000</v>
      </c>
      <c r="K34" s="70">
        <f t="shared" si="5"/>
        <v>99000</v>
      </c>
      <c r="L34" s="70">
        <f t="shared" si="5"/>
        <v>134000</v>
      </c>
      <c r="M34" s="70">
        <f t="shared" si="5"/>
        <v>174000</v>
      </c>
    </row>
    <row r="37" spans="1:13" ht="15" x14ac:dyDescent="0.25">
      <c r="A37" s="103" t="s">
        <v>0</v>
      </c>
      <c r="B37" s="103" t="s">
        <v>1</v>
      </c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</row>
    <row r="38" spans="1:13" x14ac:dyDescent="0.2">
      <c r="A38" s="78"/>
      <c r="B38" s="79">
        <v>45292</v>
      </c>
      <c r="C38" s="79">
        <v>45323</v>
      </c>
      <c r="D38" s="79">
        <v>45352</v>
      </c>
      <c r="E38" s="79">
        <v>45383</v>
      </c>
      <c r="F38" s="79">
        <v>45413</v>
      </c>
      <c r="G38" s="79">
        <v>45444</v>
      </c>
      <c r="H38" s="79">
        <v>45474</v>
      </c>
      <c r="I38" s="79">
        <v>45505</v>
      </c>
      <c r="J38" s="79">
        <v>45536</v>
      </c>
      <c r="K38" s="79">
        <v>45566</v>
      </c>
      <c r="L38" s="79">
        <v>45597</v>
      </c>
      <c r="M38" s="79">
        <v>45627</v>
      </c>
    </row>
    <row r="39" spans="1:13" x14ac:dyDescent="0.2">
      <c r="A39" s="78" t="s">
        <v>110</v>
      </c>
      <c r="B39" s="42">
        <v>170000</v>
      </c>
      <c r="C39" s="42">
        <f t="shared" ref="C39:M39" si="6">B50</f>
        <v>85027</v>
      </c>
      <c r="D39" s="42">
        <f t="shared" si="6"/>
        <v>135027</v>
      </c>
      <c r="E39" s="42">
        <f t="shared" si="6"/>
        <v>185027</v>
      </c>
      <c r="F39" s="42">
        <f t="shared" si="6"/>
        <v>249027</v>
      </c>
      <c r="G39" s="42">
        <f t="shared" si="6"/>
        <v>314027</v>
      </c>
      <c r="H39" s="42">
        <f t="shared" si="6"/>
        <v>379027</v>
      </c>
      <c r="I39" s="42">
        <f t="shared" si="6"/>
        <v>444027</v>
      </c>
      <c r="J39" s="42">
        <f t="shared" si="6"/>
        <v>509027</v>
      </c>
      <c r="K39" s="42">
        <f t="shared" si="6"/>
        <v>374027</v>
      </c>
      <c r="L39" s="42">
        <f t="shared" si="6"/>
        <v>444027</v>
      </c>
      <c r="M39" s="42">
        <f t="shared" si="6"/>
        <v>534027</v>
      </c>
    </row>
    <row r="40" spans="1:13" x14ac:dyDescent="0.2">
      <c r="A40" s="78" t="s">
        <v>326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9</v>
      </c>
      <c r="B43" s="42">
        <v>11027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401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371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>
        <v>20000</v>
      </c>
      <c r="M46" s="42"/>
    </row>
    <row r="47" spans="1:13" x14ac:dyDescent="0.2">
      <c r="A47" s="78" t="s">
        <v>5</v>
      </c>
      <c r="B47" s="42">
        <v>50000</v>
      </c>
      <c r="C47" s="42">
        <v>50000</v>
      </c>
      <c r="D47" s="42">
        <v>50000</v>
      </c>
      <c r="E47" s="42">
        <v>64000</v>
      </c>
      <c r="F47" s="42">
        <v>65000</v>
      </c>
      <c r="G47" s="42">
        <v>65000</v>
      </c>
      <c r="H47" s="42">
        <v>65000</v>
      </c>
      <c r="I47" s="42">
        <v>65000</v>
      </c>
      <c r="J47" s="42">
        <v>65000</v>
      </c>
      <c r="K47" s="42">
        <v>70000</v>
      </c>
      <c r="L47" s="42">
        <v>70000</v>
      </c>
      <c r="M47" s="42">
        <v>80000</v>
      </c>
    </row>
    <row r="48" spans="1:13" x14ac:dyDescent="0.2">
      <c r="A48" s="78" t="s">
        <v>6</v>
      </c>
      <c r="B48" s="43">
        <f>SUM(B39:B47)</f>
        <v>231027</v>
      </c>
      <c r="C48" s="43">
        <f t="shared" ref="C48:M48" si="7">SUM(C39:C47)</f>
        <v>135027</v>
      </c>
      <c r="D48" s="43">
        <f t="shared" si="7"/>
        <v>185027</v>
      </c>
      <c r="E48" s="43">
        <f t="shared" si="7"/>
        <v>249027</v>
      </c>
      <c r="F48" s="43">
        <f t="shared" si="7"/>
        <v>314027</v>
      </c>
      <c r="G48" s="43">
        <f t="shared" si="7"/>
        <v>379027</v>
      </c>
      <c r="H48" s="43">
        <f t="shared" si="7"/>
        <v>444027</v>
      </c>
      <c r="I48" s="43">
        <f t="shared" si="7"/>
        <v>509027</v>
      </c>
      <c r="J48" s="43">
        <f t="shared" si="7"/>
        <v>574027</v>
      </c>
      <c r="K48" s="43">
        <f t="shared" si="7"/>
        <v>444027</v>
      </c>
      <c r="L48" s="43">
        <f t="shared" si="7"/>
        <v>534027</v>
      </c>
      <c r="M48" s="43">
        <f t="shared" si="7"/>
        <v>614027</v>
      </c>
    </row>
    <row r="49" spans="1:13" x14ac:dyDescent="0.2">
      <c r="A49" s="78" t="s">
        <v>7</v>
      </c>
      <c r="B49" s="44">
        <v>146000</v>
      </c>
      <c r="C49" s="44"/>
      <c r="D49" s="44"/>
      <c r="E49" s="44"/>
      <c r="F49" s="44"/>
      <c r="G49" s="44"/>
      <c r="H49" s="44"/>
      <c r="I49" s="44"/>
      <c r="J49" s="44">
        <v>200000</v>
      </c>
      <c r="K49" s="44"/>
      <c r="L49" s="44"/>
      <c r="M49" s="44"/>
    </row>
    <row r="50" spans="1:13" x14ac:dyDescent="0.2">
      <c r="A50" s="78" t="s">
        <v>111</v>
      </c>
      <c r="B50" s="43">
        <f>B48-B49</f>
        <v>85027</v>
      </c>
      <c r="C50" s="43">
        <f>C48-C49</f>
        <v>135027</v>
      </c>
      <c r="D50" s="43">
        <f t="shared" ref="D50:M50" si="8">D48-D49</f>
        <v>185027</v>
      </c>
      <c r="E50" s="43">
        <f t="shared" si="8"/>
        <v>249027</v>
      </c>
      <c r="F50" s="43">
        <f t="shared" si="8"/>
        <v>314027</v>
      </c>
      <c r="G50" s="43">
        <f t="shared" si="8"/>
        <v>379027</v>
      </c>
      <c r="H50" s="43">
        <f t="shared" si="8"/>
        <v>444027</v>
      </c>
      <c r="I50" s="43">
        <f t="shared" si="8"/>
        <v>509027</v>
      </c>
      <c r="J50" s="43">
        <f t="shared" si="8"/>
        <v>374027</v>
      </c>
      <c r="K50" s="43">
        <f t="shared" si="8"/>
        <v>444027</v>
      </c>
      <c r="L50" s="43">
        <f t="shared" si="8"/>
        <v>534027</v>
      </c>
      <c r="M50" s="43">
        <f t="shared" si="8"/>
        <v>614027</v>
      </c>
    </row>
    <row r="55" spans="1:13" ht="15" x14ac:dyDescent="0.25">
      <c r="A55" s="103" t="s">
        <v>0</v>
      </c>
      <c r="B55" s="103" t="s">
        <v>1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spans="1:13" ht="15" x14ac:dyDescent="0.25">
      <c r="A56" s="64"/>
      <c r="B56" s="104">
        <v>43831</v>
      </c>
      <c r="C56" s="104">
        <v>43862</v>
      </c>
      <c r="D56" s="104">
        <v>43891</v>
      </c>
      <c r="E56" s="104">
        <v>43922</v>
      </c>
      <c r="F56" s="104">
        <v>43952</v>
      </c>
      <c r="G56" s="104">
        <v>43983</v>
      </c>
      <c r="H56" s="104">
        <v>44013</v>
      </c>
      <c r="I56" s="104">
        <v>44044</v>
      </c>
      <c r="J56" s="104">
        <v>44075</v>
      </c>
      <c r="K56" s="104">
        <v>44105</v>
      </c>
      <c r="L56" s="104">
        <v>44136</v>
      </c>
      <c r="M56" s="104">
        <v>44166</v>
      </c>
    </row>
    <row r="57" spans="1:13" ht="14.25" x14ac:dyDescent="0.2">
      <c r="A57" s="64" t="s">
        <v>110</v>
      </c>
      <c r="B57" s="87">
        <v>72590</v>
      </c>
      <c r="C57" s="87">
        <f t="shared" ref="C57:M57" si="9">B68</f>
        <v>75040</v>
      </c>
      <c r="D57" s="87">
        <f t="shared" si="9"/>
        <v>57510</v>
      </c>
      <c r="E57" s="87">
        <f t="shared" si="9"/>
        <v>59180</v>
      </c>
      <c r="F57" s="87">
        <f t="shared" si="9"/>
        <v>60840</v>
      </c>
      <c r="G57" s="87">
        <f t="shared" si="9"/>
        <v>46640</v>
      </c>
      <c r="H57" s="87">
        <f t="shared" si="9"/>
        <v>38240</v>
      </c>
      <c r="I57" s="87">
        <f t="shared" si="9"/>
        <v>39040</v>
      </c>
      <c r="J57" s="87">
        <f t="shared" si="9"/>
        <v>30016</v>
      </c>
      <c r="K57" s="87">
        <f t="shared" si="9"/>
        <v>30816</v>
      </c>
      <c r="L57" s="87">
        <f t="shared" si="9"/>
        <v>31616</v>
      </c>
      <c r="M57" s="87">
        <f t="shared" si="9"/>
        <v>32416</v>
      </c>
    </row>
    <row r="58" spans="1:13" ht="14.25" x14ac:dyDescent="0.2">
      <c r="A58" s="64" t="s">
        <v>326</v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</row>
    <row r="59" spans="1:13" ht="14.25" x14ac:dyDescent="0.2">
      <c r="A59" s="64" t="s">
        <v>3</v>
      </c>
      <c r="B59" s="87">
        <v>800</v>
      </c>
      <c r="C59" s="87">
        <v>800</v>
      </c>
      <c r="D59" s="87"/>
      <c r="E59" s="87"/>
      <c r="F59" s="87"/>
      <c r="G59" s="87">
        <v>800</v>
      </c>
      <c r="H59" s="87"/>
      <c r="I59" s="87"/>
      <c r="J59" s="87"/>
      <c r="K59" s="87"/>
      <c r="L59" s="87"/>
      <c r="M59" s="87"/>
    </row>
    <row r="60" spans="1:13" ht="14.25" x14ac:dyDescent="0.2">
      <c r="A60" s="64" t="s">
        <v>4</v>
      </c>
      <c r="B60" s="87">
        <v>850</v>
      </c>
      <c r="C60" s="87">
        <v>870</v>
      </c>
      <c r="D60" s="87">
        <v>870</v>
      </c>
      <c r="E60" s="87">
        <v>860</v>
      </c>
      <c r="F60" s="87" t="s">
        <v>460</v>
      </c>
      <c r="G60" s="87"/>
      <c r="H60" s="87"/>
      <c r="I60" s="87"/>
      <c r="J60" s="87"/>
      <c r="K60" s="87"/>
      <c r="L60" s="87"/>
      <c r="M60" s="87"/>
    </row>
    <row r="61" spans="1:13" ht="14.25" x14ac:dyDescent="0.2">
      <c r="A61" s="64" t="s">
        <v>9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</row>
    <row r="62" spans="1:13" ht="14.25" x14ac:dyDescent="0.2">
      <c r="A62" s="64" t="s">
        <v>73</v>
      </c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</row>
    <row r="63" spans="1:13" ht="14.25" x14ac:dyDescent="0.2">
      <c r="A63" s="64" t="s">
        <v>3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</row>
    <row r="64" spans="1:13" ht="14.25" x14ac:dyDescent="0.2">
      <c r="A64" s="64" t="s">
        <v>405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</row>
    <row r="65" spans="1:13" ht="14.25" x14ac:dyDescent="0.2">
      <c r="A65" s="64" t="s">
        <v>5</v>
      </c>
      <c r="B65" s="87">
        <v>800</v>
      </c>
      <c r="C65" s="87">
        <v>800</v>
      </c>
      <c r="D65" s="87">
        <v>800</v>
      </c>
      <c r="E65" s="87">
        <v>800</v>
      </c>
      <c r="F65" s="87">
        <v>800</v>
      </c>
      <c r="G65" s="87">
        <v>800</v>
      </c>
      <c r="H65" s="87">
        <v>800</v>
      </c>
      <c r="I65" s="87">
        <v>800</v>
      </c>
      <c r="J65" s="87">
        <v>800</v>
      </c>
      <c r="K65" s="87">
        <v>800</v>
      </c>
      <c r="L65" s="87">
        <v>800</v>
      </c>
      <c r="M65" s="87">
        <v>1000</v>
      </c>
    </row>
    <row r="66" spans="1:13" ht="14.25" x14ac:dyDescent="0.2">
      <c r="A66" s="64" t="s">
        <v>6</v>
      </c>
      <c r="B66" s="88">
        <f>SUM(B57:B65)</f>
        <v>75040</v>
      </c>
      <c r="C66" s="88">
        <f t="shared" ref="C66:M66" si="10">SUM(C57:C65)</f>
        <v>77510</v>
      </c>
      <c r="D66" s="88">
        <f t="shared" si="10"/>
        <v>59180</v>
      </c>
      <c r="E66" s="88">
        <f t="shared" si="10"/>
        <v>60840</v>
      </c>
      <c r="F66" s="88">
        <f t="shared" si="10"/>
        <v>61640</v>
      </c>
      <c r="G66" s="88">
        <f t="shared" si="10"/>
        <v>48240</v>
      </c>
      <c r="H66" s="88">
        <f t="shared" si="10"/>
        <v>39040</v>
      </c>
      <c r="I66" s="88">
        <f t="shared" si="10"/>
        <v>39840</v>
      </c>
      <c r="J66" s="88">
        <f t="shared" si="10"/>
        <v>30816</v>
      </c>
      <c r="K66" s="88">
        <f t="shared" si="10"/>
        <v>31616</v>
      </c>
      <c r="L66" s="88">
        <f t="shared" si="10"/>
        <v>32416</v>
      </c>
      <c r="M66" s="88">
        <f t="shared" si="10"/>
        <v>33416</v>
      </c>
    </row>
    <row r="67" spans="1:13" ht="14.25" x14ac:dyDescent="0.2">
      <c r="A67" s="64" t="s">
        <v>7</v>
      </c>
      <c r="B67" s="89"/>
      <c r="C67" s="89">
        <v>20000</v>
      </c>
      <c r="D67" s="89"/>
      <c r="E67" s="89"/>
      <c r="F67" s="89">
        <v>15000</v>
      </c>
      <c r="G67" s="89">
        <v>10000</v>
      </c>
      <c r="H67" s="89"/>
      <c r="I67" s="89">
        <v>9824</v>
      </c>
      <c r="J67" s="89"/>
      <c r="K67" s="89"/>
      <c r="L67" s="89"/>
      <c r="M67" s="89">
        <v>28500</v>
      </c>
    </row>
    <row r="68" spans="1:13" ht="14.25" x14ac:dyDescent="0.2">
      <c r="A68" s="64" t="s">
        <v>111</v>
      </c>
      <c r="B68" s="88">
        <f>B66-B67</f>
        <v>75040</v>
      </c>
      <c r="C68" s="88">
        <f>C66-C67</f>
        <v>57510</v>
      </c>
      <c r="D68" s="88">
        <f t="shared" ref="D68:M68" si="11">D66-D67</f>
        <v>59180</v>
      </c>
      <c r="E68" s="88">
        <f t="shared" si="11"/>
        <v>60840</v>
      </c>
      <c r="F68" s="88">
        <f t="shared" si="11"/>
        <v>46640</v>
      </c>
      <c r="G68" s="88">
        <f t="shared" si="11"/>
        <v>38240</v>
      </c>
      <c r="H68" s="88">
        <f t="shared" si="11"/>
        <v>39040</v>
      </c>
      <c r="I68" s="88">
        <f t="shared" si="11"/>
        <v>30016</v>
      </c>
      <c r="J68" s="88">
        <f t="shared" si="11"/>
        <v>30816</v>
      </c>
      <c r="K68" s="88">
        <f t="shared" si="11"/>
        <v>31616</v>
      </c>
      <c r="L68" s="88">
        <f t="shared" si="11"/>
        <v>32416</v>
      </c>
      <c r="M68" s="88">
        <f t="shared" si="11"/>
        <v>4916</v>
      </c>
    </row>
    <row r="71" spans="1:13" ht="15" x14ac:dyDescent="0.25">
      <c r="A71" s="103" t="s">
        <v>0</v>
      </c>
      <c r="B71" s="103" t="s">
        <v>1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</row>
    <row r="72" spans="1:13" x14ac:dyDescent="0.2">
      <c r="A72" s="78"/>
      <c r="B72" s="79">
        <v>44197</v>
      </c>
      <c r="C72" s="79">
        <v>44228</v>
      </c>
      <c r="D72" s="79">
        <v>44256</v>
      </c>
      <c r="E72" s="79">
        <v>44287</v>
      </c>
      <c r="F72" s="79">
        <v>44317</v>
      </c>
      <c r="G72" s="79">
        <v>44348</v>
      </c>
      <c r="H72" s="79">
        <v>44378</v>
      </c>
      <c r="I72" s="79">
        <v>44409</v>
      </c>
      <c r="J72" s="79">
        <v>44440</v>
      </c>
      <c r="K72" s="79">
        <v>44470</v>
      </c>
      <c r="L72" s="79">
        <v>44501</v>
      </c>
      <c r="M72" s="79">
        <v>44531</v>
      </c>
    </row>
    <row r="73" spans="1:13" x14ac:dyDescent="0.2">
      <c r="A73" s="78" t="s">
        <v>110</v>
      </c>
      <c r="B73" s="42"/>
      <c r="C73" s="42">
        <f t="shared" ref="C73:M73" si="12">B84</f>
        <v>7100</v>
      </c>
      <c r="D73" s="42">
        <f t="shared" si="12"/>
        <v>14230</v>
      </c>
      <c r="E73" s="42">
        <f t="shared" si="12"/>
        <v>19230</v>
      </c>
      <c r="F73" s="42">
        <f t="shared" si="12"/>
        <v>24230</v>
      </c>
      <c r="G73" s="42">
        <f t="shared" si="12"/>
        <v>31360</v>
      </c>
      <c r="H73" s="42">
        <f t="shared" si="12"/>
        <v>18490</v>
      </c>
      <c r="I73" s="42">
        <f t="shared" si="12"/>
        <v>25620</v>
      </c>
      <c r="J73" s="42">
        <f t="shared" si="12"/>
        <v>2750</v>
      </c>
      <c r="K73" s="42">
        <f t="shared" si="12"/>
        <v>2750</v>
      </c>
      <c r="L73" s="42">
        <f t="shared" si="12"/>
        <v>2750</v>
      </c>
      <c r="M73" s="42">
        <f t="shared" si="12"/>
        <v>2750</v>
      </c>
    </row>
    <row r="74" spans="1:13" x14ac:dyDescent="0.2">
      <c r="A74" s="78" t="s">
        <v>326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</row>
    <row r="75" spans="1:13" x14ac:dyDescent="0.2">
      <c r="A75" s="78" t="s">
        <v>3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</row>
    <row r="76" spans="1:13" x14ac:dyDescent="0.2">
      <c r="A76" s="78" t="s">
        <v>4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</row>
    <row r="77" spans="1:13" x14ac:dyDescent="0.2">
      <c r="A77" s="78" t="s">
        <v>9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spans="1:13" x14ac:dyDescent="0.2">
      <c r="A78" s="78" t="s">
        <v>73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x14ac:dyDescent="0.2">
      <c r="A79" s="78" t="s">
        <v>3</v>
      </c>
      <c r="B79" s="42">
        <v>2100</v>
      </c>
      <c r="C79" s="42">
        <v>2130</v>
      </c>
      <c r="D79" s="42"/>
      <c r="E79" s="42"/>
      <c r="F79" s="42">
        <v>2130</v>
      </c>
      <c r="G79" s="42">
        <v>2130</v>
      </c>
      <c r="H79" s="42">
        <v>2130</v>
      </c>
      <c r="I79" s="42">
        <v>2130</v>
      </c>
      <c r="J79" s="42"/>
      <c r="K79" s="42"/>
      <c r="L79" s="42"/>
      <c r="M79" s="42"/>
    </row>
    <row r="80" spans="1:13" x14ac:dyDescent="0.2">
      <c r="A80" s="78" t="s">
        <v>405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spans="1:13" x14ac:dyDescent="0.2">
      <c r="A81" s="78" t="s">
        <v>5</v>
      </c>
      <c r="B81" s="42">
        <v>5000</v>
      </c>
      <c r="C81" s="42">
        <v>5000</v>
      </c>
      <c r="D81" s="42">
        <v>5000</v>
      </c>
      <c r="E81" s="42">
        <v>5000</v>
      </c>
      <c r="F81" s="42">
        <v>5000</v>
      </c>
      <c r="G81" s="42">
        <v>5000</v>
      </c>
      <c r="H81" s="42">
        <v>5000</v>
      </c>
      <c r="I81" s="42">
        <v>5000</v>
      </c>
      <c r="J81" s="42"/>
      <c r="K81" s="42"/>
      <c r="L81" s="42"/>
      <c r="M81" s="42"/>
    </row>
    <row r="82" spans="1:13" x14ac:dyDescent="0.2">
      <c r="A82" s="78" t="s">
        <v>6</v>
      </c>
      <c r="B82" s="43">
        <f>SUM(B73:B81)</f>
        <v>7100</v>
      </c>
      <c r="C82" s="43">
        <f t="shared" ref="C82:M82" si="13">SUM(C73:C81)</f>
        <v>14230</v>
      </c>
      <c r="D82" s="43">
        <f t="shared" si="13"/>
        <v>19230</v>
      </c>
      <c r="E82" s="43">
        <f t="shared" si="13"/>
        <v>24230</v>
      </c>
      <c r="F82" s="43">
        <f t="shared" si="13"/>
        <v>31360</v>
      </c>
      <c r="G82" s="43">
        <f t="shared" si="13"/>
        <v>38490</v>
      </c>
      <c r="H82" s="43">
        <f t="shared" si="13"/>
        <v>25620</v>
      </c>
      <c r="I82" s="43">
        <f t="shared" si="13"/>
        <v>32750</v>
      </c>
      <c r="J82" s="43">
        <f t="shared" si="13"/>
        <v>2750</v>
      </c>
      <c r="K82" s="43">
        <f t="shared" si="13"/>
        <v>2750</v>
      </c>
      <c r="L82" s="43">
        <f t="shared" si="13"/>
        <v>2750</v>
      </c>
      <c r="M82" s="43">
        <f t="shared" si="13"/>
        <v>2750</v>
      </c>
    </row>
    <row r="83" spans="1:13" x14ac:dyDescent="0.2">
      <c r="A83" s="78" t="s">
        <v>7</v>
      </c>
      <c r="B83" s="44"/>
      <c r="C83" s="44"/>
      <c r="D83" s="44"/>
      <c r="E83" s="44"/>
      <c r="F83" s="44"/>
      <c r="G83" s="44">
        <v>20000</v>
      </c>
      <c r="H83" s="44"/>
      <c r="I83" s="44">
        <v>30000</v>
      </c>
      <c r="J83" s="44"/>
      <c r="K83" s="44"/>
      <c r="L83" s="44"/>
      <c r="M83" s="44"/>
    </row>
    <row r="84" spans="1:13" x14ac:dyDescent="0.2">
      <c r="A84" s="78" t="s">
        <v>111</v>
      </c>
      <c r="B84" s="43">
        <f>B82-B83</f>
        <v>7100</v>
      </c>
      <c r="C84" s="43">
        <f>C82-C83</f>
        <v>14230</v>
      </c>
      <c r="D84" s="43">
        <f t="shared" ref="D84:M84" si="14">D82-D83</f>
        <v>19230</v>
      </c>
      <c r="E84" s="43">
        <f t="shared" si="14"/>
        <v>24230</v>
      </c>
      <c r="F84" s="43">
        <f t="shared" si="14"/>
        <v>31360</v>
      </c>
      <c r="G84" s="43">
        <f t="shared" si="14"/>
        <v>18490</v>
      </c>
      <c r="H84" s="43">
        <f t="shared" si="14"/>
        <v>25620</v>
      </c>
      <c r="I84" s="43">
        <f t="shared" si="14"/>
        <v>2750</v>
      </c>
      <c r="J84" s="43">
        <f t="shared" si="14"/>
        <v>2750</v>
      </c>
      <c r="K84" s="43">
        <f t="shared" si="14"/>
        <v>2750</v>
      </c>
      <c r="L84" s="43">
        <f t="shared" si="14"/>
        <v>2750</v>
      </c>
      <c r="M84" s="43">
        <f t="shared" si="14"/>
        <v>2750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9"/>
  <dimension ref="A3:O72"/>
  <sheetViews>
    <sheetView topLeftCell="A54" workbookViewId="0">
      <selection activeCell="D78" sqref="D78"/>
    </sheetView>
  </sheetViews>
  <sheetFormatPr baseColWidth="10" defaultRowHeight="12.75" x14ac:dyDescent="0.2"/>
  <cols>
    <col min="1" max="1" width="29.42578125" customWidth="1"/>
  </cols>
  <sheetData>
    <row r="3" spans="1:13" ht="14.25" x14ac:dyDescent="0.2">
      <c r="A3" s="102" t="s">
        <v>11</v>
      </c>
      <c r="B3" s="219" t="s">
        <v>91</v>
      </c>
      <c r="C3" s="219"/>
      <c r="D3" s="219"/>
      <c r="E3" s="219"/>
      <c r="F3" s="219"/>
      <c r="G3" s="219"/>
      <c r="H3" s="64"/>
      <c r="I3" s="64"/>
      <c r="J3" s="64"/>
      <c r="K3" s="64"/>
      <c r="L3" s="64"/>
      <c r="M3" s="64"/>
    </row>
    <row r="4" spans="1:13" ht="14.25" x14ac:dyDescent="0.2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5" x14ac:dyDescent="0.25">
      <c r="A5" s="103" t="s">
        <v>0</v>
      </c>
      <c r="B5" s="103" t="s">
        <v>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13" ht="15" x14ac:dyDescent="0.25">
      <c r="A6" s="64"/>
      <c r="B6" s="104">
        <v>43466</v>
      </c>
      <c r="C6" s="104">
        <v>43497</v>
      </c>
      <c r="D6" s="104">
        <v>43525</v>
      </c>
      <c r="E6" s="104">
        <v>43556</v>
      </c>
      <c r="F6" s="104">
        <v>43586</v>
      </c>
      <c r="G6" s="104">
        <v>43617</v>
      </c>
      <c r="H6" s="104">
        <v>43647</v>
      </c>
      <c r="I6" s="104">
        <v>43678</v>
      </c>
      <c r="J6" s="104">
        <v>43709</v>
      </c>
      <c r="K6" s="104">
        <v>43739</v>
      </c>
      <c r="L6" s="104">
        <v>43770</v>
      </c>
      <c r="M6" s="104">
        <v>43800</v>
      </c>
    </row>
    <row r="7" spans="1:13" ht="14.25" x14ac:dyDescent="0.2">
      <c r="A7" s="64" t="s">
        <v>110</v>
      </c>
      <c r="B7" s="87">
        <v>14830</v>
      </c>
      <c r="C7" s="87">
        <f>B18</f>
        <v>19210</v>
      </c>
      <c r="D7" s="87">
        <f t="shared" ref="D7:M7" si="0">C18</f>
        <v>6060</v>
      </c>
      <c r="E7" s="87">
        <f t="shared" si="0"/>
        <v>10565</v>
      </c>
      <c r="F7" s="87">
        <f t="shared" si="0"/>
        <v>8665</v>
      </c>
      <c r="G7" s="87">
        <f t="shared" si="0"/>
        <v>12965</v>
      </c>
      <c r="H7" s="87">
        <f t="shared" si="0"/>
        <v>17265</v>
      </c>
      <c r="I7" s="87">
        <f t="shared" si="0"/>
        <v>21565</v>
      </c>
      <c r="J7" s="87">
        <f t="shared" si="0"/>
        <v>25865</v>
      </c>
      <c r="K7" s="87">
        <f>J18</f>
        <v>30165</v>
      </c>
      <c r="L7" s="87">
        <f t="shared" si="0"/>
        <v>34165</v>
      </c>
      <c r="M7" s="87">
        <f t="shared" si="0"/>
        <v>38165</v>
      </c>
    </row>
    <row r="8" spans="1:13" ht="14.25" x14ac:dyDescent="0.2">
      <c r="A8" s="64" t="s">
        <v>76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</row>
    <row r="9" spans="1:13" ht="14.25" x14ac:dyDescent="0.2">
      <c r="A9" s="64" t="s">
        <v>3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</row>
    <row r="10" spans="1:13" ht="14.25" x14ac:dyDescent="0.2">
      <c r="A10" s="64" t="s">
        <v>4</v>
      </c>
      <c r="B10" s="87">
        <v>380</v>
      </c>
      <c r="C10" s="87">
        <v>850</v>
      </c>
      <c r="D10" s="87">
        <v>505</v>
      </c>
      <c r="E10" s="87">
        <v>300</v>
      </c>
      <c r="F10" s="87">
        <v>300</v>
      </c>
      <c r="G10" s="87">
        <v>300</v>
      </c>
      <c r="H10" s="87">
        <v>300</v>
      </c>
      <c r="I10" s="87">
        <v>300</v>
      </c>
      <c r="J10" s="87">
        <v>300</v>
      </c>
      <c r="K10" s="87"/>
      <c r="L10" s="87"/>
      <c r="M10" s="87">
        <v>720</v>
      </c>
    </row>
    <row r="11" spans="1:13" ht="14.25" x14ac:dyDescent="0.2">
      <c r="A11" s="64" t="s">
        <v>9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</row>
    <row r="12" spans="1:13" ht="14.25" x14ac:dyDescent="0.2">
      <c r="A12" s="64" t="s">
        <v>73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</row>
    <row r="13" spans="1:13" ht="14.25" x14ac:dyDescent="0.2">
      <c r="A13" s="64" t="s">
        <v>74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</row>
    <row r="14" spans="1:13" ht="14.25" x14ac:dyDescent="0.2">
      <c r="A14" s="64" t="s">
        <v>222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</row>
    <row r="15" spans="1:13" ht="14.25" x14ac:dyDescent="0.2">
      <c r="A15" s="64" t="s">
        <v>5</v>
      </c>
      <c r="B15" s="87">
        <v>4000</v>
      </c>
      <c r="C15" s="87">
        <v>4000</v>
      </c>
      <c r="D15" s="87">
        <v>4000</v>
      </c>
      <c r="E15" s="87">
        <v>4000</v>
      </c>
      <c r="F15" s="87">
        <v>4000</v>
      </c>
      <c r="G15" s="87">
        <v>4000</v>
      </c>
      <c r="H15" s="87">
        <v>4000</v>
      </c>
      <c r="I15" s="87">
        <v>4000</v>
      </c>
      <c r="J15" s="87">
        <v>4000</v>
      </c>
      <c r="K15" s="87">
        <v>4000</v>
      </c>
      <c r="L15" s="87">
        <v>4000</v>
      </c>
      <c r="M15" s="87">
        <v>4000</v>
      </c>
    </row>
    <row r="16" spans="1:13" ht="14.25" x14ac:dyDescent="0.2">
      <c r="A16" s="64" t="s">
        <v>6</v>
      </c>
      <c r="B16" s="88">
        <f>SUM(B7:B15)</f>
        <v>19210</v>
      </c>
      <c r="C16" s="88">
        <f t="shared" ref="C16:M16" si="1">SUM(C7:C15)</f>
        <v>24060</v>
      </c>
      <c r="D16" s="88">
        <f t="shared" si="1"/>
        <v>10565</v>
      </c>
      <c r="E16" s="88">
        <f t="shared" si="1"/>
        <v>14865</v>
      </c>
      <c r="F16" s="88">
        <f t="shared" si="1"/>
        <v>12965</v>
      </c>
      <c r="G16" s="88">
        <f t="shared" si="1"/>
        <v>17265</v>
      </c>
      <c r="H16" s="88">
        <f t="shared" si="1"/>
        <v>21565</v>
      </c>
      <c r="I16" s="88">
        <f t="shared" si="1"/>
        <v>25865</v>
      </c>
      <c r="J16" s="88">
        <f t="shared" si="1"/>
        <v>30165</v>
      </c>
      <c r="K16" s="88">
        <f t="shared" si="1"/>
        <v>34165</v>
      </c>
      <c r="L16" s="88">
        <f t="shared" si="1"/>
        <v>38165</v>
      </c>
      <c r="M16" s="88">
        <f t="shared" si="1"/>
        <v>42885</v>
      </c>
    </row>
    <row r="17" spans="1:13" ht="14.25" x14ac:dyDescent="0.2">
      <c r="A17" s="64" t="s">
        <v>7</v>
      </c>
      <c r="B17" s="89"/>
      <c r="C17" s="89">
        <v>18000</v>
      </c>
      <c r="D17" s="89"/>
      <c r="E17" s="89">
        <v>6200</v>
      </c>
      <c r="F17" s="89"/>
      <c r="G17" s="89"/>
      <c r="H17" s="89"/>
      <c r="I17" s="89"/>
      <c r="J17" s="89"/>
      <c r="K17" s="89"/>
      <c r="L17" s="89"/>
      <c r="M17" s="89"/>
    </row>
    <row r="18" spans="1:13" ht="14.25" x14ac:dyDescent="0.2">
      <c r="A18" s="64" t="s">
        <v>111</v>
      </c>
      <c r="B18" s="88">
        <f>B16-B17</f>
        <v>19210</v>
      </c>
      <c r="C18" s="88">
        <f>C16-C17</f>
        <v>6060</v>
      </c>
      <c r="D18" s="88">
        <f t="shared" ref="D18:M18" si="2">D16-D17</f>
        <v>10565</v>
      </c>
      <c r="E18" s="88">
        <f t="shared" si="2"/>
        <v>8665</v>
      </c>
      <c r="F18" s="88">
        <f t="shared" si="2"/>
        <v>12965</v>
      </c>
      <c r="G18" s="88">
        <f t="shared" si="2"/>
        <v>17265</v>
      </c>
      <c r="H18" s="88">
        <f t="shared" si="2"/>
        <v>21565</v>
      </c>
      <c r="I18" s="88">
        <f t="shared" si="2"/>
        <v>25865</v>
      </c>
      <c r="J18" s="88">
        <f t="shared" si="2"/>
        <v>30165</v>
      </c>
      <c r="K18" s="88">
        <f t="shared" si="2"/>
        <v>34165</v>
      </c>
      <c r="L18" s="88">
        <f t="shared" si="2"/>
        <v>38165</v>
      </c>
      <c r="M18" s="88">
        <f t="shared" si="2"/>
        <v>42885</v>
      </c>
    </row>
    <row r="20" spans="1:13" x14ac:dyDescent="0.2">
      <c r="E20" t="s">
        <v>426</v>
      </c>
    </row>
    <row r="22" spans="1:13" ht="15" x14ac:dyDescent="0.25">
      <c r="A22" s="103" t="s">
        <v>0</v>
      </c>
      <c r="B22" s="103" t="s">
        <v>1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</row>
    <row r="23" spans="1:13" ht="15" x14ac:dyDescent="0.25">
      <c r="A23" s="64"/>
      <c r="B23" s="104">
        <v>43101</v>
      </c>
      <c r="C23" s="104">
        <v>43132</v>
      </c>
      <c r="D23" s="104">
        <v>43160</v>
      </c>
      <c r="E23" s="104">
        <v>43191</v>
      </c>
      <c r="F23" s="104">
        <v>43221</v>
      </c>
      <c r="G23" s="104">
        <v>43252</v>
      </c>
      <c r="H23" s="104">
        <v>43282</v>
      </c>
      <c r="I23" s="104">
        <v>43313</v>
      </c>
      <c r="J23" s="104">
        <v>43344</v>
      </c>
      <c r="K23" s="104">
        <v>43374</v>
      </c>
      <c r="L23" s="104">
        <v>43405</v>
      </c>
      <c r="M23" s="104">
        <v>43435</v>
      </c>
    </row>
    <row r="24" spans="1:13" ht="14.25" x14ac:dyDescent="0.2">
      <c r="A24" s="64" t="s">
        <v>110</v>
      </c>
      <c r="B24" s="87">
        <v>39000</v>
      </c>
      <c r="C24" s="87">
        <f t="shared" ref="C24:M24" si="3">B35</f>
        <v>40500</v>
      </c>
      <c r="D24" s="87">
        <f t="shared" si="3"/>
        <v>42000</v>
      </c>
      <c r="E24" s="87">
        <f t="shared" si="3"/>
        <v>0</v>
      </c>
      <c r="F24" s="87">
        <f t="shared" si="3"/>
        <v>1168</v>
      </c>
      <c r="G24" s="87">
        <f t="shared" si="3"/>
        <v>0</v>
      </c>
      <c r="H24" s="87">
        <f t="shared" si="3"/>
        <v>710</v>
      </c>
      <c r="I24" s="87">
        <f t="shared" si="3"/>
        <v>1319</v>
      </c>
      <c r="J24" s="87">
        <f t="shared" si="3"/>
        <v>2642</v>
      </c>
      <c r="K24" s="87">
        <f t="shared" si="3"/>
        <v>5292</v>
      </c>
      <c r="L24" s="87">
        <f t="shared" si="3"/>
        <v>14342</v>
      </c>
      <c r="M24" s="87">
        <f t="shared" si="3"/>
        <v>14722</v>
      </c>
    </row>
    <row r="25" spans="1:13" ht="14.25" x14ac:dyDescent="0.2">
      <c r="A25" s="64" t="s">
        <v>76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</row>
    <row r="26" spans="1:13" ht="14.25" x14ac:dyDescent="0.2">
      <c r="A26" s="64" t="s">
        <v>3</v>
      </c>
      <c r="B26" s="87"/>
      <c r="C26" s="87"/>
      <c r="D26" s="87"/>
      <c r="E26" s="87">
        <v>1131</v>
      </c>
      <c r="F26" s="87">
        <v>350</v>
      </c>
      <c r="G26" s="87">
        <v>650</v>
      </c>
      <c r="H26" s="87">
        <v>459</v>
      </c>
      <c r="I26" s="87">
        <v>1200</v>
      </c>
      <c r="J26" s="87">
        <v>500</v>
      </c>
      <c r="K26" s="87">
        <v>700</v>
      </c>
      <c r="L26" s="87"/>
      <c r="M26" s="87"/>
    </row>
    <row r="27" spans="1:13" ht="14.25" x14ac:dyDescent="0.2">
      <c r="A27" s="64" t="s">
        <v>4</v>
      </c>
      <c r="B27" s="87"/>
      <c r="C27" s="87"/>
      <c r="D27" s="87"/>
      <c r="E27" s="87">
        <v>37</v>
      </c>
      <c r="F27" s="87">
        <v>198</v>
      </c>
      <c r="G27" s="87">
        <v>60</v>
      </c>
      <c r="H27" s="87">
        <v>150</v>
      </c>
      <c r="I27" s="87">
        <v>123</v>
      </c>
      <c r="J27" s="87">
        <v>150</v>
      </c>
      <c r="K27" s="87">
        <v>350</v>
      </c>
      <c r="L27" s="87">
        <v>380</v>
      </c>
      <c r="M27" s="87">
        <v>108</v>
      </c>
    </row>
    <row r="28" spans="1:13" ht="14.25" x14ac:dyDescent="0.2">
      <c r="A28" s="64" t="s">
        <v>9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</row>
    <row r="29" spans="1:13" ht="14.25" x14ac:dyDescent="0.2">
      <c r="A29" s="64" t="s">
        <v>73</v>
      </c>
      <c r="B29" s="87"/>
      <c r="C29" s="87"/>
      <c r="D29" s="87"/>
      <c r="E29" s="87"/>
      <c r="F29" s="87"/>
      <c r="G29" s="87"/>
      <c r="H29" s="87"/>
      <c r="I29" s="87"/>
      <c r="J29" s="87">
        <v>2000</v>
      </c>
      <c r="K29" s="87"/>
      <c r="L29" s="87"/>
      <c r="M29" s="87"/>
    </row>
    <row r="30" spans="1:13" ht="14.25" x14ac:dyDescent="0.2">
      <c r="A30" s="64" t="s">
        <v>74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</row>
    <row r="31" spans="1:13" ht="14.25" x14ac:dyDescent="0.2">
      <c r="A31" s="64" t="s">
        <v>408</v>
      </c>
      <c r="B31" s="87"/>
      <c r="C31" s="87"/>
      <c r="D31" s="87"/>
      <c r="E31" s="87"/>
      <c r="F31" s="87"/>
      <c r="G31" s="87"/>
      <c r="H31" s="87"/>
      <c r="I31" s="87"/>
      <c r="J31" s="87"/>
      <c r="K31" s="87">
        <v>8000</v>
      </c>
      <c r="L31" s="87"/>
      <c r="M31" s="87"/>
    </row>
    <row r="32" spans="1:13" ht="14.25" x14ac:dyDescent="0.2">
      <c r="A32" s="64" t="s">
        <v>5</v>
      </c>
      <c r="B32" s="87">
        <v>1500</v>
      </c>
      <c r="C32" s="87">
        <v>1500</v>
      </c>
      <c r="D32" s="87">
        <v>1500</v>
      </c>
      <c r="E32" s="87"/>
      <c r="F32" s="87"/>
      <c r="G32" s="87"/>
      <c r="H32" s="87"/>
      <c r="I32" s="87"/>
      <c r="J32" s="87"/>
      <c r="K32" s="87"/>
      <c r="L32" s="87"/>
      <c r="M32" s="87"/>
    </row>
    <row r="33" spans="1:15" ht="14.25" x14ac:dyDescent="0.2">
      <c r="A33" s="64" t="s">
        <v>6</v>
      </c>
      <c r="B33" s="88">
        <f>SUM(B24:B32)</f>
        <v>40500</v>
      </c>
      <c r="C33" s="88">
        <f t="shared" ref="C33:M33" si="4">SUM(C24:C32)</f>
        <v>42000</v>
      </c>
      <c r="D33" s="88">
        <f t="shared" si="4"/>
        <v>43500</v>
      </c>
      <c r="E33" s="88">
        <f t="shared" si="4"/>
        <v>1168</v>
      </c>
      <c r="F33" s="88">
        <f t="shared" si="4"/>
        <v>1716</v>
      </c>
      <c r="G33" s="88">
        <f t="shared" si="4"/>
        <v>710</v>
      </c>
      <c r="H33" s="88">
        <f t="shared" si="4"/>
        <v>1319</v>
      </c>
      <c r="I33" s="88">
        <f t="shared" si="4"/>
        <v>2642</v>
      </c>
      <c r="J33" s="88">
        <f t="shared" si="4"/>
        <v>5292</v>
      </c>
      <c r="K33" s="88">
        <f t="shared" si="4"/>
        <v>14342</v>
      </c>
      <c r="L33" s="88">
        <f t="shared" si="4"/>
        <v>14722</v>
      </c>
      <c r="M33" s="88">
        <f t="shared" si="4"/>
        <v>14830</v>
      </c>
    </row>
    <row r="34" spans="1:15" ht="14.25" x14ac:dyDescent="0.2">
      <c r="A34" s="64" t="s">
        <v>7</v>
      </c>
      <c r="B34" s="89"/>
      <c r="C34" s="89"/>
      <c r="D34" s="89">
        <v>43500</v>
      </c>
      <c r="E34" s="89"/>
      <c r="F34" s="89">
        <v>1716</v>
      </c>
      <c r="G34" s="89"/>
      <c r="H34" s="89"/>
      <c r="I34" s="89"/>
      <c r="J34" s="89"/>
      <c r="K34" s="89"/>
      <c r="L34" s="89"/>
      <c r="M34" s="89"/>
    </row>
    <row r="35" spans="1:15" ht="14.25" x14ac:dyDescent="0.2">
      <c r="A35" s="64" t="s">
        <v>111</v>
      </c>
      <c r="B35" s="88">
        <f>B33-B34</f>
        <v>40500</v>
      </c>
      <c r="C35" s="88">
        <f>C33-C34</f>
        <v>42000</v>
      </c>
      <c r="D35" s="88">
        <f t="shared" ref="D35:M35" si="5">D33-D34</f>
        <v>0</v>
      </c>
      <c r="E35" s="88">
        <f t="shared" si="5"/>
        <v>1168</v>
      </c>
      <c r="F35" s="88">
        <f t="shared" si="5"/>
        <v>0</v>
      </c>
      <c r="G35" s="88">
        <f t="shared" si="5"/>
        <v>710</v>
      </c>
      <c r="H35" s="88">
        <f t="shared" si="5"/>
        <v>1319</v>
      </c>
      <c r="I35" s="88">
        <f t="shared" si="5"/>
        <v>2642</v>
      </c>
      <c r="J35" s="88">
        <f t="shared" si="5"/>
        <v>5292</v>
      </c>
      <c r="K35" s="88">
        <f t="shared" si="5"/>
        <v>14342</v>
      </c>
      <c r="L35" s="88">
        <f t="shared" si="5"/>
        <v>14722</v>
      </c>
      <c r="M35" s="88">
        <f t="shared" si="5"/>
        <v>14830</v>
      </c>
    </row>
    <row r="38" spans="1:15" ht="15" x14ac:dyDescent="0.25">
      <c r="A38" s="103" t="s">
        <v>0</v>
      </c>
      <c r="B38" s="103" t="s">
        <v>1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39" spans="1:15" ht="15" x14ac:dyDescent="0.25">
      <c r="A39" s="64"/>
      <c r="B39" s="104">
        <v>43831</v>
      </c>
      <c r="C39" s="104">
        <v>43862</v>
      </c>
      <c r="D39" s="104">
        <v>43891</v>
      </c>
      <c r="E39" s="104">
        <v>43922</v>
      </c>
      <c r="F39" s="104">
        <v>43952</v>
      </c>
      <c r="G39" s="104">
        <v>43983</v>
      </c>
      <c r="H39" s="104">
        <v>44013</v>
      </c>
      <c r="I39" s="104">
        <v>44044</v>
      </c>
      <c r="J39" s="104">
        <v>44075</v>
      </c>
      <c r="K39" s="104">
        <v>44105</v>
      </c>
      <c r="L39" s="104">
        <v>44136</v>
      </c>
      <c r="M39" s="104">
        <v>44166</v>
      </c>
    </row>
    <row r="40" spans="1:15" ht="14.25" x14ac:dyDescent="0.2">
      <c r="A40" s="64" t="s">
        <v>110</v>
      </c>
      <c r="B40" s="87">
        <v>42500</v>
      </c>
      <c r="C40" s="87">
        <f t="shared" ref="C40:M40" si="6">B51</f>
        <v>46850</v>
      </c>
      <c r="D40" s="87">
        <f t="shared" si="6"/>
        <v>51200</v>
      </c>
      <c r="E40" s="87">
        <f t="shared" si="6"/>
        <v>56050</v>
      </c>
      <c r="F40" s="87">
        <f t="shared" si="6"/>
        <v>60400</v>
      </c>
      <c r="G40" s="87">
        <f t="shared" si="6"/>
        <v>64610</v>
      </c>
      <c r="H40" s="87">
        <f t="shared" si="6"/>
        <v>69110</v>
      </c>
      <c r="I40" s="87">
        <f t="shared" si="6"/>
        <v>57266</v>
      </c>
      <c r="J40" s="87">
        <f t="shared" si="6"/>
        <v>56953</v>
      </c>
      <c r="K40" s="87">
        <f t="shared" si="6"/>
        <v>62203</v>
      </c>
      <c r="L40" s="87">
        <f t="shared" si="6"/>
        <v>67503</v>
      </c>
      <c r="M40" s="87">
        <f t="shared" si="6"/>
        <v>72953</v>
      </c>
    </row>
    <row r="41" spans="1:15" ht="14.25" x14ac:dyDescent="0.2">
      <c r="A41" s="64" t="s">
        <v>76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t="s">
        <v>356</v>
      </c>
    </row>
    <row r="42" spans="1:15" ht="14.25" x14ac:dyDescent="0.2">
      <c r="A42" s="64" t="s">
        <v>3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>
        <f>240+520+320+240+240+240+330</f>
        <v>2130</v>
      </c>
    </row>
    <row r="43" spans="1:15" ht="14.25" x14ac:dyDescent="0.2">
      <c r="A43" s="64" t="s">
        <v>4</v>
      </c>
      <c r="B43" s="87">
        <v>350</v>
      </c>
      <c r="C43" s="87">
        <v>350</v>
      </c>
      <c r="D43" s="87">
        <v>850</v>
      </c>
      <c r="E43" s="87">
        <v>350</v>
      </c>
      <c r="F43" s="87">
        <v>210</v>
      </c>
      <c r="G43" s="87">
        <v>500</v>
      </c>
      <c r="H43" s="87">
        <v>500</v>
      </c>
      <c r="I43" s="87">
        <v>187</v>
      </c>
      <c r="J43" s="87">
        <v>250</v>
      </c>
      <c r="K43" s="87">
        <v>300</v>
      </c>
      <c r="L43" s="87">
        <v>450</v>
      </c>
      <c r="M43" s="87">
        <v>450</v>
      </c>
      <c r="N43">
        <v>2000</v>
      </c>
      <c r="O43" t="s">
        <v>366</v>
      </c>
    </row>
    <row r="44" spans="1:15" ht="14.25" x14ac:dyDescent="0.2">
      <c r="A44" s="64" t="s">
        <v>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</row>
    <row r="45" spans="1:15" ht="14.25" x14ac:dyDescent="0.2">
      <c r="A45" s="64" t="s">
        <v>73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</row>
    <row r="46" spans="1:15" ht="14.25" x14ac:dyDescent="0.2">
      <c r="A46" s="64" t="s">
        <v>74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</row>
    <row r="47" spans="1:15" ht="14.25" x14ac:dyDescent="0.2">
      <c r="A47" s="64" t="s">
        <v>222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</row>
    <row r="48" spans="1:15" ht="14.25" x14ac:dyDescent="0.2">
      <c r="A48" s="64" t="s">
        <v>5</v>
      </c>
      <c r="B48" s="87">
        <v>4000</v>
      </c>
      <c r="C48" s="87">
        <v>4000</v>
      </c>
      <c r="D48" s="87">
        <v>4000</v>
      </c>
      <c r="E48" s="87">
        <v>4000</v>
      </c>
      <c r="F48" s="87">
        <v>4000</v>
      </c>
      <c r="G48" s="87">
        <v>4000</v>
      </c>
      <c r="H48" s="87">
        <v>4000</v>
      </c>
      <c r="I48" s="87">
        <v>5000</v>
      </c>
      <c r="J48" s="87">
        <v>5000</v>
      </c>
      <c r="K48" s="87">
        <v>5000</v>
      </c>
      <c r="L48" s="87">
        <v>5000</v>
      </c>
      <c r="M48" s="87">
        <v>5000</v>
      </c>
    </row>
    <row r="49" spans="1:15" ht="14.25" x14ac:dyDescent="0.2">
      <c r="A49" s="64" t="s">
        <v>6</v>
      </c>
      <c r="B49" s="88">
        <f>SUM(B40:B48)</f>
        <v>46850</v>
      </c>
      <c r="C49" s="88">
        <f t="shared" ref="C49:M49" si="7">SUM(C40:C48)</f>
        <v>51200</v>
      </c>
      <c r="D49" s="88">
        <f t="shared" si="7"/>
        <v>56050</v>
      </c>
      <c r="E49" s="88">
        <f t="shared" si="7"/>
        <v>60400</v>
      </c>
      <c r="F49" s="88">
        <f t="shared" si="7"/>
        <v>64610</v>
      </c>
      <c r="G49" s="88">
        <f t="shared" si="7"/>
        <v>69110</v>
      </c>
      <c r="H49" s="88">
        <f t="shared" si="7"/>
        <v>73610</v>
      </c>
      <c r="I49" s="88">
        <f t="shared" si="7"/>
        <v>62453</v>
      </c>
      <c r="J49" s="88">
        <f t="shared" si="7"/>
        <v>62203</v>
      </c>
      <c r="K49" s="88">
        <f t="shared" si="7"/>
        <v>67503</v>
      </c>
      <c r="L49" s="88">
        <f t="shared" si="7"/>
        <v>72953</v>
      </c>
      <c r="M49" s="88">
        <f t="shared" si="7"/>
        <v>78403</v>
      </c>
    </row>
    <row r="50" spans="1:15" ht="14.25" x14ac:dyDescent="0.2">
      <c r="A50" s="64" t="s">
        <v>7</v>
      </c>
      <c r="B50" s="89"/>
      <c r="C50" s="89"/>
      <c r="D50" s="89"/>
      <c r="E50" s="89"/>
      <c r="F50" s="89"/>
      <c r="G50" s="89"/>
      <c r="H50" s="89">
        <v>16344</v>
      </c>
      <c r="I50" s="89">
        <v>5500</v>
      </c>
      <c r="J50" s="89"/>
      <c r="K50" s="89"/>
      <c r="L50" s="89"/>
      <c r="M50" s="89"/>
    </row>
    <row r="51" spans="1:15" ht="14.25" x14ac:dyDescent="0.2">
      <c r="A51" s="64" t="s">
        <v>111</v>
      </c>
      <c r="B51" s="88">
        <f>B49-B50</f>
        <v>46850</v>
      </c>
      <c r="C51" s="88">
        <f>C49-C50</f>
        <v>51200</v>
      </c>
      <c r="D51" s="88">
        <f t="shared" ref="D51:M51" si="8">D49-D50</f>
        <v>56050</v>
      </c>
      <c r="E51" s="88">
        <f t="shared" si="8"/>
        <v>60400</v>
      </c>
      <c r="F51" s="88">
        <f t="shared" si="8"/>
        <v>64610</v>
      </c>
      <c r="G51" s="88">
        <f t="shared" si="8"/>
        <v>69110</v>
      </c>
      <c r="H51" s="88">
        <f t="shared" si="8"/>
        <v>57266</v>
      </c>
      <c r="I51" s="88">
        <f t="shared" si="8"/>
        <v>56953</v>
      </c>
      <c r="J51" s="88">
        <f t="shared" si="8"/>
        <v>62203</v>
      </c>
      <c r="K51" s="88">
        <f t="shared" si="8"/>
        <v>67503</v>
      </c>
      <c r="L51" s="88">
        <f t="shared" si="8"/>
        <v>72953</v>
      </c>
      <c r="M51" s="88">
        <f t="shared" si="8"/>
        <v>78403</v>
      </c>
    </row>
    <row r="53" spans="1:15" x14ac:dyDescent="0.2">
      <c r="F53" t="s">
        <v>464</v>
      </c>
      <c r="G53">
        <v>28600</v>
      </c>
      <c r="H53" t="s">
        <v>475</v>
      </c>
      <c r="I53" t="s">
        <v>482</v>
      </c>
    </row>
    <row r="54" spans="1:15" x14ac:dyDescent="0.2">
      <c r="F54" t="s">
        <v>465</v>
      </c>
      <c r="G54">
        <v>6420</v>
      </c>
      <c r="H54" t="s">
        <v>476</v>
      </c>
    </row>
    <row r="55" spans="1:15" x14ac:dyDescent="0.2">
      <c r="F55" t="s">
        <v>474</v>
      </c>
      <c r="G55">
        <v>70000</v>
      </c>
    </row>
    <row r="56" spans="1:15" ht="15" x14ac:dyDescent="0.25">
      <c r="A56" s="103" t="s">
        <v>0</v>
      </c>
      <c r="B56" s="103" t="s">
        <v>1</v>
      </c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</row>
    <row r="57" spans="1:15" ht="15" x14ac:dyDescent="0.25">
      <c r="A57" s="64"/>
      <c r="B57" s="104">
        <v>44197</v>
      </c>
      <c r="C57" s="104">
        <v>44228</v>
      </c>
      <c r="D57" s="104">
        <v>44256</v>
      </c>
      <c r="E57" s="104">
        <v>44287</v>
      </c>
      <c r="F57" s="104">
        <v>44317</v>
      </c>
      <c r="G57" s="104">
        <v>44348</v>
      </c>
      <c r="H57" s="104">
        <v>44378</v>
      </c>
      <c r="I57" s="104">
        <v>44409</v>
      </c>
      <c r="J57" s="104">
        <v>44440</v>
      </c>
      <c r="K57" s="104">
        <v>44470</v>
      </c>
      <c r="L57" s="104">
        <v>44501</v>
      </c>
      <c r="M57" s="104">
        <v>44531</v>
      </c>
    </row>
    <row r="58" spans="1:15" ht="14.25" x14ac:dyDescent="0.2">
      <c r="A58" s="64" t="s">
        <v>110</v>
      </c>
      <c r="B58" s="87">
        <v>78400</v>
      </c>
      <c r="C58" s="87">
        <f t="shared" ref="C58:M58" si="9">B69</f>
        <v>0</v>
      </c>
      <c r="D58" s="87">
        <f t="shared" si="9"/>
        <v>0</v>
      </c>
      <c r="E58" s="87">
        <f t="shared" si="9"/>
        <v>0</v>
      </c>
      <c r="F58" s="87">
        <f t="shared" si="9"/>
        <v>0</v>
      </c>
      <c r="G58" s="87">
        <f t="shared" si="9"/>
        <v>0</v>
      </c>
      <c r="H58" s="87">
        <f t="shared" si="9"/>
        <v>0</v>
      </c>
      <c r="I58" s="87">
        <f t="shared" si="9"/>
        <v>0</v>
      </c>
      <c r="J58" s="87">
        <f t="shared" si="9"/>
        <v>0</v>
      </c>
      <c r="K58" s="87">
        <f t="shared" si="9"/>
        <v>0</v>
      </c>
      <c r="L58" s="87">
        <f t="shared" si="9"/>
        <v>0</v>
      </c>
      <c r="M58" s="87">
        <f t="shared" si="9"/>
        <v>0</v>
      </c>
    </row>
    <row r="59" spans="1:15" ht="14.25" x14ac:dyDescent="0.2">
      <c r="A59" s="64" t="s">
        <v>76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t="s">
        <v>231</v>
      </c>
      <c r="O59" s="127">
        <v>1961</v>
      </c>
    </row>
    <row r="60" spans="1:15" ht="14.25" x14ac:dyDescent="0.2">
      <c r="A60" s="64" t="s">
        <v>3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127" t="s">
        <v>147</v>
      </c>
      <c r="O60" s="127">
        <v>2000</v>
      </c>
    </row>
    <row r="61" spans="1:15" ht="14.25" x14ac:dyDescent="0.2">
      <c r="A61" s="64" t="s">
        <v>4</v>
      </c>
      <c r="B61" s="87">
        <v>150</v>
      </c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</row>
    <row r="62" spans="1:15" ht="14.25" x14ac:dyDescent="0.2">
      <c r="A62" s="64" t="s">
        <v>9</v>
      </c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</row>
    <row r="63" spans="1:15" ht="14.25" x14ac:dyDescent="0.2">
      <c r="A63" s="64" t="s">
        <v>73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</row>
    <row r="64" spans="1:15" ht="14.25" x14ac:dyDescent="0.2">
      <c r="A64" s="64" t="s">
        <v>74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</row>
    <row r="65" spans="1:13" ht="14.25" x14ac:dyDescent="0.2">
      <c r="A65" s="64" t="s">
        <v>222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</row>
    <row r="66" spans="1:13" ht="14.25" x14ac:dyDescent="0.2">
      <c r="A66" s="64" t="s">
        <v>5</v>
      </c>
      <c r="B66" s="87">
        <v>5000</v>
      </c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</row>
    <row r="67" spans="1:13" ht="14.25" x14ac:dyDescent="0.2">
      <c r="A67" s="64" t="s">
        <v>6</v>
      </c>
      <c r="B67" s="88">
        <f>SUM(B58:B66)</f>
        <v>83550</v>
      </c>
      <c r="C67" s="88">
        <f t="shared" ref="C67:M67" si="10">SUM(C58:C66)</f>
        <v>0</v>
      </c>
      <c r="D67" s="88">
        <f t="shared" si="10"/>
        <v>0</v>
      </c>
      <c r="E67" s="88">
        <f t="shared" si="10"/>
        <v>0</v>
      </c>
      <c r="F67" s="88">
        <f t="shared" si="10"/>
        <v>0</v>
      </c>
      <c r="G67" s="88">
        <f t="shared" si="10"/>
        <v>0</v>
      </c>
      <c r="H67" s="88">
        <f t="shared" si="10"/>
        <v>0</v>
      </c>
      <c r="I67" s="88">
        <f t="shared" si="10"/>
        <v>0</v>
      </c>
      <c r="J67" s="88">
        <f t="shared" si="10"/>
        <v>0</v>
      </c>
      <c r="K67" s="88">
        <f t="shared" si="10"/>
        <v>0</v>
      </c>
      <c r="L67" s="88">
        <f t="shared" si="10"/>
        <v>0</v>
      </c>
      <c r="M67" s="88">
        <f t="shared" si="10"/>
        <v>0</v>
      </c>
    </row>
    <row r="68" spans="1:13" ht="14.25" x14ac:dyDescent="0.2">
      <c r="A68" s="64" t="s">
        <v>7</v>
      </c>
      <c r="B68" s="89">
        <v>83550</v>
      </c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</row>
    <row r="69" spans="1:13" ht="14.25" x14ac:dyDescent="0.2">
      <c r="A69" s="64" t="s">
        <v>111</v>
      </c>
      <c r="B69" s="88">
        <f>B67-B68</f>
        <v>0</v>
      </c>
      <c r="C69" s="88">
        <f>C67-C68</f>
        <v>0</v>
      </c>
      <c r="D69" s="88">
        <f t="shared" ref="D69:M69" si="11">D67-D68</f>
        <v>0</v>
      </c>
      <c r="E69" s="88">
        <f t="shared" si="11"/>
        <v>0</v>
      </c>
      <c r="F69" s="88">
        <f t="shared" si="11"/>
        <v>0</v>
      </c>
      <c r="G69" s="88">
        <f t="shared" si="11"/>
        <v>0</v>
      </c>
      <c r="H69" s="88">
        <f t="shared" si="11"/>
        <v>0</v>
      </c>
      <c r="I69" s="88">
        <f t="shared" si="11"/>
        <v>0</v>
      </c>
      <c r="J69" s="88">
        <f t="shared" si="11"/>
        <v>0</v>
      </c>
      <c r="K69" s="88">
        <f t="shared" si="11"/>
        <v>0</v>
      </c>
      <c r="L69" s="88">
        <f t="shared" si="11"/>
        <v>0</v>
      </c>
      <c r="M69" s="88">
        <f t="shared" si="11"/>
        <v>0</v>
      </c>
    </row>
    <row r="71" spans="1:13" x14ac:dyDescent="0.2">
      <c r="E71">
        <v>6190</v>
      </c>
    </row>
    <row r="72" spans="1:13" x14ac:dyDescent="0.2">
      <c r="E72">
        <v>6190</v>
      </c>
    </row>
  </sheetData>
  <mergeCells count="1">
    <mergeCell ref="B3:G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0"/>
  <dimension ref="A5:M72"/>
  <sheetViews>
    <sheetView topLeftCell="A16" workbookViewId="0">
      <selection activeCell="D37" sqref="D37"/>
    </sheetView>
  </sheetViews>
  <sheetFormatPr baseColWidth="10" defaultRowHeight="12.75" x14ac:dyDescent="0.2"/>
  <cols>
    <col min="1" max="1" width="33" customWidth="1"/>
    <col min="4" max="4" width="12.85546875" customWidth="1"/>
    <col min="5" max="6" width="12.5703125" customWidth="1"/>
    <col min="7" max="7" width="13.7109375" customWidth="1"/>
    <col min="8" max="8" width="14" customWidth="1"/>
    <col min="9" max="9" width="13" customWidth="1"/>
    <col min="10" max="11" width="12.85546875" customWidth="1"/>
    <col min="12" max="12" width="13.140625" customWidth="1"/>
    <col min="13" max="13" width="13.85546875" customWidth="1"/>
  </cols>
  <sheetData>
    <row r="5" spans="1:13" x14ac:dyDescent="0.2">
      <c r="A5" s="101" t="s">
        <v>11</v>
      </c>
      <c r="B5" s="220" t="s">
        <v>91</v>
      </c>
      <c r="C5" s="220"/>
      <c r="D5" s="220"/>
      <c r="E5" s="220"/>
      <c r="F5" s="220"/>
      <c r="G5" s="220"/>
      <c r="H5" s="78"/>
      <c r="I5" s="78"/>
      <c r="J5" s="78"/>
      <c r="K5" s="78"/>
      <c r="L5" s="78"/>
      <c r="M5" s="78"/>
    </row>
    <row r="6" spans="1:13" x14ac:dyDescent="0.2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x14ac:dyDescent="0.2">
      <c r="A7" s="50" t="s">
        <v>0</v>
      </c>
      <c r="B7" s="50" t="s">
        <v>1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</row>
    <row r="8" spans="1:13" x14ac:dyDescent="0.2">
      <c r="A8" s="78"/>
      <c r="B8" s="79">
        <v>45658</v>
      </c>
      <c r="C8" s="79">
        <v>45689</v>
      </c>
      <c r="D8" s="79">
        <v>45717</v>
      </c>
      <c r="E8" s="79">
        <v>45748</v>
      </c>
      <c r="F8" s="79">
        <v>45778</v>
      </c>
      <c r="G8" s="79">
        <v>45809</v>
      </c>
      <c r="H8" s="79">
        <v>45839</v>
      </c>
      <c r="I8" s="79">
        <v>45870</v>
      </c>
      <c r="J8" s="79">
        <v>45901</v>
      </c>
      <c r="K8" s="79">
        <v>45931</v>
      </c>
      <c r="L8" s="79">
        <v>45962</v>
      </c>
      <c r="M8" s="79">
        <v>45992</v>
      </c>
    </row>
    <row r="9" spans="1:13" x14ac:dyDescent="0.2">
      <c r="A9" s="78" t="s">
        <v>110</v>
      </c>
      <c r="B9" s="42"/>
      <c r="C9" s="42">
        <f>B20</f>
        <v>100000</v>
      </c>
      <c r="D9" s="42">
        <f t="shared" ref="D9:M9" si="0">C20</f>
        <v>200000</v>
      </c>
      <c r="E9" s="42">
        <f t="shared" si="0"/>
        <v>300000</v>
      </c>
      <c r="F9" s="42">
        <f t="shared" si="0"/>
        <v>400000</v>
      </c>
      <c r="G9" s="42">
        <f t="shared" si="0"/>
        <v>500000</v>
      </c>
      <c r="H9" s="42">
        <f t="shared" si="0"/>
        <v>0</v>
      </c>
      <c r="I9" s="42">
        <f t="shared" si="0"/>
        <v>120000</v>
      </c>
      <c r="J9" s="42">
        <f t="shared" si="0"/>
        <v>240000</v>
      </c>
      <c r="K9" s="42">
        <f>J20</f>
        <v>360000</v>
      </c>
      <c r="L9" s="42">
        <f t="shared" si="0"/>
        <v>480000</v>
      </c>
      <c r="M9" s="42">
        <f t="shared" si="0"/>
        <v>600000</v>
      </c>
    </row>
    <row r="10" spans="1:13" x14ac:dyDescent="0.2">
      <c r="A10" s="78" t="s">
        <v>76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222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5</v>
      </c>
      <c r="B17" s="42">
        <v>100000</v>
      </c>
      <c r="C17" s="42">
        <v>100000</v>
      </c>
      <c r="D17" s="42">
        <v>100000</v>
      </c>
      <c r="E17" s="42">
        <v>100000</v>
      </c>
      <c r="F17" s="42">
        <v>100000</v>
      </c>
      <c r="G17" s="42">
        <v>100000</v>
      </c>
      <c r="H17" s="42">
        <v>120000</v>
      </c>
      <c r="I17" s="42">
        <v>120000</v>
      </c>
      <c r="J17" s="42">
        <v>120000</v>
      </c>
      <c r="K17" s="42">
        <v>120000</v>
      </c>
      <c r="L17" s="42">
        <v>120000</v>
      </c>
      <c r="M17" s="42">
        <v>120000</v>
      </c>
    </row>
    <row r="18" spans="1:13" x14ac:dyDescent="0.2">
      <c r="A18" s="78" t="s">
        <v>6</v>
      </c>
      <c r="B18" s="43">
        <f>SUM(B9:B17)</f>
        <v>100000</v>
      </c>
      <c r="C18" s="43">
        <f t="shared" ref="C18:M18" si="1">SUM(C9:C17)</f>
        <v>200000</v>
      </c>
      <c r="D18" s="43">
        <f t="shared" si="1"/>
        <v>300000</v>
      </c>
      <c r="E18" s="43">
        <f t="shared" si="1"/>
        <v>400000</v>
      </c>
      <c r="F18" s="43">
        <f t="shared" si="1"/>
        <v>500000</v>
      </c>
      <c r="G18" s="43">
        <f t="shared" si="1"/>
        <v>600000</v>
      </c>
      <c r="H18" s="43">
        <f t="shared" si="1"/>
        <v>120000</v>
      </c>
      <c r="I18" s="43">
        <f t="shared" si="1"/>
        <v>240000</v>
      </c>
      <c r="J18" s="43">
        <f t="shared" si="1"/>
        <v>360000</v>
      </c>
      <c r="K18" s="43">
        <f t="shared" si="1"/>
        <v>480000</v>
      </c>
      <c r="L18" s="43">
        <f t="shared" si="1"/>
        <v>600000</v>
      </c>
      <c r="M18" s="43">
        <f t="shared" si="1"/>
        <v>720000</v>
      </c>
    </row>
    <row r="19" spans="1:13" x14ac:dyDescent="0.2">
      <c r="A19" s="78" t="s">
        <v>7</v>
      </c>
      <c r="B19" s="44"/>
      <c r="C19" s="44"/>
      <c r="D19" s="44"/>
      <c r="E19" s="44"/>
      <c r="F19" s="44"/>
      <c r="G19" s="44">
        <v>600000</v>
      </c>
      <c r="H19" s="44"/>
      <c r="I19" s="44"/>
      <c r="J19" s="44"/>
      <c r="K19" s="44"/>
      <c r="L19" s="44"/>
      <c r="M19" s="44"/>
    </row>
    <row r="20" spans="1:13" x14ac:dyDescent="0.2">
      <c r="A20" s="78" t="s">
        <v>111</v>
      </c>
      <c r="B20" s="43">
        <f>B18-B19</f>
        <v>100000</v>
      </c>
      <c r="C20" s="43">
        <f>C18-C19</f>
        <v>200000</v>
      </c>
      <c r="D20" s="43">
        <f t="shared" ref="D20:M20" si="2">D18-D19</f>
        <v>300000</v>
      </c>
      <c r="E20" s="43">
        <f t="shared" si="2"/>
        <v>400000</v>
      </c>
      <c r="F20" s="43">
        <f t="shared" si="2"/>
        <v>500000</v>
      </c>
      <c r="G20" s="43">
        <f t="shared" si="2"/>
        <v>0</v>
      </c>
      <c r="H20" s="43">
        <f t="shared" si="2"/>
        <v>120000</v>
      </c>
      <c r="I20" s="43">
        <f t="shared" si="2"/>
        <v>240000</v>
      </c>
      <c r="J20" s="43">
        <f t="shared" si="2"/>
        <v>360000</v>
      </c>
      <c r="K20" s="43">
        <f t="shared" si="2"/>
        <v>480000</v>
      </c>
      <c r="L20" s="43">
        <f t="shared" si="2"/>
        <v>600000</v>
      </c>
      <c r="M20" s="43">
        <f t="shared" si="2"/>
        <v>720000</v>
      </c>
    </row>
    <row r="21" spans="1:13" x14ac:dyDescent="0.2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x14ac:dyDescent="0.2">
      <c r="A24" s="80" t="s">
        <v>0</v>
      </c>
      <c r="B24" s="80" t="s">
        <v>1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</row>
    <row r="25" spans="1:13" x14ac:dyDescent="0.2">
      <c r="A25" s="81"/>
      <c r="B25" s="82">
        <v>46023</v>
      </c>
      <c r="C25" s="82">
        <v>46054</v>
      </c>
      <c r="D25" s="82">
        <v>46082</v>
      </c>
      <c r="E25" s="82">
        <v>46113</v>
      </c>
      <c r="F25" s="82">
        <v>46143</v>
      </c>
      <c r="G25" s="82">
        <v>46174</v>
      </c>
      <c r="H25" s="82">
        <v>46204</v>
      </c>
      <c r="I25" s="82">
        <v>46235</v>
      </c>
      <c r="J25" s="82">
        <v>46266</v>
      </c>
      <c r="K25" s="82">
        <v>46296</v>
      </c>
      <c r="L25" s="82">
        <v>46327</v>
      </c>
      <c r="M25" s="82">
        <v>46357</v>
      </c>
    </row>
    <row r="26" spans="1:13" x14ac:dyDescent="0.2">
      <c r="A26" s="78" t="s">
        <v>110</v>
      </c>
      <c r="B26" s="42">
        <v>720000</v>
      </c>
      <c r="C26" s="42">
        <f t="shared" ref="C26:M26" si="3">B37</f>
        <v>840000</v>
      </c>
      <c r="D26" s="42">
        <f t="shared" si="3"/>
        <v>960000</v>
      </c>
      <c r="E26" s="42">
        <f t="shared" si="3"/>
        <v>0</v>
      </c>
      <c r="F26" s="42">
        <f t="shared" si="3"/>
        <v>0</v>
      </c>
      <c r="G26" s="42">
        <f t="shared" si="3"/>
        <v>0</v>
      </c>
      <c r="H26" s="42">
        <f t="shared" si="3"/>
        <v>0</v>
      </c>
      <c r="I26" s="42">
        <f t="shared" si="3"/>
        <v>0</v>
      </c>
      <c r="J26" s="42">
        <f t="shared" si="3"/>
        <v>0</v>
      </c>
      <c r="K26" s="42">
        <f t="shared" si="3"/>
        <v>0</v>
      </c>
      <c r="L26" s="42">
        <f t="shared" si="3"/>
        <v>0</v>
      </c>
      <c r="M26" s="42">
        <f t="shared" si="3"/>
        <v>0</v>
      </c>
    </row>
    <row r="27" spans="1:13" x14ac:dyDescent="0.2">
      <c r="A27" s="78" t="s">
        <v>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75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5</v>
      </c>
      <c r="B34" s="42">
        <v>120000</v>
      </c>
      <c r="C34" s="42">
        <v>120000</v>
      </c>
      <c r="D34" s="42">
        <v>140000</v>
      </c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6</v>
      </c>
      <c r="B35" s="43">
        <f t="shared" ref="B35:M35" si="4">SUM(B26:B34)</f>
        <v>840000</v>
      </c>
      <c r="C35" s="43">
        <f t="shared" si="4"/>
        <v>960000</v>
      </c>
      <c r="D35" s="43">
        <f t="shared" si="4"/>
        <v>1100000</v>
      </c>
      <c r="E35" s="43">
        <f t="shared" si="4"/>
        <v>0</v>
      </c>
      <c r="F35" s="43">
        <f t="shared" si="4"/>
        <v>0</v>
      </c>
      <c r="G35" s="43">
        <f t="shared" si="4"/>
        <v>0</v>
      </c>
      <c r="H35" s="43">
        <f t="shared" si="4"/>
        <v>0</v>
      </c>
      <c r="I35" s="43">
        <f t="shared" si="4"/>
        <v>0</v>
      </c>
      <c r="J35" s="43">
        <f t="shared" si="4"/>
        <v>0</v>
      </c>
      <c r="K35" s="43">
        <f t="shared" si="4"/>
        <v>0</v>
      </c>
      <c r="L35" s="43">
        <f t="shared" si="4"/>
        <v>0</v>
      </c>
      <c r="M35" s="43">
        <f t="shared" si="4"/>
        <v>0</v>
      </c>
    </row>
    <row r="36" spans="1:13" ht="13.5" thickBot="1" x14ac:dyDescent="0.25">
      <c r="A36" s="78" t="s">
        <v>7</v>
      </c>
      <c r="B36" s="44"/>
      <c r="C36" s="44"/>
      <c r="D36" s="44">
        <v>1100000</v>
      </c>
      <c r="E36" s="44"/>
      <c r="F36" s="44"/>
      <c r="G36" s="44"/>
      <c r="H36" s="44"/>
      <c r="I36" s="44"/>
      <c r="J36" s="44"/>
      <c r="K36" s="44"/>
      <c r="L36" s="44"/>
      <c r="M36" s="44"/>
    </row>
    <row r="37" spans="1:13" ht="13.5" thickBot="1" x14ac:dyDescent="0.25">
      <c r="A37" s="78" t="s">
        <v>111</v>
      </c>
      <c r="B37" s="45">
        <f>B35-B36</f>
        <v>840000</v>
      </c>
      <c r="C37" s="46">
        <f>C35-C36</f>
        <v>960000</v>
      </c>
      <c r="D37" s="46">
        <f t="shared" ref="D37:M37" si="5">D35-D36</f>
        <v>0</v>
      </c>
      <c r="E37" s="46">
        <f t="shared" si="5"/>
        <v>0</v>
      </c>
      <c r="F37" s="46">
        <f t="shared" si="5"/>
        <v>0</v>
      </c>
      <c r="G37" s="46">
        <f t="shared" si="5"/>
        <v>0</v>
      </c>
      <c r="H37" s="46">
        <f t="shared" si="5"/>
        <v>0</v>
      </c>
      <c r="I37" s="46">
        <f t="shared" si="5"/>
        <v>0</v>
      </c>
      <c r="J37" s="46">
        <f t="shared" si="5"/>
        <v>0</v>
      </c>
      <c r="K37" s="46">
        <f t="shared" si="5"/>
        <v>0</v>
      </c>
      <c r="L37" s="46">
        <f t="shared" si="5"/>
        <v>0</v>
      </c>
      <c r="M37" s="46">
        <f t="shared" si="5"/>
        <v>0</v>
      </c>
    </row>
    <row r="38" spans="1:13" x14ac:dyDescent="0.2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1:13" x14ac:dyDescent="0.2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x14ac:dyDescent="0.2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</row>
    <row r="41" spans="1:13" x14ac:dyDescent="0.2">
      <c r="A41" s="50"/>
      <c r="B41" s="50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r="42" spans="1:13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</row>
    <row r="43" spans="1:13" x14ac:dyDescent="0.2">
      <c r="A43" s="78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 spans="1:13" x14ac:dyDescent="0.2">
      <c r="A53" s="78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3" x14ac:dyDescent="0.2">
      <c r="A54" s="78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 spans="1:13" x14ac:dyDescent="0.2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</row>
    <row r="56" spans="1:13" x14ac:dyDescent="0.2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</row>
    <row r="57" spans="1:13" x14ac:dyDescent="0.2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</row>
    <row r="58" spans="1:13" x14ac:dyDescent="0.2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</row>
    <row r="59" spans="1:13" x14ac:dyDescent="0.2">
      <c r="A59" s="50" t="s">
        <v>0</v>
      </c>
      <c r="B59" s="50" t="s">
        <v>1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</row>
    <row r="60" spans="1:13" x14ac:dyDescent="0.2">
      <c r="A60" s="78"/>
      <c r="B60" s="79">
        <v>40179</v>
      </c>
      <c r="C60" s="79">
        <v>40210</v>
      </c>
      <c r="D60" s="79">
        <v>40238</v>
      </c>
      <c r="E60" s="79">
        <v>40269</v>
      </c>
      <c r="F60" s="79">
        <v>40299</v>
      </c>
      <c r="G60" s="79">
        <v>40330</v>
      </c>
      <c r="H60" s="79">
        <v>40360</v>
      </c>
      <c r="I60" s="79">
        <v>40391</v>
      </c>
      <c r="J60" s="79">
        <v>40422</v>
      </c>
      <c r="K60" s="79">
        <v>40452</v>
      </c>
      <c r="L60" s="79">
        <v>40483</v>
      </c>
      <c r="M60" s="79">
        <v>40513</v>
      </c>
    </row>
    <row r="61" spans="1:13" x14ac:dyDescent="0.2">
      <c r="A61" s="78" t="s">
        <v>110</v>
      </c>
      <c r="B61" s="42"/>
      <c r="C61" s="42">
        <f t="shared" ref="C61:M61" si="6">B72</f>
        <v>300</v>
      </c>
      <c r="D61" s="42">
        <f t="shared" si="6"/>
        <v>600</v>
      </c>
      <c r="E61" s="42">
        <f t="shared" si="6"/>
        <v>900</v>
      </c>
      <c r="F61" s="42">
        <f t="shared" si="6"/>
        <v>1200</v>
      </c>
      <c r="G61" s="42">
        <f t="shared" si="6"/>
        <v>1500</v>
      </c>
      <c r="H61" s="42">
        <f t="shared" si="6"/>
        <v>1800</v>
      </c>
      <c r="I61" s="42">
        <f t="shared" si="6"/>
        <v>2100</v>
      </c>
      <c r="J61" s="42">
        <f t="shared" si="6"/>
        <v>2400</v>
      </c>
      <c r="K61" s="42">
        <f t="shared" si="6"/>
        <v>2700</v>
      </c>
      <c r="L61" s="42">
        <f t="shared" si="6"/>
        <v>1000</v>
      </c>
      <c r="M61" s="42">
        <f t="shared" si="6"/>
        <v>1300</v>
      </c>
    </row>
    <row r="62" spans="1:13" x14ac:dyDescent="0.2">
      <c r="A62" s="78" t="s">
        <v>76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2">
      <c r="A63" s="78" t="s">
        <v>3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x14ac:dyDescent="0.2">
      <c r="A64" s="78" t="s">
        <v>4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</row>
    <row r="65" spans="1:13" x14ac:dyDescent="0.2">
      <c r="A65" s="78" t="s">
        <v>9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</row>
    <row r="66" spans="1:13" x14ac:dyDescent="0.2">
      <c r="A66" s="78" t="s">
        <v>73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</row>
    <row r="67" spans="1:13" x14ac:dyDescent="0.2">
      <c r="A67" s="78" t="s">
        <v>74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x14ac:dyDescent="0.2">
      <c r="A68" s="78" t="s">
        <v>75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x14ac:dyDescent="0.2">
      <c r="A69" s="78" t="s">
        <v>5</v>
      </c>
      <c r="B69" s="42">
        <v>300</v>
      </c>
      <c r="C69" s="42">
        <v>300</v>
      </c>
      <c r="D69" s="42">
        <v>300</v>
      </c>
      <c r="E69" s="42">
        <v>300</v>
      </c>
      <c r="F69" s="42">
        <v>300</v>
      </c>
      <c r="G69" s="42">
        <v>300</v>
      </c>
      <c r="H69" s="42">
        <v>300</v>
      </c>
      <c r="I69" s="42">
        <v>300</v>
      </c>
      <c r="J69" s="42">
        <v>300</v>
      </c>
      <c r="K69" s="42">
        <v>300</v>
      </c>
      <c r="L69" s="42">
        <v>300</v>
      </c>
      <c r="M69" s="42">
        <v>300</v>
      </c>
    </row>
    <row r="70" spans="1:13" x14ac:dyDescent="0.2">
      <c r="A70" s="78" t="s">
        <v>6</v>
      </c>
      <c r="B70" s="43">
        <f t="shared" ref="B70:M70" si="7">SUM(B61:B69)</f>
        <v>300</v>
      </c>
      <c r="C70" s="43">
        <f t="shared" si="7"/>
        <v>600</v>
      </c>
      <c r="D70" s="43">
        <f t="shared" si="7"/>
        <v>900</v>
      </c>
      <c r="E70" s="43">
        <f t="shared" si="7"/>
        <v>1200</v>
      </c>
      <c r="F70" s="43">
        <f t="shared" si="7"/>
        <v>1500</v>
      </c>
      <c r="G70" s="43">
        <f t="shared" si="7"/>
        <v>1800</v>
      </c>
      <c r="H70" s="43">
        <f t="shared" si="7"/>
        <v>2100</v>
      </c>
      <c r="I70" s="43">
        <f t="shared" si="7"/>
        <v>2400</v>
      </c>
      <c r="J70" s="43">
        <f t="shared" si="7"/>
        <v>2700</v>
      </c>
      <c r="K70" s="43">
        <f t="shared" si="7"/>
        <v>3000</v>
      </c>
      <c r="L70" s="43">
        <f t="shared" si="7"/>
        <v>1300</v>
      </c>
      <c r="M70" s="43">
        <f t="shared" si="7"/>
        <v>1600</v>
      </c>
    </row>
    <row r="71" spans="1:13" x14ac:dyDescent="0.2">
      <c r="A71" s="78" t="s">
        <v>7</v>
      </c>
      <c r="B71" s="44"/>
      <c r="C71" s="44"/>
      <c r="D71" s="44"/>
      <c r="E71" s="44"/>
      <c r="F71" s="44"/>
      <c r="G71" s="44"/>
      <c r="H71" s="44"/>
      <c r="I71" s="44"/>
      <c r="J71" s="44"/>
      <c r="K71" s="44">
        <v>2000</v>
      </c>
      <c r="L71" s="44"/>
      <c r="M71" s="44"/>
    </row>
    <row r="72" spans="1:13" x14ac:dyDescent="0.2">
      <c r="A72" s="78" t="s">
        <v>111</v>
      </c>
      <c r="B72" s="43">
        <f t="shared" ref="B72:M72" si="8">B70-B71</f>
        <v>300</v>
      </c>
      <c r="C72" s="43">
        <f t="shared" si="8"/>
        <v>600</v>
      </c>
      <c r="D72" s="43">
        <f t="shared" si="8"/>
        <v>900</v>
      </c>
      <c r="E72" s="43">
        <f t="shared" si="8"/>
        <v>1200</v>
      </c>
      <c r="F72" s="43">
        <f t="shared" si="8"/>
        <v>1500</v>
      </c>
      <c r="G72" s="43">
        <f t="shared" si="8"/>
        <v>1800</v>
      </c>
      <c r="H72" s="43">
        <f t="shared" si="8"/>
        <v>2100</v>
      </c>
      <c r="I72" s="43">
        <f t="shared" si="8"/>
        <v>2400</v>
      </c>
      <c r="J72" s="43">
        <f t="shared" si="8"/>
        <v>2700</v>
      </c>
      <c r="K72" s="43">
        <f t="shared" si="8"/>
        <v>1000</v>
      </c>
      <c r="L72" s="43">
        <f t="shared" si="8"/>
        <v>1300</v>
      </c>
      <c r="M72" s="43">
        <f t="shared" si="8"/>
        <v>1600</v>
      </c>
    </row>
  </sheetData>
  <mergeCells count="1">
    <mergeCell ref="B5:G5"/>
  </mergeCells>
  <phoneticPr fontId="4" type="noConversion"/>
  <pageMargins left="0.75" right="0.75" top="1" bottom="1" header="0" footer="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"/>
  <dimension ref="A2:M35"/>
  <sheetViews>
    <sheetView topLeftCell="A4" workbookViewId="0">
      <selection activeCell="F16" sqref="F16"/>
    </sheetView>
  </sheetViews>
  <sheetFormatPr baseColWidth="10" defaultRowHeight="12.75" x14ac:dyDescent="0.2"/>
  <cols>
    <col min="1" max="1" width="30.7109375" customWidth="1"/>
    <col min="4" max="4" width="13" customWidth="1"/>
    <col min="5" max="5" width="12.7109375" customWidth="1"/>
    <col min="6" max="6" width="12.5703125" customWidth="1"/>
    <col min="7" max="7" width="12.85546875" customWidth="1"/>
    <col min="8" max="8" width="12.7109375" customWidth="1"/>
    <col min="9" max="9" width="13.28515625" customWidth="1"/>
    <col min="10" max="10" width="12.7109375" customWidth="1"/>
    <col min="11" max="11" width="12.5703125" customWidth="1"/>
    <col min="12" max="12" width="12.7109375" customWidth="1"/>
    <col min="13" max="13" width="12.85546875" customWidth="1"/>
  </cols>
  <sheetData>
    <row r="2" spans="1:13" x14ac:dyDescent="0.2">
      <c r="A2" t="s">
        <v>159</v>
      </c>
    </row>
    <row r="5" spans="1:13" ht="15.75" x14ac:dyDescent="0.25">
      <c r="A5" s="32" t="s">
        <v>0</v>
      </c>
      <c r="B5" s="32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2">
      <c r="A6" s="81"/>
      <c r="B6" s="82">
        <v>46023</v>
      </c>
      <c r="C6" s="82">
        <v>46054</v>
      </c>
      <c r="D6" s="82">
        <v>46082</v>
      </c>
      <c r="E6" s="82">
        <v>46113</v>
      </c>
      <c r="F6" s="82">
        <v>46143</v>
      </c>
      <c r="G6" s="82">
        <v>46174</v>
      </c>
      <c r="H6" s="82">
        <v>46204</v>
      </c>
      <c r="I6" s="82">
        <v>46235</v>
      </c>
      <c r="J6" s="82">
        <v>46266</v>
      </c>
      <c r="K6" s="82">
        <v>46296</v>
      </c>
      <c r="L6" s="82">
        <v>46327</v>
      </c>
      <c r="M6" s="82">
        <v>46357</v>
      </c>
    </row>
    <row r="7" spans="1:13" x14ac:dyDescent="0.2">
      <c r="A7" s="78" t="s">
        <v>110</v>
      </c>
      <c r="B7" s="42">
        <v>383267</v>
      </c>
      <c r="C7" s="42">
        <f t="shared" ref="C7:M7" si="0">B18</f>
        <v>588267</v>
      </c>
      <c r="D7" s="42">
        <f t="shared" si="0"/>
        <v>993267</v>
      </c>
      <c r="E7" s="42">
        <f t="shared" si="0"/>
        <v>1175567</v>
      </c>
      <c r="F7" s="42">
        <f t="shared" si="0"/>
        <v>1360567</v>
      </c>
      <c r="G7" s="42">
        <f t="shared" si="0"/>
        <v>1545567</v>
      </c>
      <c r="H7" s="42">
        <f t="shared" si="0"/>
        <v>1545567</v>
      </c>
      <c r="I7" s="42">
        <f t="shared" si="0"/>
        <v>1545567</v>
      </c>
      <c r="J7" s="42">
        <f t="shared" si="0"/>
        <v>1545567</v>
      </c>
      <c r="K7" s="42">
        <f t="shared" si="0"/>
        <v>1545567</v>
      </c>
      <c r="L7" s="42">
        <f t="shared" si="0"/>
        <v>1545567</v>
      </c>
      <c r="M7" s="42">
        <f t="shared" si="0"/>
        <v>1545567</v>
      </c>
    </row>
    <row r="8" spans="1:13" x14ac:dyDescent="0.2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>
        <v>25000</v>
      </c>
      <c r="C9" s="42">
        <v>25000</v>
      </c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>
        <v>60000</v>
      </c>
      <c r="C10" s="42">
        <v>60000</v>
      </c>
      <c r="D10" s="42">
        <v>62300</v>
      </c>
      <c r="E10" s="42">
        <v>65000</v>
      </c>
      <c r="F10" s="42">
        <v>65000</v>
      </c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303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783</v>
      </c>
      <c r="B14" s="42"/>
      <c r="C14" s="42">
        <v>200000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120000</v>
      </c>
      <c r="C15" s="42">
        <v>120000</v>
      </c>
      <c r="D15" s="42">
        <v>120000</v>
      </c>
      <c r="E15" s="42">
        <v>120000</v>
      </c>
      <c r="F15" s="42">
        <v>120000</v>
      </c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6</v>
      </c>
      <c r="B16" s="43">
        <f t="shared" ref="B16:M16" si="1">SUM(B7:B15)</f>
        <v>588267</v>
      </c>
      <c r="C16" s="43">
        <f t="shared" si="1"/>
        <v>993267</v>
      </c>
      <c r="D16" s="43">
        <f t="shared" si="1"/>
        <v>1175567</v>
      </c>
      <c r="E16" s="43">
        <f t="shared" si="1"/>
        <v>1360567</v>
      </c>
      <c r="F16" s="43">
        <f t="shared" si="1"/>
        <v>1545567</v>
      </c>
      <c r="G16" s="43">
        <f t="shared" si="1"/>
        <v>1545567</v>
      </c>
      <c r="H16" s="43">
        <f t="shared" si="1"/>
        <v>1545567</v>
      </c>
      <c r="I16" s="43">
        <f t="shared" si="1"/>
        <v>1545567</v>
      </c>
      <c r="J16" s="43">
        <f t="shared" si="1"/>
        <v>1545567</v>
      </c>
      <c r="K16" s="43">
        <f t="shared" si="1"/>
        <v>1545567</v>
      </c>
      <c r="L16" s="43">
        <f t="shared" si="1"/>
        <v>1545567</v>
      </c>
      <c r="M16" s="43">
        <f t="shared" si="1"/>
        <v>1545567</v>
      </c>
    </row>
    <row r="17" spans="1:13" ht="13.5" thickBot="1" x14ac:dyDescent="0.25">
      <c r="A17" s="78" t="s">
        <v>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 spans="1:13" ht="13.5" thickBot="1" x14ac:dyDescent="0.25">
      <c r="A18" s="78" t="s">
        <v>111</v>
      </c>
      <c r="B18" s="45">
        <f t="shared" ref="B18:M18" si="2">B16-B17</f>
        <v>588267</v>
      </c>
      <c r="C18" s="46">
        <f t="shared" si="2"/>
        <v>993267</v>
      </c>
      <c r="D18" s="46">
        <f t="shared" si="2"/>
        <v>1175567</v>
      </c>
      <c r="E18" s="46">
        <f t="shared" si="2"/>
        <v>1360567</v>
      </c>
      <c r="F18" s="46">
        <f t="shared" si="2"/>
        <v>1545567</v>
      </c>
      <c r="G18" s="46">
        <f t="shared" si="2"/>
        <v>1545567</v>
      </c>
      <c r="H18" s="46">
        <f t="shared" si="2"/>
        <v>1545567</v>
      </c>
      <c r="I18" s="46">
        <f t="shared" si="2"/>
        <v>1545567</v>
      </c>
      <c r="J18" s="46">
        <f t="shared" si="2"/>
        <v>1545567</v>
      </c>
      <c r="K18" s="46">
        <f t="shared" si="2"/>
        <v>1545567</v>
      </c>
      <c r="L18" s="46">
        <f t="shared" si="2"/>
        <v>1545567</v>
      </c>
      <c r="M18" s="47">
        <f t="shared" si="2"/>
        <v>1545567</v>
      </c>
    </row>
    <row r="19" spans="1:13" x14ac:dyDescent="0.2">
      <c r="E19" s="128">
        <v>44678</v>
      </c>
    </row>
    <row r="20" spans="1:13" x14ac:dyDescent="0.2">
      <c r="C20" t="s">
        <v>445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81"/>
      <c r="B23" s="82">
        <v>45658</v>
      </c>
      <c r="C23" s="82">
        <v>45689</v>
      </c>
      <c r="D23" s="82">
        <v>45717</v>
      </c>
      <c r="E23" s="82">
        <v>45748</v>
      </c>
      <c r="F23" s="82">
        <v>45778</v>
      </c>
      <c r="G23" s="82">
        <v>45809</v>
      </c>
      <c r="H23" s="82">
        <v>45839</v>
      </c>
      <c r="I23" s="82">
        <v>45870</v>
      </c>
      <c r="J23" s="82">
        <v>45901</v>
      </c>
      <c r="K23" s="82">
        <v>45931</v>
      </c>
      <c r="L23" s="82">
        <v>45962</v>
      </c>
      <c r="M23" s="82">
        <v>45992</v>
      </c>
    </row>
    <row r="24" spans="1:13" x14ac:dyDescent="0.2">
      <c r="A24" s="78" t="s">
        <v>110</v>
      </c>
      <c r="B24" s="42">
        <v>581140</v>
      </c>
      <c r="C24" s="42">
        <f>B35</f>
        <v>724880</v>
      </c>
      <c r="D24" s="42">
        <f>C35</f>
        <v>868767</v>
      </c>
      <c r="E24" s="42">
        <f t="shared" ref="E24:L24" si="3">D35</f>
        <v>398267</v>
      </c>
      <c r="F24" s="42">
        <f t="shared" si="3"/>
        <v>542767</v>
      </c>
      <c r="G24" s="42">
        <f t="shared" si="3"/>
        <v>697267</v>
      </c>
      <c r="H24" s="42">
        <f t="shared" si="3"/>
        <v>857267</v>
      </c>
      <c r="I24" s="42">
        <f t="shared" si="3"/>
        <v>1023267</v>
      </c>
      <c r="J24" s="42">
        <f t="shared" si="3"/>
        <v>1189267</v>
      </c>
      <c r="K24" s="42">
        <f t="shared" si="3"/>
        <v>1355267</v>
      </c>
      <c r="L24" s="42">
        <f t="shared" si="3"/>
        <v>31267</v>
      </c>
      <c r="M24" s="42">
        <f>L35</f>
        <v>207267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58740</v>
      </c>
      <c r="C27" s="42">
        <v>58887</v>
      </c>
      <c r="D27" s="42">
        <v>44500</v>
      </c>
      <c r="E27" s="42">
        <v>44500</v>
      </c>
      <c r="F27" s="42">
        <v>44500</v>
      </c>
      <c r="G27" s="42">
        <v>50000</v>
      </c>
      <c r="H27" s="42">
        <v>56000</v>
      </c>
      <c r="I27" s="42">
        <v>56000</v>
      </c>
      <c r="J27" s="42">
        <v>56000</v>
      </c>
      <c r="K27" s="42">
        <v>56000</v>
      </c>
      <c r="L27" s="42">
        <v>56000</v>
      </c>
      <c r="M27" s="42">
        <v>56000</v>
      </c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85000</v>
      </c>
      <c r="C32" s="42">
        <v>85000</v>
      </c>
      <c r="D32" s="42">
        <v>85000</v>
      </c>
      <c r="E32" s="42">
        <v>100000</v>
      </c>
      <c r="F32" s="42">
        <v>110000</v>
      </c>
      <c r="G32" s="42">
        <v>110000</v>
      </c>
      <c r="H32" s="42">
        <v>110000</v>
      </c>
      <c r="I32" s="42">
        <v>110000</v>
      </c>
      <c r="J32" s="42">
        <v>110000</v>
      </c>
      <c r="K32" s="42">
        <v>120000</v>
      </c>
      <c r="L32" s="42">
        <v>120000</v>
      </c>
      <c r="M32" s="42">
        <v>120000</v>
      </c>
    </row>
    <row r="33" spans="1:13" x14ac:dyDescent="0.2">
      <c r="A33" s="78" t="s">
        <v>6</v>
      </c>
      <c r="B33" s="43">
        <f t="shared" ref="B33:M33" si="4">SUM(B24:B32)</f>
        <v>724880</v>
      </c>
      <c r="C33" s="43">
        <f t="shared" si="4"/>
        <v>868767</v>
      </c>
      <c r="D33" s="43">
        <f t="shared" si="4"/>
        <v>998267</v>
      </c>
      <c r="E33" s="43">
        <f t="shared" si="4"/>
        <v>542767</v>
      </c>
      <c r="F33" s="43">
        <f t="shared" si="4"/>
        <v>697267</v>
      </c>
      <c r="G33" s="43">
        <f t="shared" si="4"/>
        <v>857267</v>
      </c>
      <c r="H33" s="43">
        <f t="shared" si="4"/>
        <v>1023267</v>
      </c>
      <c r="I33" s="43">
        <f t="shared" si="4"/>
        <v>1189267</v>
      </c>
      <c r="J33" s="43">
        <f t="shared" si="4"/>
        <v>1355267</v>
      </c>
      <c r="K33" s="43">
        <f t="shared" si="4"/>
        <v>1531267</v>
      </c>
      <c r="L33" s="43">
        <f t="shared" si="4"/>
        <v>207267</v>
      </c>
      <c r="M33" s="43">
        <f t="shared" si="4"/>
        <v>383267</v>
      </c>
    </row>
    <row r="34" spans="1:13" ht="13.5" thickBot="1" x14ac:dyDescent="0.25">
      <c r="A34" s="78" t="s">
        <v>7</v>
      </c>
      <c r="B34" s="44"/>
      <c r="C34" s="44"/>
      <c r="D34" s="44">
        <v>600000</v>
      </c>
      <c r="E34" s="44"/>
      <c r="F34" s="44"/>
      <c r="G34" s="44"/>
      <c r="H34" s="44"/>
      <c r="I34" s="44"/>
      <c r="J34" s="44"/>
      <c r="K34" s="44">
        <v>1500000</v>
      </c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724880</v>
      </c>
      <c r="C35" s="46">
        <f t="shared" si="5"/>
        <v>868767</v>
      </c>
      <c r="D35" s="46">
        <f t="shared" si="5"/>
        <v>398267</v>
      </c>
      <c r="E35" s="46">
        <f t="shared" si="5"/>
        <v>542767</v>
      </c>
      <c r="F35" s="46">
        <f t="shared" si="5"/>
        <v>697267</v>
      </c>
      <c r="G35" s="46">
        <f t="shared" si="5"/>
        <v>857267</v>
      </c>
      <c r="H35" s="46">
        <f t="shared" si="5"/>
        <v>1023267</v>
      </c>
      <c r="I35" s="46">
        <f t="shared" si="5"/>
        <v>1189267</v>
      </c>
      <c r="J35" s="46">
        <f t="shared" si="5"/>
        <v>1355267</v>
      </c>
      <c r="K35" s="46">
        <f t="shared" si="5"/>
        <v>31267</v>
      </c>
      <c r="L35" s="46">
        <f t="shared" si="5"/>
        <v>207267</v>
      </c>
      <c r="M35" s="47">
        <f t="shared" si="5"/>
        <v>383267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2"/>
  <dimension ref="A3:M36"/>
  <sheetViews>
    <sheetView topLeftCell="A4" workbookViewId="0">
      <selection activeCell="F17" sqref="F17"/>
    </sheetView>
  </sheetViews>
  <sheetFormatPr baseColWidth="10" defaultRowHeight="12.75" x14ac:dyDescent="0.2"/>
  <cols>
    <col min="1" max="1" width="27.28515625" customWidth="1"/>
    <col min="3" max="3" width="14.85546875" customWidth="1"/>
    <col min="7" max="7" width="12.85546875" customWidth="1"/>
    <col min="8" max="9" width="12.42578125" customWidth="1"/>
    <col min="10" max="10" width="12.5703125" customWidth="1"/>
    <col min="11" max="11" width="12.42578125" customWidth="1"/>
    <col min="12" max="12" width="12.28515625" customWidth="1"/>
    <col min="13" max="13" width="11.140625" customWidth="1"/>
  </cols>
  <sheetData>
    <row r="3" spans="1:13" x14ac:dyDescent="0.2">
      <c r="A3" t="s">
        <v>208</v>
      </c>
    </row>
    <row r="6" spans="1:13" x14ac:dyDescent="0.2">
      <c r="A6" s="80" t="s">
        <v>0</v>
      </c>
      <c r="B6" s="80" t="s">
        <v>1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x14ac:dyDescent="0.2">
      <c r="A7" s="81"/>
      <c r="B7" s="82">
        <v>46023</v>
      </c>
      <c r="C7" s="82">
        <v>46054</v>
      </c>
      <c r="D7" s="82">
        <v>46082</v>
      </c>
      <c r="E7" s="82">
        <v>46113</v>
      </c>
      <c r="F7" s="82">
        <v>46143</v>
      </c>
      <c r="G7" s="82">
        <v>46174</v>
      </c>
      <c r="H7" s="82">
        <v>46204</v>
      </c>
      <c r="I7" s="82">
        <v>46235</v>
      </c>
      <c r="J7" s="82">
        <v>46266</v>
      </c>
      <c r="K7" s="82">
        <v>46296</v>
      </c>
      <c r="L7" s="82">
        <v>46327</v>
      </c>
      <c r="M7" s="82">
        <v>46357</v>
      </c>
    </row>
    <row r="8" spans="1:13" x14ac:dyDescent="0.2">
      <c r="A8" s="78" t="s">
        <v>110</v>
      </c>
      <c r="B8" s="42"/>
      <c r="C8" s="42">
        <f t="shared" ref="C8:M8" si="0">B19</f>
        <v>0</v>
      </c>
      <c r="D8" s="42">
        <f t="shared" si="0"/>
        <v>0</v>
      </c>
      <c r="E8" s="42">
        <f t="shared" si="0"/>
        <v>0</v>
      </c>
      <c r="F8" s="42">
        <f t="shared" si="0"/>
        <v>0</v>
      </c>
      <c r="G8" s="42">
        <f t="shared" si="0"/>
        <v>423000</v>
      </c>
      <c r="H8" s="42">
        <f t="shared" si="0"/>
        <v>423000</v>
      </c>
      <c r="I8" s="42">
        <f t="shared" si="0"/>
        <v>423000</v>
      </c>
      <c r="J8" s="42">
        <f t="shared" si="0"/>
        <v>423000</v>
      </c>
      <c r="K8" s="42">
        <f t="shared" si="0"/>
        <v>423000</v>
      </c>
      <c r="L8" s="42">
        <f t="shared" si="0"/>
        <v>423000</v>
      </c>
      <c r="M8" s="42">
        <f t="shared" si="0"/>
        <v>423000</v>
      </c>
    </row>
    <row r="9" spans="1:13" x14ac:dyDescent="0.2">
      <c r="A9" s="78" t="s">
        <v>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</v>
      </c>
      <c r="B11" s="42">
        <v>257800</v>
      </c>
      <c r="C11" s="42">
        <v>276000</v>
      </c>
      <c r="D11" s="42">
        <v>304100</v>
      </c>
      <c r="E11" s="42">
        <v>329870</v>
      </c>
      <c r="F11" s="42">
        <v>303000</v>
      </c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209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320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110000</v>
      </c>
      <c r="C16" s="42">
        <v>120000</v>
      </c>
      <c r="D16" s="42">
        <v>120000</v>
      </c>
      <c r="E16" s="42">
        <v>120000</v>
      </c>
      <c r="F16" s="42">
        <v>120000</v>
      </c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6</v>
      </c>
      <c r="B17" s="43">
        <f>SUM(B8:B16)</f>
        <v>367800</v>
      </c>
      <c r="C17" s="43">
        <f t="shared" ref="C17:M17" si="1">SUM(C8:C16)</f>
        <v>396000</v>
      </c>
      <c r="D17" s="43">
        <f t="shared" si="1"/>
        <v>424100</v>
      </c>
      <c r="E17" s="43">
        <f t="shared" si="1"/>
        <v>449870</v>
      </c>
      <c r="F17" s="43">
        <f t="shared" si="1"/>
        <v>423000</v>
      </c>
      <c r="G17" s="43">
        <f t="shared" si="1"/>
        <v>423000</v>
      </c>
      <c r="H17" s="43">
        <f t="shared" si="1"/>
        <v>423000</v>
      </c>
      <c r="I17" s="43">
        <f t="shared" si="1"/>
        <v>423000</v>
      </c>
      <c r="J17" s="43">
        <f t="shared" si="1"/>
        <v>423000</v>
      </c>
      <c r="K17" s="43">
        <f t="shared" si="1"/>
        <v>423000</v>
      </c>
      <c r="L17" s="43">
        <f t="shared" si="1"/>
        <v>423000</v>
      </c>
      <c r="M17" s="43">
        <f t="shared" si="1"/>
        <v>423000</v>
      </c>
    </row>
    <row r="18" spans="1:13" ht="13.5" thickBot="1" x14ac:dyDescent="0.25">
      <c r="A18" s="78" t="s">
        <v>7</v>
      </c>
      <c r="B18" s="44">
        <v>367800</v>
      </c>
      <c r="C18" s="44">
        <v>396000</v>
      </c>
      <c r="D18" s="44">
        <v>424100</v>
      </c>
      <c r="E18" s="44">
        <v>449870</v>
      </c>
      <c r="F18" s="44"/>
      <c r="G18" s="44"/>
      <c r="H18" s="44"/>
      <c r="I18" s="44"/>
      <c r="J18" s="44"/>
      <c r="K18" s="44"/>
      <c r="L18" s="44"/>
      <c r="M18" s="44"/>
    </row>
    <row r="19" spans="1:13" ht="13.5" thickBot="1" x14ac:dyDescent="0.25">
      <c r="A19" s="78" t="s">
        <v>111</v>
      </c>
      <c r="B19" s="45">
        <f t="shared" ref="B19:M19" si="2">B17-B18</f>
        <v>0</v>
      </c>
      <c r="C19" s="46">
        <f t="shared" si="2"/>
        <v>0</v>
      </c>
      <c r="D19" s="46">
        <f t="shared" si="2"/>
        <v>0</v>
      </c>
      <c r="E19" s="46">
        <f t="shared" si="2"/>
        <v>0</v>
      </c>
      <c r="F19" s="46">
        <f t="shared" si="2"/>
        <v>423000</v>
      </c>
      <c r="G19" s="46">
        <f t="shared" si="2"/>
        <v>423000</v>
      </c>
      <c r="H19" s="46">
        <f t="shared" si="2"/>
        <v>423000</v>
      </c>
      <c r="I19" s="46">
        <f t="shared" si="2"/>
        <v>423000</v>
      </c>
      <c r="J19" s="46">
        <f t="shared" si="2"/>
        <v>423000</v>
      </c>
      <c r="K19" s="46">
        <f t="shared" si="2"/>
        <v>423000</v>
      </c>
      <c r="L19" s="46">
        <f t="shared" si="2"/>
        <v>423000</v>
      </c>
      <c r="M19" s="47">
        <f t="shared" si="2"/>
        <v>423000</v>
      </c>
    </row>
    <row r="20" spans="1:13" x14ac:dyDescent="0.2">
      <c r="A20" s="78"/>
      <c r="B20" s="149">
        <v>43894</v>
      </c>
      <c r="C20" s="78"/>
      <c r="D20" s="78"/>
      <c r="E20" s="78"/>
      <c r="F20" s="78"/>
      <c r="G20" s="78"/>
      <c r="H20" s="149">
        <v>44063</v>
      </c>
      <c r="I20" s="78"/>
      <c r="J20" s="78"/>
      <c r="K20" s="149">
        <v>44138</v>
      </c>
      <c r="L20" s="78"/>
      <c r="M20" s="78"/>
    </row>
    <row r="21" spans="1:13" x14ac:dyDescent="0.2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80" t="s">
        <v>0</v>
      </c>
      <c r="B22" s="80" t="s">
        <v>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x14ac:dyDescent="0.2">
      <c r="A23" s="81"/>
      <c r="B23" s="82">
        <v>45658</v>
      </c>
      <c r="C23" s="82">
        <v>45689</v>
      </c>
      <c r="D23" s="82">
        <v>45717</v>
      </c>
      <c r="E23" s="82">
        <v>45748</v>
      </c>
      <c r="F23" s="82">
        <v>45778</v>
      </c>
      <c r="G23" s="82">
        <v>45809</v>
      </c>
      <c r="H23" s="82">
        <v>45839</v>
      </c>
      <c r="I23" s="82">
        <v>45870</v>
      </c>
      <c r="J23" s="82">
        <v>45901</v>
      </c>
      <c r="K23" s="82">
        <v>45931</v>
      </c>
      <c r="L23" s="82">
        <v>45962</v>
      </c>
      <c r="M23" s="82">
        <v>45992</v>
      </c>
    </row>
    <row r="24" spans="1:13" x14ac:dyDescent="0.2">
      <c r="A24" s="78" t="s">
        <v>110</v>
      </c>
      <c r="B24" s="42"/>
      <c r="C24" s="42">
        <f t="shared" ref="C24:M24" si="3">B35</f>
        <v>250300</v>
      </c>
      <c r="D24" s="42">
        <f t="shared" si="3"/>
        <v>0</v>
      </c>
      <c r="E24" s="42">
        <f t="shared" si="3"/>
        <v>0</v>
      </c>
      <c r="F24" s="42">
        <f t="shared" si="3"/>
        <v>0</v>
      </c>
      <c r="G24" s="42">
        <f t="shared" si="3"/>
        <v>212000</v>
      </c>
      <c r="H24" s="42">
        <f t="shared" si="3"/>
        <v>0</v>
      </c>
      <c r="I24" s="42">
        <f t="shared" si="3"/>
        <v>0</v>
      </c>
      <c r="J24" s="42">
        <f t="shared" si="3"/>
        <v>362600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180300</v>
      </c>
      <c r="C27" s="42">
        <v>127886</v>
      </c>
      <c r="D27" s="42">
        <v>115000</v>
      </c>
      <c r="E27" s="42">
        <v>131980</v>
      </c>
      <c r="F27" s="42">
        <v>132000</v>
      </c>
      <c r="G27" s="42">
        <v>254860</v>
      </c>
      <c r="H27" s="42">
        <v>243725</v>
      </c>
      <c r="I27" s="42">
        <v>282600</v>
      </c>
      <c r="J27" s="42">
        <v>290776</v>
      </c>
      <c r="K27" s="42">
        <v>280840</v>
      </c>
      <c r="L27" s="42">
        <v>287110</v>
      </c>
      <c r="M27" s="42">
        <v>281200</v>
      </c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367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320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70000</v>
      </c>
      <c r="C32" s="42">
        <v>70000</v>
      </c>
      <c r="D32" s="42">
        <v>70000</v>
      </c>
      <c r="E32" s="42">
        <v>80000</v>
      </c>
      <c r="F32" s="42">
        <v>80000</v>
      </c>
      <c r="G32" s="42">
        <v>80000</v>
      </c>
      <c r="H32" s="42">
        <v>80000</v>
      </c>
      <c r="I32" s="42">
        <v>80000</v>
      </c>
      <c r="J32" s="42">
        <v>80000</v>
      </c>
      <c r="K32" s="42">
        <v>90000</v>
      </c>
      <c r="L32" s="42">
        <v>100000</v>
      </c>
      <c r="M32" s="42">
        <v>100000</v>
      </c>
    </row>
    <row r="33" spans="1:13" x14ac:dyDescent="0.2">
      <c r="A33" s="78" t="s">
        <v>6</v>
      </c>
      <c r="B33" s="43">
        <f t="shared" ref="B33:M33" si="4">SUM(B24:B32)</f>
        <v>250300</v>
      </c>
      <c r="C33" s="43">
        <f t="shared" si="4"/>
        <v>448186</v>
      </c>
      <c r="D33" s="43">
        <f t="shared" si="4"/>
        <v>185000</v>
      </c>
      <c r="E33" s="43">
        <f t="shared" si="4"/>
        <v>211980</v>
      </c>
      <c r="F33" s="43">
        <f t="shared" si="4"/>
        <v>212000</v>
      </c>
      <c r="G33" s="43">
        <f t="shared" si="4"/>
        <v>546860</v>
      </c>
      <c r="H33" s="43">
        <f t="shared" si="4"/>
        <v>323725</v>
      </c>
      <c r="I33" s="43">
        <f t="shared" si="4"/>
        <v>362600</v>
      </c>
      <c r="J33" s="43">
        <f t="shared" si="4"/>
        <v>733376</v>
      </c>
      <c r="K33" s="43">
        <f t="shared" si="4"/>
        <v>370840</v>
      </c>
      <c r="L33" s="43">
        <f t="shared" si="4"/>
        <v>387110</v>
      </c>
      <c r="M33" s="43">
        <f t="shared" si="4"/>
        <v>381200</v>
      </c>
    </row>
    <row r="34" spans="1:13" ht="13.5" thickBot="1" x14ac:dyDescent="0.25">
      <c r="A34" s="78"/>
      <c r="B34" s="44"/>
      <c r="C34" s="44">
        <v>448186</v>
      </c>
      <c r="D34" s="44">
        <v>185000</v>
      </c>
      <c r="E34" s="44">
        <v>211980</v>
      </c>
      <c r="F34" s="44"/>
      <c r="G34" s="44">
        <v>546860</v>
      </c>
      <c r="H34" s="44">
        <v>323725</v>
      </c>
      <c r="I34" s="44"/>
      <c r="J34" s="44">
        <v>733376</v>
      </c>
      <c r="K34" s="44">
        <v>370840</v>
      </c>
      <c r="L34" s="44">
        <v>387110</v>
      </c>
      <c r="M34" s="44">
        <v>381200</v>
      </c>
    </row>
    <row r="35" spans="1:13" ht="13.5" thickBot="1" x14ac:dyDescent="0.25">
      <c r="A35" s="78" t="s">
        <v>111</v>
      </c>
      <c r="B35" s="45">
        <f t="shared" ref="B35:M35" si="5">B33-B34</f>
        <v>250300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212000</v>
      </c>
      <c r="G35" s="46">
        <f t="shared" si="5"/>
        <v>0</v>
      </c>
      <c r="H35" s="46">
        <f t="shared" si="5"/>
        <v>0</v>
      </c>
      <c r="I35" s="46">
        <f t="shared" si="5"/>
        <v>362600</v>
      </c>
      <c r="J35" s="46">
        <f t="shared" si="5"/>
        <v>0</v>
      </c>
      <c r="K35" s="46">
        <f t="shared" si="5"/>
        <v>0</v>
      </c>
      <c r="L35" s="46">
        <f>L33-L34</f>
        <v>0</v>
      </c>
      <c r="M35" s="47">
        <f t="shared" si="5"/>
        <v>0</v>
      </c>
    </row>
    <row r="36" spans="1:13" x14ac:dyDescent="0.2">
      <c r="A36" s="78"/>
      <c r="B36" s="78"/>
      <c r="C36" s="78"/>
      <c r="D36" s="149"/>
      <c r="E36" s="78"/>
      <c r="F36" s="149"/>
      <c r="G36" s="78"/>
      <c r="H36" s="78"/>
      <c r="I36" s="78"/>
      <c r="J36" s="149"/>
      <c r="K36" s="78"/>
      <c r="L36" s="149"/>
      <c r="M36" s="78"/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6"/>
  <dimension ref="A4:M36"/>
  <sheetViews>
    <sheetView topLeftCell="A22" workbookViewId="0">
      <selection activeCell="G31" sqref="G31"/>
    </sheetView>
  </sheetViews>
  <sheetFormatPr baseColWidth="10" defaultRowHeight="12.75" x14ac:dyDescent="0.2"/>
  <cols>
    <col min="1" max="1" width="33.28515625" customWidth="1"/>
    <col min="4" max="5" width="12.85546875" bestFit="1" customWidth="1"/>
    <col min="6" max="6" width="12.28515625" customWidth="1"/>
    <col min="7" max="7" width="12.7109375" customWidth="1"/>
    <col min="8" max="8" width="12.28515625" customWidth="1"/>
    <col min="9" max="9" width="12.7109375" customWidth="1"/>
    <col min="10" max="10" width="12.5703125" customWidth="1"/>
    <col min="11" max="12" width="12.42578125" customWidth="1"/>
    <col min="13" max="13" width="12.7109375" customWidth="1"/>
  </cols>
  <sheetData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2">
      <c r="A5" s="81"/>
      <c r="B5" s="82">
        <v>45658</v>
      </c>
      <c r="C5" s="82">
        <v>45689</v>
      </c>
      <c r="D5" s="82">
        <v>45717</v>
      </c>
      <c r="E5" s="82">
        <v>45748</v>
      </c>
      <c r="F5" s="82">
        <v>45778</v>
      </c>
      <c r="G5" s="82">
        <v>45809</v>
      </c>
      <c r="H5" s="82">
        <v>45839</v>
      </c>
      <c r="I5" s="82">
        <v>45870</v>
      </c>
      <c r="J5" s="82">
        <v>45901</v>
      </c>
      <c r="K5" s="82">
        <v>45931</v>
      </c>
      <c r="L5" s="82">
        <v>45962</v>
      </c>
      <c r="M5" s="82">
        <v>45992</v>
      </c>
    </row>
    <row r="6" spans="1:13" x14ac:dyDescent="0.2">
      <c r="A6" s="78" t="s">
        <v>110</v>
      </c>
      <c r="B6" s="42"/>
      <c r="C6" s="42">
        <f t="shared" ref="C6:M6" si="0">B17</f>
        <v>102500</v>
      </c>
      <c r="D6" s="42">
        <f t="shared" si="0"/>
        <v>202500</v>
      </c>
      <c r="E6" s="42">
        <f t="shared" si="0"/>
        <v>222500</v>
      </c>
      <c r="F6" s="42">
        <f t="shared" si="0"/>
        <v>0</v>
      </c>
      <c r="G6" s="42">
        <f t="shared" si="0"/>
        <v>120000</v>
      </c>
      <c r="H6" s="42">
        <f t="shared" si="0"/>
        <v>0</v>
      </c>
      <c r="I6" s="42">
        <f t="shared" si="0"/>
        <v>0</v>
      </c>
      <c r="J6" s="42">
        <f t="shared" si="0"/>
        <v>-50000</v>
      </c>
      <c r="K6" s="42">
        <f t="shared" si="0"/>
        <v>100000</v>
      </c>
      <c r="L6" s="42">
        <f t="shared" si="0"/>
        <v>0</v>
      </c>
      <c r="M6" s="42">
        <f t="shared" si="0"/>
        <v>0</v>
      </c>
    </row>
    <row r="7" spans="1:13" x14ac:dyDescent="0.2">
      <c r="A7" s="78" t="s">
        <v>144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>
        <v>500000</v>
      </c>
    </row>
    <row r="8" spans="1:13" x14ac:dyDescent="0.2">
      <c r="A8" s="78" t="s">
        <v>3</v>
      </c>
      <c r="B8" s="42">
        <v>2500</v>
      </c>
      <c r="C8" s="42"/>
      <c r="D8" s="42"/>
      <c r="E8" s="42"/>
      <c r="F8" s="42"/>
      <c r="G8" s="42">
        <v>29424</v>
      </c>
      <c r="H8" s="42"/>
      <c r="I8" s="42"/>
      <c r="J8" s="42"/>
      <c r="K8" s="42"/>
      <c r="L8" s="42">
        <v>42300</v>
      </c>
      <c r="M8" s="42">
        <v>81000</v>
      </c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100000</v>
      </c>
      <c r="C14" s="42">
        <v>100000</v>
      </c>
      <c r="D14" s="42">
        <v>120000</v>
      </c>
      <c r="E14" s="42">
        <v>120000</v>
      </c>
      <c r="F14" s="42">
        <v>120000</v>
      </c>
      <c r="G14" s="42">
        <v>120000</v>
      </c>
      <c r="H14" s="42">
        <v>150000</v>
      </c>
      <c r="I14" s="42">
        <v>150000</v>
      </c>
      <c r="J14" s="42">
        <v>150000</v>
      </c>
      <c r="K14" s="42">
        <v>150000</v>
      </c>
      <c r="L14" s="42">
        <v>150000</v>
      </c>
      <c r="M14" s="42">
        <v>150000</v>
      </c>
    </row>
    <row r="15" spans="1:13" x14ac:dyDescent="0.2">
      <c r="A15" s="78" t="s">
        <v>6</v>
      </c>
      <c r="B15" s="43">
        <f t="shared" ref="B15:M15" si="1">SUM(B6:B14)</f>
        <v>102500</v>
      </c>
      <c r="C15" s="43">
        <f t="shared" si="1"/>
        <v>202500</v>
      </c>
      <c r="D15" s="43">
        <f t="shared" si="1"/>
        <v>322500</v>
      </c>
      <c r="E15" s="43">
        <f t="shared" si="1"/>
        <v>342500</v>
      </c>
      <c r="F15" s="43">
        <f t="shared" si="1"/>
        <v>120000</v>
      </c>
      <c r="G15" s="43">
        <f t="shared" si="1"/>
        <v>269424</v>
      </c>
      <c r="H15" s="43">
        <f t="shared" si="1"/>
        <v>150000</v>
      </c>
      <c r="I15" s="43">
        <f t="shared" si="1"/>
        <v>150000</v>
      </c>
      <c r="J15" s="43">
        <f t="shared" si="1"/>
        <v>100000</v>
      </c>
      <c r="K15" s="43">
        <f t="shared" si="1"/>
        <v>250000</v>
      </c>
      <c r="L15" s="43">
        <f t="shared" si="1"/>
        <v>192300</v>
      </c>
      <c r="M15" s="43">
        <f t="shared" si="1"/>
        <v>731000</v>
      </c>
    </row>
    <row r="16" spans="1:13" ht="13.5" thickBot="1" x14ac:dyDescent="0.25">
      <c r="A16" s="78" t="s">
        <v>7</v>
      </c>
      <c r="B16" s="44"/>
      <c r="C16" s="44"/>
      <c r="D16" s="44">
        <v>100000</v>
      </c>
      <c r="E16" s="44">
        <f>120000+222500</f>
        <v>342500</v>
      </c>
      <c r="F16" s="44"/>
      <c r="G16" s="44">
        <v>269424</v>
      </c>
      <c r="H16" s="44">
        <v>150000</v>
      </c>
      <c r="I16" s="44">
        <v>200000</v>
      </c>
      <c r="J16" s="44"/>
      <c r="K16" s="44">
        <v>250000</v>
      </c>
      <c r="L16" s="44">
        <v>192300</v>
      </c>
      <c r="M16" s="44">
        <v>731000</v>
      </c>
    </row>
    <row r="17" spans="1:13" ht="13.5" thickBot="1" x14ac:dyDescent="0.25">
      <c r="A17" s="78" t="s">
        <v>111</v>
      </c>
      <c r="B17" s="45">
        <f t="shared" ref="B17:M17" si="2">B15-B16</f>
        <v>102500</v>
      </c>
      <c r="C17" s="46">
        <f t="shared" si="2"/>
        <v>202500</v>
      </c>
      <c r="D17" s="46">
        <f t="shared" si="2"/>
        <v>222500</v>
      </c>
      <c r="E17" s="46">
        <f t="shared" si="2"/>
        <v>0</v>
      </c>
      <c r="F17" s="46">
        <f t="shared" si="2"/>
        <v>120000</v>
      </c>
      <c r="G17" s="46">
        <f t="shared" si="2"/>
        <v>0</v>
      </c>
      <c r="H17" s="46">
        <f t="shared" si="2"/>
        <v>0</v>
      </c>
      <c r="I17" s="46">
        <f t="shared" si="2"/>
        <v>-50000</v>
      </c>
      <c r="J17" s="46">
        <f t="shared" si="2"/>
        <v>100000</v>
      </c>
      <c r="K17" s="46">
        <f t="shared" si="2"/>
        <v>0</v>
      </c>
      <c r="L17" s="46">
        <f t="shared" si="2"/>
        <v>0</v>
      </c>
      <c r="M17" s="47">
        <f t="shared" si="2"/>
        <v>0</v>
      </c>
    </row>
    <row r="18" spans="1:13" x14ac:dyDescent="0.2">
      <c r="E18" t="s">
        <v>730</v>
      </c>
      <c r="H18" t="s">
        <v>740</v>
      </c>
      <c r="J18" s="128"/>
    </row>
    <row r="19" spans="1:13" x14ac:dyDescent="0.2">
      <c r="D19" t="s">
        <v>513</v>
      </c>
      <c r="E19" s="179">
        <v>45807</v>
      </c>
    </row>
    <row r="21" spans="1:13" ht="15.75" x14ac:dyDescent="0.25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2">
      <c r="A22" s="81"/>
      <c r="B22" s="82">
        <v>46023</v>
      </c>
      <c r="C22" s="82">
        <v>46054</v>
      </c>
      <c r="D22" s="82">
        <v>46082</v>
      </c>
      <c r="E22" s="82">
        <v>46113</v>
      </c>
      <c r="F22" s="82">
        <v>46143</v>
      </c>
      <c r="G22" s="82">
        <v>46174</v>
      </c>
      <c r="H22" s="82">
        <v>46204</v>
      </c>
      <c r="I22" s="82">
        <v>46235</v>
      </c>
      <c r="J22" s="82">
        <v>46266</v>
      </c>
      <c r="K22" s="82">
        <v>46296</v>
      </c>
      <c r="L22" s="82">
        <v>46327</v>
      </c>
      <c r="M22" s="82">
        <v>46357</v>
      </c>
    </row>
    <row r="23" spans="1:13" x14ac:dyDescent="0.2">
      <c r="A23" s="78" t="s">
        <v>110</v>
      </c>
      <c r="B23" s="42"/>
      <c r="C23" s="42">
        <f>B34</f>
        <v>273420</v>
      </c>
      <c r="D23" s="42">
        <f>C34</f>
        <v>13420</v>
      </c>
      <c r="E23" s="42">
        <f t="shared" ref="E23:M23" si="3">D34</f>
        <v>0</v>
      </c>
      <c r="F23" s="42">
        <f t="shared" si="3"/>
        <v>200000</v>
      </c>
      <c r="G23" s="42">
        <f t="shared" si="3"/>
        <v>300</v>
      </c>
      <c r="H23" s="42">
        <f t="shared" si="3"/>
        <v>610300</v>
      </c>
      <c r="I23" s="42">
        <f t="shared" si="3"/>
        <v>610300</v>
      </c>
      <c r="J23" s="42">
        <f t="shared" si="3"/>
        <v>610300</v>
      </c>
      <c r="K23" s="42">
        <f t="shared" si="3"/>
        <v>610300</v>
      </c>
      <c r="L23" s="42">
        <f t="shared" si="3"/>
        <v>610300</v>
      </c>
      <c r="M23" s="42">
        <f t="shared" si="3"/>
        <v>610300</v>
      </c>
    </row>
    <row r="24" spans="1:13" x14ac:dyDescent="0.2">
      <c r="A24" s="78" t="s">
        <v>144</v>
      </c>
      <c r="B24" s="42"/>
      <c r="C24" s="42"/>
      <c r="D24" s="42">
        <v>580000</v>
      </c>
      <c r="E24" s="42"/>
      <c r="F24" s="42"/>
      <c r="G24" s="42">
        <v>610000</v>
      </c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>
        <v>83420</v>
      </c>
      <c r="C25" s="42"/>
      <c r="D25" s="42"/>
      <c r="E25" s="42"/>
      <c r="F25" s="42">
        <v>112300</v>
      </c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190000</v>
      </c>
      <c r="C31" s="42">
        <v>190000</v>
      </c>
      <c r="D31" s="42">
        <v>200000</v>
      </c>
      <c r="E31" s="42">
        <v>200000</v>
      </c>
      <c r="F31" s="42">
        <v>200000</v>
      </c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6</v>
      </c>
      <c r="B32" s="43">
        <f t="shared" ref="B32:M32" si="4">SUM(B23:B31)</f>
        <v>273420</v>
      </c>
      <c r="C32" s="43">
        <f t="shared" si="4"/>
        <v>463420</v>
      </c>
      <c r="D32" s="43">
        <f t="shared" si="4"/>
        <v>793420</v>
      </c>
      <c r="E32" s="43">
        <f t="shared" si="4"/>
        <v>200000</v>
      </c>
      <c r="F32" s="43">
        <f t="shared" si="4"/>
        <v>512300</v>
      </c>
      <c r="G32" s="43">
        <f t="shared" si="4"/>
        <v>610300</v>
      </c>
      <c r="H32" s="43">
        <f t="shared" si="4"/>
        <v>610300</v>
      </c>
      <c r="I32" s="43">
        <f t="shared" si="4"/>
        <v>610300</v>
      </c>
      <c r="J32" s="43">
        <f t="shared" si="4"/>
        <v>610300</v>
      </c>
      <c r="K32" s="43">
        <f t="shared" si="4"/>
        <v>610300</v>
      </c>
      <c r="L32" s="43">
        <f t="shared" si="4"/>
        <v>610300</v>
      </c>
      <c r="M32" s="43">
        <f t="shared" si="4"/>
        <v>610300</v>
      </c>
    </row>
    <row r="33" spans="1:13" ht="13.5" thickBot="1" x14ac:dyDescent="0.25">
      <c r="A33" s="78" t="s">
        <v>7</v>
      </c>
      <c r="B33" s="44"/>
      <c r="C33" s="44">
        <v>450000</v>
      </c>
      <c r="D33" s="44">
        <v>793420</v>
      </c>
      <c r="E33" s="44"/>
      <c r="F33" s="44">
        <f>200000+312000</f>
        <v>512000</v>
      </c>
      <c r="G33" s="44"/>
      <c r="H33" s="44"/>
      <c r="I33" s="44"/>
      <c r="J33" s="44"/>
      <c r="K33" s="44"/>
      <c r="L33" s="44"/>
      <c r="M33" s="44"/>
    </row>
    <row r="34" spans="1:13" ht="13.5" thickBot="1" x14ac:dyDescent="0.25">
      <c r="A34" s="78" t="s">
        <v>111</v>
      </c>
      <c r="B34" s="161">
        <f t="shared" ref="B34:M34" si="5">B32-B33</f>
        <v>273420</v>
      </c>
      <c r="C34" s="46">
        <f t="shared" si="5"/>
        <v>13420</v>
      </c>
      <c r="D34" s="46">
        <f t="shared" si="5"/>
        <v>0</v>
      </c>
      <c r="E34" s="46">
        <f t="shared" si="5"/>
        <v>200000</v>
      </c>
      <c r="F34" s="46">
        <f t="shared" si="5"/>
        <v>300</v>
      </c>
      <c r="G34" s="46">
        <f t="shared" si="5"/>
        <v>610300</v>
      </c>
      <c r="H34" s="46">
        <f t="shared" si="5"/>
        <v>610300</v>
      </c>
      <c r="I34" s="46">
        <f t="shared" si="5"/>
        <v>610300</v>
      </c>
      <c r="J34" s="46">
        <f t="shared" si="5"/>
        <v>610300</v>
      </c>
      <c r="K34" s="46">
        <f t="shared" si="5"/>
        <v>610300</v>
      </c>
      <c r="L34" s="46">
        <f t="shared" si="5"/>
        <v>610300</v>
      </c>
      <c r="M34" s="47">
        <f t="shared" si="5"/>
        <v>610300</v>
      </c>
    </row>
    <row r="36" spans="1:13" x14ac:dyDescent="0.2">
      <c r="H36" s="128"/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3"/>
  <dimension ref="A3:M85"/>
  <sheetViews>
    <sheetView topLeftCell="A22" workbookViewId="0">
      <selection activeCell="B33" sqref="B33"/>
    </sheetView>
  </sheetViews>
  <sheetFormatPr baseColWidth="10" defaultRowHeight="12.75" x14ac:dyDescent="0.2"/>
  <cols>
    <col min="1" max="1" width="25.42578125" customWidth="1"/>
    <col min="7" max="7" width="12.7109375" customWidth="1"/>
    <col min="8" max="8" width="14.28515625" customWidth="1"/>
    <col min="9" max="10" width="12.42578125" customWidth="1"/>
    <col min="11" max="11" width="12.5703125" customWidth="1"/>
    <col min="12" max="12" width="12.28515625" customWidth="1"/>
    <col min="13" max="13" width="13.85546875" customWidth="1"/>
  </cols>
  <sheetData>
    <row r="3" spans="1:13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x14ac:dyDescent="0.2">
      <c r="A4" s="72" t="s">
        <v>0</v>
      </c>
      <c r="B4" s="72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x14ac:dyDescent="0.2">
      <c r="A5" s="73"/>
      <c r="B5" s="74">
        <v>44927</v>
      </c>
      <c r="C5" s="74">
        <v>44958</v>
      </c>
      <c r="D5" s="74">
        <v>44986</v>
      </c>
      <c r="E5" s="74">
        <v>45017</v>
      </c>
      <c r="F5" s="74">
        <v>45047</v>
      </c>
      <c r="G5" s="74">
        <v>45078</v>
      </c>
      <c r="H5" s="74">
        <v>45108</v>
      </c>
      <c r="I5" s="74">
        <v>45139</v>
      </c>
      <c r="J5" s="74">
        <v>45170</v>
      </c>
      <c r="K5" s="74">
        <v>45200</v>
      </c>
      <c r="L5" s="74">
        <v>45231</v>
      </c>
      <c r="M5" s="74">
        <v>45261</v>
      </c>
    </row>
    <row r="6" spans="1:13" x14ac:dyDescent="0.2">
      <c r="A6" s="65" t="s">
        <v>110</v>
      </c>
      <c r="B6" s="69"/>
      <c r="C6" s="69">
        <f>B17</f>
        <v>0</v>
      </c>
      <c r="D6" s="69">
        <f>C17</f>
        <v>0</v>
      </c>
      <c r="E6" s="69">
        <f>D17</f>
        <v>0</v>
      </c>
      <c r="F6" s="69">
        <f t="shared" ref="F6:M6" si="0">E17</f>
        <v>0</v>
      </c>
      <c r="G6" s="69">
        <f t="shared" si="0"/>
        <v>0</v>
      </c>
      <c r="H6" s="69">
        <f t="shared" si="0"/>
        <v>0</v>
      </c>
      <c r="I6" s="69">
        <f t="shared" si="0"/>
        <v>0</v>
      </c>
      <c r="J6" s="69">
        <f t="shared" si="0"/>
        <v>0</v>
      </c>
      <c r="K6" s="69">
        <f t="shared" si="0"/>
        <v>5000</v>
      </c>
      <c r="L6" s="69">
        <f t="shared" si="0"/>
        <v>0</v>
      </c>
      <c r="M6" s="69">
        <f t="shared" si="0"/>
        <v>-5000</v>
      </c>
    </row>
    <row r="7" spans="1:13" x14ac:dyDescent="0.2">
      <c r="A7" s="65" t="s">
        <v>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4</v>
      </c>
      <c r="B9" s="69"/>
      <c r="C9" s="69"/>
      <c r="D9" s="69"/>
      <c r="E9" s="69"/>
      <c r="F9" s="69"/>
      <c r="G9" s="69"/>
      <c r="H9" s="69"/>
      <c r="I9" s="69">
        <v>3000</v>
      </c>
      <c r="J9" s="69">
        <v>3000</v>
      </c>
      <c r="K9" s="69">
        <v>3000</v>
      </c>
      <c r="L9" s="69">
        <v>3000</v>
      </c>
      <c r="M9" s="69">
        <v>3000</v>
      </c>
    </row>
    <row r="10" spans="1:13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75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/>
      <c r="C14" s="69"/>
      <c r="D14" s="69"/>
      <c r="E14" s="69"/>
      <c r="F14" s="69"/>
      <c r="G14" s="69"/>
      <c r="H14" s="69"/>
      <c r="I14" s="69">
        <v>2000</v>
      </c>
      <c r="J14" s="69">
        <v>2000</v>
      </c>
      <c r="K14" s="69">
        <v>2000</v>
      </c>
      <c r="L14" s="69">
        <v>2000</v>
      </c>
      <c r="M14" s="69">
        <v>2000</v>
      </c>
    </row>
    <row r="15" spans="1:13" x14ac:dyDescent="0.2">
      <c r="A15" s="65" t="s">
        <v>6</v>
      </c>
      <c r="B15" s="70">
        <f t="shared" ref="B15:M15" si="1">SUM(B6:B14)</f>
        <v>0</v>
      </c>
      <c r="C15" s="70">
        <f t="shared" si="1"/>
        <v>0</v>
      </c>
      <c r="D15" s="70">
        <f t="shared" si="1"/>
        <v>0</v>
      </c>
      <c r="E15" s="70">
        <f t="shared" si="1"/>
        <v>0</v>
      </c>
      <c r="F15" s="70">
        <f t="shared" si="1"/>
        <v>0</v>
      </c>
      <c r="G15" s="70">
        <f t="shared" si="1"/>
        <v>0</v>
      </c>
      <c r="H15" s="70">
        <f t="shared" si="1"/>
        <v>0</v>
      </c>
      <c r="I15" s="70">
        <f t="shared" si="1"/>
        <v>5000</v>
      </c>
      <c r="J15" s="70">
        <f t="shared" si="1"/>
        <v>5000</v>
      </c>
      <c r="K15" s="70">
        <f t="shared" si="1"/>
        <v>10000</v>
      </c>
      <c r="L15" s="70">
        <f t="shared" si="1"/>
        <v>5000</v>
      </c>
      <c r="M15" s="70">
        <f t="shared" si="1"/>
        <v>0</v>
      </c>
    </row>
    <row r="16" spans="1:13" ht="13.5" thickBot="1" x14ac:dyDescent="0.25">
      <c r="A16" s="65" t="s">
        <v>7</v>
      </c>
      <c r="B16" s="71"/>
      <c r="C16" s="71"/>
      <c r="D16" s="71"/>
      <c r="E16" s="71"/>
      <c r="F16" s="71"/>
      <c r="G16" s="71"/>
      <c r="H16" s="71"/>
      <c r="I16" s="71">
        <v>5000</v>
      </c>
      <c r="J16" s="71"/>
      <c r="K16" s="71">
        <v>10000</v>
      </c>
      <c r="L16" s="71">
        <v>10000</v>
      </c>
      <c r="M16" s="71"/>
    </row>
    <row r="17" spans="1:13" ht="13.5" thickBot="1" x14ac:dyDescent="0.25">
      <c r="A17" s="65" t="s">
        <v>111</v>
      </c>
      <c r="B17" s="75">
        <f t="shared" ref="B17:M17" si="2">B15-B16</f>
        <v>0</v>
      </c>
      <c r="C17" s="76">
        <f t="shared" si="2"/>
        <v>0</v>
      </c>
      <c r="D17" s="76">
        <f t="shared" si="2"/>
        <v>0</v>
      </c>
      <c r="E17" s="76">
        <f t="shared" si="2"/>
        <v>0</v>
      </c>
      <c r="F17" s="76">
        <f t="shared" si="2"/>
        <v>0</v>
      </c>
      <c r="G17" s="76">
        <f t="shared" si="2"/>
        <v>0</v>
      </c>
      <c r="H17" s="76">
        <f t="shared" si="2"/>
        <v>0</v>
      </c>
      <c r="I17" s="76">
        <f t="shared" si="2"/>
        <v>0</v>
      </c>
      <c r="J17" s="76">
        <f t="shared" si="2"/>
        <v>5000</v>
      </c>
      <c r="K17" s="76">
        <f t="shared" si="2"/>
        <v>0</v>
      </c>
      <c r="L17" s="76">
        <f t="shared" si="2"/>
        <v>-5000</v>
      </c>
      <c r="M17" s="77">
        <f t="shared" si="2"/>
        <v>0</v>
      </c>
    </row>
    <row r="18" spans="1:13" x14ac:dyDescent="0.2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3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x14ac:dyDescent="0.2">
      <c r="A20" s="72" t="s">
        <v>0</v>
      </c>
      <c r="B20" s="72" t="s">
        <v>1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</row>
    <row r="21" spans="1:13" x14ac:dyDescent="0.2">
      <c r="A21" s="73"/>
      <c r="B21" s="74">
        <v>45292</v>
      </c>
      <c r="C21" s="74">
        <v>45323</v>
      </c>
      <c r="D21" s="74">
        <v>45352</v>
      </c>
      <c r="E21" s="74">
        <v>45383</v>
      </c>
      <c r="F21" s="74">
        <v>45413</v>
      </c>
      <c r="G21" s="74">
        <v>45444</v>
      </c>
      <c r="H21" s="74">
        <v>45474</v>
      </c>
      <c r="I21" s="74">
        <v>45505</v>
      </c>
      <c r="J21" s="74">
        <v>45536</v>
      </c>
      <c r="K21" s="74">
        <v>45566</v>
      </c>
      <c r="L21" s="74">
        <v>45597</v>
      </c>
      <c r="M21" s="74">
        <v>45627</v>
      </c>
    </row>
    <row r="22" spans="1:13" x14ac:dyDescent="0.2">
      <c r="A22" s="65" t="s">
        <v>110</v>
      </c>
      <c r="B22" s="69"/>
      <c r="C22" s="69"/>
      <c r="D22" s="69">
        <f>C33</f>
        <v>0</v>
      </c>
      <c r="E22" s="69">
        <f t="shared" ref="E22:M22" si="3">D33</f>
        <v>0</v>
      </c>
      <c r="F22" s="69">
        <f t="shared" si="3"/>
        <v>0</v>
      </c>
      <c r="G22" s="69">
        <f t="shared" si="3"/>
        <v>0</v>
      </c>
      <c r="H22" s="69">
        <f t="shared" si="3"/>
        <v>0</v>
      </c>
      <c r="I22" s="69">
        <f t="shared" si="3"/>
        <v>0</v>
      </c>
      <c r="J22" s="69">
        <f t="shared" si="3"/>
        <v>0</v>
      </c>
      <c r="K22" s="69">
        <f t="shared" si="3"/>
        <v>0</v>
      </c>
      <c r="L22" s="69">
        <f t="shared" si="3"/>
        <v>0</v>
      </c>
      <c r="M22" s="69">
        <f t="shared" si="3"/>
        <v>0</v>
      </c>
    </row>
    <row r="23" spans="1:13" x14ac:dyDescent="0.2">
      <c r="A23" s="65" t="s">
        <v>2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3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4</v>
      </c>
      <c r="B25" s="69">
        <v>8000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73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74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75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5</v>
      </c>
      <c r="B30" s="69">
        <v>4000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6</v>
      </c>
      <c r="B31" s="70">
        <f t="shared" ref="B31:M31" si="4">SUM(B22:B30)</f>
        <v>12000</v>
      </c>
      <c r="C31" s="70">
        <f t="shared" si="4"/>
        <v>0</v>
      </c>
      <c r="D31" s="70">
        <f t="shared" si="4"/>
        <v>0</v>
      </c>
      <c r="E31" s="70">
        <f t="shared" si="4"/>
        <v>0</v>
      </c>
      <c r="F31" s="70">
        <f t="shared" si="4"/>
        <v>0</v>
      </c>
      <c r="G31" s="70">
        <f t="shared" si="4"/>
        <v>0</v>
      </c>
      <c r="H31" s="70">
        <f t="shared" si="4"/>
        <v>0</v>
      </c>
      <c r="I31" s="70">
        <f t="shared" si="4"/>
        <v>0</v>
      </c>
      <c r="J31" s="70">
        <f t="shared" si="4"/>
        <v>0</v>
      </c>
      <c r="K31" s="70">
        <f t="shared" si="4"/>
        <v>0</v>
      </c>
      <c r="L31" s="70">
        <f t="shared" si="4"/>
        <v>0</v>
      </c>
      <c r="M31" s="70">
        <f t="shared" si="4"/>
        <v>0</v>
      </c>
    </row>
    <row r="32" spans="1:13" ht="13.5" thickBot="1" x14ac:dyDescent="0.25">
      <c r="A32" s="65" t="s">
        <v>7</v>
      </c>
      <c r="B32" s="71">
        <v>12000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</row>
    <row r="33" spans="1:13" ht="13.5" thickBot="1" x14ac:dyDescent="0.25">
      <c r="A33" s="65" t="s">
        <v>111</v>
      </c>
      <c r="B33" s="75">
        <f t="shared" ref="B33:M33" si="5">B31-B32</f>
        <v>0</v>
      </c>
      <c r="C33" s="76">
        <f t="shared" si="5"/>
        <v>0</v>
      </c>
      <c r="D33" s="76">
        <f t="shared" si="5"/>
        <v>0</v>
      </c>
      <c r="E33" s="76">
        <f t="shared" si="5"/>
        <v>0</v>
      </c>
      <c r="F33" s="76">
        <f t="shared" si="5"/>
        <v>0</v>
      </c>
      <c r="G33" s="76">
        <f t="shared" si="5"/>
        <v>0</v>
      </c>
      <c r="H33" s="76">
        <f t="shared" si="5"/>
        <v>0</v>
      </c>
      <c r="I33" s="76">
        <f t="shared" si="5"/>
        <v>0</v>
      </c>
      <c r="J33" s="76">
        <f t="shared" si="5"/>
        <v>0</v>
      </c>
      <c r="K33" s="76">
        <f t="shared" si="5"/>
        <v>0</v>
      </c>
      <c r="L33" s="76">
        <f t="shared" si="5"/>
        <v>0</v>
      </c>
      <c r="M33" s="77">
        <f t="shared" si="5"/>
        <v>0</v>
      </c>
    </row>
    <row r="34" spans="1:13" x14ac:dyDescent="0.2">
      <c r="A34" s="65"/>
      <c r="B34" s="65"/>
      <c r="C34" s="86"/>
      <c r="D34" s="65"/>
      <c r="E34" s="65"/>
      <c r="F34" s="65"/>
      <c r="G34" s="65"/>
      <c r="H34" s="65"/>
      <c r="I34" s="65"/>
      <c r="J34" s="65"/>
      <c r="K34" s="65"/>
      <c r="L34" s="65"/>
      <c r="M34" s="65"/>
    </row>
    <row r="35" spans="1:13" x14ac:dyDescent="0.2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</row>
    <row r="36" spans="1:13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</row>
    <row r="37" spans="1:13" x14ac:dyDescent="0.2">
      <c r="A37" s="72" t="s">
        <v>0</v>
      </c>
      <c r="B37" s="72" t="s">
        <v>1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</row>
    <row r="38" spans="1:13" x14ac:dyDescent="0.2">
      <c r="A38" s="73"/>
      <c r="B38" s="74">
        <v>41640</v>
      </c>
      <c r="C38" s="74">
        <v>41671</v>
      </c>
      <c r="D38" s="74">
        <v>41699</v>
      </c>
      <c r="E38" s="74">
        <v>41730</v>
      </c>
      <c r="F38" s="74">
        <v>41760</v>
      </c>
      <c r="G38" s="74">
        <v>41791</v>
      </c>
      <c r="H38" s="74">
        <v>41821</v>
      </c>
      <c r="I38" s="74">
        <v>41852</v>
      </c>
      <c r="J38" s="74">
        <v>41883</v>
      </c>
      <c r="K38" s="74">
        <v>41913</v>
      </c>
      <c r="L38" s="74">
        <v>41944</v>
      </c>
      <c r="M38" s="74">
        <v>41974</v>
      </c>
    </row>
    <row r="39" spans="1:13" x14ac:dyDescent="0.2">
      <c r="A39" s="65" t="s">
        <v>110</v>
      </c>
      <c r="B39" s="69"/>
      <c r="C39" s="69">
        <f>B50</f>
        <v>0</v>
      </c>
      <c r="D39" s="69">
        <f t="shared" ref="D39:M39" si="6">C50</f>
        <v>0</v>
      </c>
      <c r="E39" s="69">
        <f t="shared" si="6"/>
        <v>0</v>
      </c>
      <c r="F39" s="69">
        <f t="shared" si="6"/>
        <v>0</v>
      </c>
      <c r="G39" s="69">
        <f t="shared" si="6"/>
        <v>0</v>
      </c>
      <c r="H39" s="69">
        <f t="shared" si="6"/>
        <v>0</v>
      </c>
      <c r="I39" s="69">
        <f t="shared" si="6"/>
        <v>0</v>
      </c>
      <c r="J39" s="69">
        <f t="shared" si="6"/>
        <v>0</v>
      </c>
      <c r="K39" s="69">
        <f t="shared" si="6"/>
        <v>0</v>
      </c>
      <c r="L39" s="69">
        <f t="shared" si="6"/>
        <v>0</v>
      </c>
      <c r="M39" s="69">
        <f t="shared" si="6"/>
        <v>0</v>
      </c>
    </row>
    <row r="40" spans="1:13" x14ac:dyDescent="0.2">
      <c r="A40" s="65" t="s">
        <v>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 spans="1:13" x14ac:dyDescent="0.2">
      <c r="A41" s="65" t="s">
        <v>3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3" x14ac:dyDescent="0.2">
      <c r="A42" s="65" t="s">
        <v>4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1:13" x14ac:dyDescent="0.2">
      <c r="A43" s="65" t="s">
        <v>9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 spans="1:13" x14ac:dyDescent="0.2">
      <c r="A44" s="65" t="s">
        <v>73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spans="1:13" x14ac:dyDescent="0.2">
      <c r="A45" s="65" t="s">
        <v>74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spans="1:13" x14ac:dyDescent="0.2">
      <c r="A46" s="65" t="s">
        <v>75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 x14ac:dyDescent="0.2">
      <c r="A47" s="65" t="s">
        <v>5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3" x14ac:dyDescent="0.2">
      <c r="A48" s="65" t="s">
        <v>6</v>
      </c>
      <c r="B48" s="70">
        <f t="shared" ref="B48:M48" si="7">SUM(B39:B47)</f>
        <v>0</v>
      </c>
      <c r="C48" s="70">
        <f t="shared" si="7"/>
        <v>0</v>
      </c>
      <c r="D48" s="70">
        <f t="shared" si="7"/>
        <v>0</v>
      </c>
      <c r="E48" s="70">
        <f t="shared" si="7"/>
        <v>0</v>
      </c>
      <c r="F48" s="70">
        <f t="shared" si="7"/>
        <v>0</v>
      </c>
      <c r="G48" s="70">
        <f t="shared" si="7"/>
        <v>0</v>
      </c>
      <c r="H48" s="70">
        <f t="shared" si="7"/>
        <v>0</v>
      </c>
      <c r="I48" s="70">
        <f t="shared" si="7"/>
        <v>0</v>
      </c>
      <c r="J48" s="70">
        <f t="shared" si="7"/>
        <v>0</v>
      </c>
      <c r="K48" s="70">
        <f t="shared" si="7"/>
        <v>0</v>
      </c>
      <c r="L48" s="70">
        <f t="shared" si="7"/>
        <v>0</v>
      </c>
      <c r="M48" s="70">
        <f t="shared" si="7"/>
        <v>0</v>
      </c>
    </row>
    <row r="49" spans="1:13" ht="13.5" thickBot="1" x14ac:dyDescent="0.25">
      <c r="A49" s="65" t="s">
        <v>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</row>
    <row r="50" spans="1:13" ht="13.5" thickBot="1" x14ac:dyDescent="0.25">
      <c r="A50" s="65" t="s">
        <v>111</v>
      </c>
      <c r="B50" s="75">
        <f t="shared" ref="B50:M50" si="8">B48-B49</f>
        <v>0</v>
      </c>
      <c r="C50" s="76">
        <f t="shared" si="8"/>
        <v>0</v>
      </c>
      <c r="D50" s="76">
        <f t="shared" si="8"/>
        <v>0</v>
      </c>
      <c r="E50" s="76">
        <f t="shared" si="8"/>
        <v>0</v>
      </c>
      <c r="F50" s="76">
        <f t="shared" si="8"/>
        <v>0</v>
      </c>
      <c r="G50" s="76">
        <f t="shared" si="8"/>
        <v>0</v>
      </c>
      <c r="H50" s="76">
        <f t="shared" si="8"/>
        <v>0</v>
      </c>
      <c r="I50" s="76">
        <f t="shared" si="8"/>
        <v>0</v>
      </c>
      <c r="J50" s="76">
        <f t="shared" si="8"/>
        <v>0</v>
      </c>
      <c r="K50" s="76">
        <f t="shared" si="8"/>
        <v>0</v>
      </c>
      <c r="L50" s="76">
        <f t="shared" si="8"/>
        <v>0</v>
      </c>
      <c r="M50" s="77">
        <f t="shared" si="8"/>
        <v>0</v>
      </c>
    </row>
    <row r="51" spans="1:13" x14ac:dyDescent="0.2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</row>
    <row r="53" spans="1:13" x14ac:dyDescent="0.2">
      <c r="A53" s="72" t="s">
        <v>0</v>
      </c>
      <c r="B53" s="72" t="s">
        <v>1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</row>
    <row r="54" spans="1:13" x14ac:dyDescent="0.2">
      <c r="A54" s="73"/>
      <c r="B54" s="74">
        <v>41275</v>
      </c>
      <c r="C54" s="74">
        <v>41306</v>
      </c>
      <c r="D54" s="74">
        <v>41334</v>
      </c>
      <c r="E54" s="74">
        <v>41365</v>
      </c>
      <c r="F54" s="74">
        <v>41395</v>
      </c>
      <c r="G54" s="74">
        <v>41426</v>
      </c>
      <c r="H54" s="74">
        <v>41456</v>
      </c>
      <c r="I54" s="74">
        <v>41487</v>
      </c>
      <c r="J54" s="74">
        <v>41518</v>
      </c>
      <c r="K54" s="74">
        <v>41548</v>
      </c>
      <c r="L54" s="74">
        <v>41579</v>
      </c>
      <c r="M54" s="74">
        <v>41609</v>
      </c>
    </row>
    <row r="55" spans="1:13" x14ac:dyDescent="0.2">
      <c r="A55" s="65" t="s">
        <v>110</v>
      </c>
      <c r="B55" s="69"/>
      <c r="C55" s="69">
        <f t="shared" ref="C55:M55" si="9">B66</f>
        <v>-1000</v>
      </c>
      <c r="D55" s="69">
        <f t="shared" si="9"/>
        <v>-1700</v>
      </c>
      <c r="E55" s="69">
        <f t="shared" si="9"/>
        <v>-1700</v>
      </c>
      <c r="F55" s="69">
        <f t="shared" si="9"/>
        <v>-1700</v>
      </c>
      <c r="G55" s="69">
        <f t="shared" si="9"/>
        <v>-1700</v>
      </c>
      <c r="H55" s="69">
        <f t="shared" si="9"/>
        <v>-1700</v>
      </c>
      <c r="I55" s="69">
        <f t="shared" si="9"/>
        <v>-1700</v>
      </c>
      <c r="J55" s="69">
        <f t="shared" si="9"/>
        <v>-1700</v>
      </c>
      <c r="K55" s="69">
        <f t="shared" si="9"/>
        <v>-1700</v>
      </c>
      <c r="L55" s="69">
        <f t="shared" si="9"/>
        <v>-1700</v>
      </c>
      <c r="M55" s="69">
        <f t="shared" si="9"/>
        <v>-1700</v>
      </c>
    </row>
    <row r="56" spans="1:13" x14ac:dyDescent="0.2">
      <c r="A56" s="65" t="s">
        <v>2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spans="1:13" x14ac:dyDescent="0.2">
      <c r="A57" s="65" t="s">
        <v>3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spans="1:13" x14ac:dyDescent="0.2">
      <c r="A58" s="65" t="s">
        <v>4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spans="1:13" x14ac:dyDescent="0.2">
      <c r="A59" s="65" t="s">
        <v>9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spans="1:13" x14ac:dyDescent="0.2">
      <c r="A60" s="65" t="s">
        <v>73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spans="1:13" x14ac:dyDescent="0.2">
      <c r="A61" s="65" t="s">
        <v>74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spans="1:13" x14ac:dyDescent="0.2">
      <c r="A62" s="65" t="s">
        <v>75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spans="1:13" x14ac:dyDescent="0.2">
      <c r="A63" s="65" t="s">
        <v>5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spans="1:13" x14ac:dyDescent="0.2">
      <c r="A64" s="65" t="s">
        <v>6</v>
      </c>
      <c r="B64" s="70">
        <f t="shared" ref="B64:M64" si="10">SUM(B55:B63)</f>
        <v>0</v>
      </c>
      <c r="C64" s="70">
        <f t="shared" si="10"/>
        <v>-1000</v>
      </c>
      <c r="D64" s="70">
        <f t="shared" si="10"/>
        <v>-1700</v>
      </c>
      <c r="E64" s="70">
        <f t="shared" si="10"/>
        <v>-1700</v>
      </c>
      <c r="F64" s="70">
        <f t="shared" si="10"/>
        <v>-1700</v>
      </c>
      <c r="G64" s="70">
        <f t="shared" si="10"/>
        <v>-1700</v>
      </c>
      <c r="H64" s="70">
        <f t="shared" si="10"/>
        <v>-1700</v>
      </c>
      <c r="I64" s="70">
        <f t="shared" si="10"/>
        <v>-1700</v>
      </c>
      <c r="J64" s="70">
        <f t="shared" si="10"/>
        <v>-1700</v>
      </c>
      <c r="K64" s="70">
        <f t="shared" si="10"/>
        <v>-1700</v>
      </c>
      <c r="L64" s="70">
        <f t="shared" si="10"/>
        <v>-1700</v>
      </c>
      <c r="M64" s="70">
        <f t="shared" si="10"/>
        <v>-1700</v>
      </c>
    </row>
    <row r="65" spans="1:13" ht="13.5" thickBot="1" x14ac:dyDescent="0.25">
      <c r="A65" s="65" t="s">
        <v>7</v>
      </c>
      <c r="B65" s="71">
        <v>1000</v>
      </c>
      <c r="C65" s="71">
        <v>700</v>
      </c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spans="1:13" ht="13.5" thickBot="1" x14ac:dyDescent="0.25">
      <c r="A66" s="65" t="s">
        <v>111</v>
      </c>
      <c r="B66" s="75">
        <f t="shared" ref="B66:M66" si="11">B64-B65</f>
        <v>-1000</v>
      </c>
      <c r="C66" s="76">
        <f t="shared" si="11"/>
        <v>-1700</v>
      </c>
      <c r="D66" s="76">
        <f t="shared" si="11"/>
        <v>-1700</v>
      </c>
      <c r="E66" s="76">
        <f t="shared" si="11"/>
        <v>-1700</v>
      </c>
      <c r="F66" s="76">
        <f t="shared" si="11"/>
        <v>-1700</v>
      </c>
      <c r="G66" s="76">
        <f t="shared" si="11"/>
        <v>-1700</v>
      </c>
      <c r="H66" s="76">
        <f t="shared" si="11"/>
        <v>-1700</v>
      </c>
      <c r="I66" s="76">
        <f t="shared" si="11"/>
        <v>-1700</v>
      </c>
      <c r="J66" s="76">
        <f t="shared" si="11"/>
        <v>-1700</v>
      </c>
      <c r="K66" s="76">
        <f t="shared" si="11"/>
        <v>-1700</v>
      </c>
      <c r="L66" s="76">
        <f t="shared" si="11"/>
        <v>-1700</v>
      </c>
      <c r="M66" s="77">
        <f t="shared" si="11"/>
        <v>-1700</v>
      </c>
    </row>
    <row r="67" spans="1:13" x14ac:dyDescent="0.2">
      <c r="K67">
        <v>1000</v>
      </c>
    </row>
    <row r="68" spans="1:13" x14ac:dyDescent="0.2">
      <c r="E68">
        <v>7334</v>
      </c>
      <c r="H68">
        <v>6300</v>
      </c>
      <c r="K68">
        <v>5300</v>
      </c>
    </row>
    <row r="72" spans="1:13" x14ac:dyDescent="0.2">
      <c r="A72" s="72" t="s">
        <v>0</v>
      </c>
      <c r="B72" s="72" t="s">
        <v>1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</row>
    <row r="73" spans="1:13" x14ac:dyDescent="0.2">
      <c r="A73" s="73"/>
      <c r="B73" s="74">
        <v>42736</v>
      </c>
      <c r="C73" s="74">
        <v>42767</v>
      </c>
      <c r="D73" s="74">
        <v>42795</v>
      </c>
      <c r="E73" s="74">
        <v>42826</v>
      </c>
      <c r="F73" s="74">
        <v>42856</v>
      </c>
      <c r="G73" s="74">
        <v>42887</v>
      </c>
      <c r="H73" s="74">
        <v>42917</v>
      </c>
      <c r="I73" s="74">
        <v>42948</v>
      </c>
      <c r="J73" s="74">
        <v>42979</v>
      </c>
      <c r="K73" s="74">
        <v>43009</v>
      </c>
      <c r="L73" s="74">
        <v>43040</v>
      </c>
      <c r="M73" s="74">
        <v>43070</v>
      </c>
    </row>
    <row r="74" spans="1:13" x14ac:dyDescent="0.2">
      <c r="A74" s="65" t="s">
        <v>110</v>
      </c>
      <c r="B74" s="69"/>
      <c r="C74" s="69">
        <f t="shared" ref="C74:M74" si="12">B85</f>
        <v>0</v>
      </c>
      <c r="D74" s="69">
        <f t="shared" si="12"/>
        <v>0</v>
      </c>
      <c r="E74" s="69">
        <f t="shared" si="12"/>
        <v>0</v>
      </c>
      <c r="F74" s="69">
        <f t="shared" si="12"/>
        <v>0</v>
      </c>
      <c r="G74" s="69">
        <f t="shared" si="12"/>
        <v>0</v>
      </c>
      <c r="H74" s="69">
        <f t="shared" si="12"/>
        <v>0</v>
      </c>
      <c r="I74" s="69">
        <f t="shared" si="12"/>
        <v>0</v>
      </c>
      <c r="J74" s="69">
        <f t="shared" si="12"/>
        <v>0</v>
      </c>
      <c r="K74" s="69">
        <f t="shared" si="12"/>
        <v>0</v>
      </c>
      <c r="L74" s="69">
        <f t="shared" si="12"/>
        <v>0</v>
      </c>
      <c r="M74" s="69">
        <f t="shared" si="12"/>
        <v>0</v>
      </c>
    </row>
    <row r="75" spans="1:13" x14ac:dyDescent="0.2">
      <c r="A75" s="65" t="s">
        <v>2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</row>
    <row r="76" spans="1:13" x14ac:dyDescent="0.2">
      <c r="A76" s="65" t="s">
        <v>3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</row>
    <row r="77" spans="1:13" x14ac:dyDescent="0.2">
      <c r="A77" s="65" t="s">
        <v>4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spans="1:13" x14ac:dyDescent="0.2">
      <c r="A78" s="65" t="s">
        <v>9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</row>
    <row r="79" spans="1:13" x14ac:dyDescent="0.2">
      <c r="A79" s="65" t="s">
        <v>73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</row>
    <row r="80" spans="1:13" x14ac:dyDescent="0.2">
      <c r="A80" s="65" t="s">
        <v>74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</row>
    <row r="81" spans="1:13" x14ac:dyDescent="0.2">
      <c r="A81" s="65" t="s">
        <v>75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</row>
    <row r="82" spans="1:13" x14ac:dyDescent="0.2">
      <c r="A82" s="65" t="s">
        <v>5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 spans="1:13" x14ac:dyDescent="0.2">
      <c r="A83" s="65" t="s">
        <v>6</v>
      </c>
      <c r="B83" s="70">
        <f t="shared" ref="B83:M83" si="13">SUM(B74:B82)</f>
        <v>0</v>
      </c>
      <c r="C83" s="70">
        <f t="shared" si="13"/>
        <v>0</v>
      </c>
      <c r="D83" s="70">
        <f t="shared" si="13"/>
        <v>0</v>
      </c>
      <c r="E83" s="70">
        <f t="shared" si="13"/>
        <v>0</v>
      </c>
      <c r="F83" s="70">
        <f t="shared" si="13"/>
        <v>0</v>
      </c>
      <c r="G83" s="70">
        <f t="shared" si="13"/>
        <v>0</v>
      </c>
      <c r="H83" s="70">
        <f t="shared" si="13"/>
        <v>0</v>
      </c>
      <c r="I83" s="70">
        <f t="shared" si="13"/>
        <v>0</v>
      </c>
      <c r="J83" s="70">
        <f t="shared" si="13"/>
        <v>0</v>
      </c>
      <c r="K83" s="70">
        <f t="shared" si="13"/>
        <v>0</v>
      </c>
      <c r="L83" s="70">
        <f t="shared" si="13"/>
        <v>0</v>
      </c>
      <c r="M83" s="70">
        <f t="shared" si="13"/>
        <v>0</v>
      </c>
    </row>
    <row r="84" spans="1:13" ht="13.5" thickBot="1" x14ac:dyDescent="0.25">
      <c r="A84" s="65" t="s">
        <v>7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spans="1:13" ht="13.5" thickBot="1" x14ac:dyDescent="0.25">
      <c r="A85" s="65" t="s">
        <v>111</v>
      </c>
      <c r="B85" s="75">
        <f t="shared" ref="B85:M85" si="14">B83-B84</f>
        <v>0</v>
      </c>
      <c r="C85" s="76">
        <f t="shared" si="14"/>
        <v>0</v>
      </c>
      <c r="D85" s="76">
        <f t="shared" si="14"/>
        <v>0</v>
      </c>
      <c r="E85" s="76">
        <f t="shared" si="14"/>
        <v>0</v>
      </c>
      <c r="F85" s="76">
        <f t="shared" si="14"/>
        <v>0</v>
      </c>
      <c r="G85" s="76">
        <f t="shared" si="14"/>
        <v>0</v>
      </c>
      <c r="H85" s="76">
        <f t="shared" si="14"/>
        <v>0</v>
      </c>
      <c r="I85" s="76">
        <f t="shared" si="14"/>
        <v>0</v>
      </c>
      <c r="J85" s="76">
        <f t="shared" si="14"/>
        <v>0</v>
      </c>
      <c r="K85" s="76">
        <f t="shared" si="14"/>
        <v>0</v>
      </c>
      <c r="L85" s="76">
        <f t="shared" si="14"/>
        <v>0</v>
      </c>
      <c r="M85" s="77">
        <f t="shared" si="14"/>
        <v>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4"/>
  <dimension ref="A3:M32"/>
  <sheetViews>
    <sheetView topLeftCell="A10" workbookViewId="0">
      <selection activeCell="F30" sqref="F30"/>
    </sheetView>
  </sheetViews>
  <sheetFormatPr baseColWidth="10" defaultRowHeight="12.75" x14ac:dyDescent="0.2"/>
  <cols>
    <col min="1" max="1" width="33" customWidth="1"/>
    <col min="11" max="11" width="12.5703125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/>
      <c r="C5" s="42">
        <f t="shared" ref="C5:M5" si="0">B16</f>
        <v>52300</v>
      </c>
      <c r="D5" s="42">
        <f t="shared" si="0"/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204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22300</v>
      </c>
      <c r="C8" s="42">
        <v>22300</v>
      </c>
      <c r="D8" s="42">
        <v>22300</v>
      </c>
      <c r="E8" s="42">
        <v>22300</v>
      </c>
      <c r="F8" s="42">
        <v>22300</v>
      </c>
      <c r="G8" s="42">
        <v>22300</v>
      </c>
      <c r="H8" s="42">
        <v>30000</v>
      </c>
      <c r="I8" s="42">
        <v>30000</v>
      </c>
      <c r="J8" s="42">
        <v>30000</v>
      </c>
      <c r="K8" s="42">
        <v>30000</v>
      </c>
      <c r="L8" s="42">
        <v>30000</v>
      </c>
      <c r="M8" s="42">
        <v>30000</v>
      </c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30000</v>
      </c>
      <c r="C13" s="42">
        <v>30000</v>
      </c>
      <c r="D13" s="42">
        <v>30000</v>
      </c>
      <c r="E13" s="42">
        <v>30000</v>
      </c>
      <c r="F13" s="42">
        <v>30000</v>
      </c>
      <c r="G13" s="42">
        <v>30000</v>
      </c>
      <c r="H13" s="42">
        <v>30000</v>
      </c>
      <c r="I13" s="42">
        <v>30000</v>
      </c>
      <c r="J13" s="42">
        <v>30000</v>
      </c>
      <c r="K13" s="42">
        <v>30000</v>
      </c>
      <c r="L13" s="42">
        <v>30000</v>
      </c>
      <c r="M13" s="42">
        <v>30000</v>
      </c>
    </row>
    <row r="14" spans="1:13" x14ac:dyDescent="0.2">
      <c r="A14" s="78" t="s">
        <v>6</v>
      </c>
      <c r="B14" s="43">
        <f>SUM(B5:B13)</f>
        <v>52300</v>
      </c>
      <c r="C14" s="43">
        <f t="shared" ref="C14:M14" si="1">SUM(C5:C13)</f>
        <v>104600</v>
      </c>
      <c r="D14" s="43">
        <f t="shared" si="1"/>
        <v>52300</v>
      </c>
      <c r="E14" s="43">
        <f t="shared" si="1"/>
        <v>52300</v>
      </c>
      <c r="F14" s="43">
        <f t="shared" si="1"/>
        <v>52300</v>
      </c>
      <c r="G14" s="43">
        <f t="shared" si="1"/>
        <v>52300</v>
      </c>
      <c r="H14" s="43">
        <f t="shared" si="1"/>
        <v>60000</v>
      </c>
      <c r="I14" s="43">
        <f t="shared" si="1"/>
        <v>60000</v>
      </c>
      <c r="J14" s="43">
        <f t="shared" si="1"/>
        <v>60000</v>
      </c>
      <c r="K14" s="43">
        <f t="shared" si="1"/>
        <v>60000</v>
      </c>
      <c r="L14" s="43">
        <f t="shared" si="1"/>
        <v>60000</v>
      </c>
      <c r="M14" s="43">
        <f t="shared" si="1"/>
        <v>60000</v>
      </c>
    </row>
    <row r="15" spans="1:13" ht="13.5" thickBot="1" x14ac:dyDescent="0.25">
      <c r="A15" s="78" t="s">
        <v>7</v>
      </c>
      <c r="B15" s="44"/>
      <c r="C15" s="44">
        <v>104600</v>
      </c>
      <c r="D15" s="44">
        <v>52300</v>
      </c>
      <c r="E15" s="44">
        <v>52300</v>
      </c>
      <c r="F15" s="44">
        <v>52300</v>
      </c>
      <c r="G15" s="44">
        <v>52300</v>
      </c>
      <c r="H15" s="44">
        <v>60000</v>
      </c>
      <c r="I15" s="44">
        <v>60000</v>
      </c>
      <c r="J15" s="44">
        <v>60000</v>
      </c>
      <c r="K15" s="44">
        <v>60000</v>
      </c>
      <c r="L15" s="44">
        <v>60000</v>
      </c>
      <c r="M15" s="44">
        <v>60000</v>
      </c>
    </row>
    <row r="16" spans="1:13" ht="13.5" thickBot="1" x14ac:dyDescent="0.25">
      <c r="A16" s="78" t="s">
        <v>111</v>
      </c>
      <c r="B16" s="45">
        <f t="shared" ref="B16:M16" si="2">B14-B15</f>
        <v>52300</v>
      </c>
      <c r="C16" s="46">
        <f t="shared" si="2"/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3" x14ac:dyDescent="0.2">
      <c r="A20" s="81"/>
      <c r="B20" s="82">
        <v>46023</v>
      </c>
      <c r="C20" s="82">
        <v>46054</v>
      </c>
      <c r="D20" s="82">
        <v>46082</v>
      </c>
      <c r="E20" s="82">
        <v>46113</v>
      </c>
      <c r="F20" s="82">
        <v>46143</v>
      </c>
      <c r="G20" s="82">
        <v>46174</v>
      </c>
      <c r="H20" s="82">
        <v>46204</v>
      </c>
      <c r="I20" s="82">
        <v>46235</v>
      </c>
      <c r="J20" s="82">
        <v>46266</v>
      </c>
      <c r="K20" s="82">
        <v>46296</v>
      </c>
      <c r="L20" s="82">
        <v>46327</v>
      </c>
      <c r="M20" s="82">
        <v>46357</v>
      </c>
    </row>
    <row r="21" spans="1:13" x14ac:dyDescent="0.2">
      <c r="A21" s="78" t="s">
        <v>110</v>
      </c>
      <c r="B21" s="42"/>
      <c r="C21" s="42">
        <f>B32</f>
        <v>0</v>
      </c>
      <c r="D21" s="42">
        <f t="shared" ref="D21:M21" si="3">C32</f>
        <v>0</v>
      </c>
      <c r="E21" s="42">
        <f t="shared" si="3"/>
        <v>0</v>
      </c>
      <c r="F21" s="42">
        <f t="shared" si="3"/>
        <v>65000</v>
      </c>
      <c r="G21" s="42">
        <f t="shared" si="3"/>
        <v>130000</v>
      </c>
      <c r="H21" s="42">
        <f t="shared" si="3"/>
        <v>130000</v>
      </c>
      <c r="I21" s="42">
        <f t="shared" si="3"/>
        <v>130000</v>
      </c>
      <c r="J21" s="42">
        <f t="shared" si="3"/>
        <v>130000</v>
      </c>
      <c r="K21" s="42">
        <f t="shared" si="3"/>
        <v>130000</v>
      </c>
      <c r="L21" s="42">
        <f t="shared" si="3"/>
        <v>130000</v>
      </c>
      <c r="M21" s="42">
        <f t="shared" si="3"/>
        <v>130000</v>
      </c>
    </row>
    <row r="22" spans="1:13" x14ac:dyDescent="0.2">
      <c r="A22" s="78" t="s">
        <v>204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30000</v>
      </c>
      <c r="C24" s="42">
        <v>30000</v>
      </c>
      <c r="D24" s="42">
        <v>30000</v>
      </c>
      <c r="E24" s="42">
        <v>30000</v>
      </c>
      <c r="F24" s="42">
        <v>30000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35000</v>
      </c>
      <c r="C29" s="42">
        <v>35000</v>
      </c>
      <c r="D29" s="42">
        <v>35000</v>
      </c>
      <c r="E29" s="42">
        <v>35000</v>
      </c>
      <c r="F29" s="42">
        <v>35000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>SUM(B21:B29)</f>
        <v>65000</v>
      </c>
      <c r="C30" s="43">
        <f t="shared" ref="C30:M30" si="4">SUM(C21:C29)</f>
        <v>65000</v>
      </c>
      <c r="D30" s="43">
        <f t="shared" si="4"/>
        <v>65000</v>
      </c>
      <c r="E30" s="43">
        <f t="shared" si="4"/>
        <v>65000</v>
      </c>
      <c r="F30" s="43">
        <f t="shared" si="4"/>
        <v>130000</v>
      </c>
      <c r="G30" s="43">
        <f t="shared" si="4"/>
        <v>130000</v>
      </c>
      <c r="H30" s="43">
        <f t="shared" si="4"/>
        <v>130000</v>
      </c>
      <c r="I30" s="43">
        <f t="shared" si="4"/>
        <v>130000</v>
      </c>
      <c r="J30" s="43">
        <f t="shared" si="4"/>
        <v>130000</v>
      </c>
      <c r="K30" s="43">
        <f t="shared" si="4"/>
        <v>130000</v>
      </c>
      <c r="L30" s="43">
        <f t="shared" si="4"/>
        <v>130000</v>
      </c>
      <c r="M30" s="43">
        <f t="shared" si="4"/>
        <v>130000</v>
      </c>
    </row>
    <row r="31" spans="1:13" ht="13.5" thickBot="1" x14ac:dyDescent="0.25">
      <c r="A31" s="78" t="s">
        <v>7</v>
      </c>
      <c r="B31" s="44">
        <v>65000</v>
      </c>
      <c r="C31" s="44">
        <v>65000</v>
      </c>
      <c r="D31" s="44">
        <v>65000</v>
      </c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L32" si="5">B30-B31</f>
        <v>0</v>
      </c>
      <c r="C32" s="46">
        <f>C30-C31</f>
        <v>0</v>
      </c>
      <c r="D32" s="46">
        <f t="shared" si="5"/>
        <v>0</v>
      </c>
      <c r="E32" s="46">
        <f t="shared" si="5"/>
        <v>65000</v>
      </c>
      <c r="F32" s="46">
        <f t="shared" si="5"/>
        <v>130000</v>
      </c>
      <c r="G32" s="46">
        <f t="shared" si="5"/>
        <v>130000</v>
      </c>
      <c r="H32" s="46">
        <f t="shared" si="5"/>
        <v>130000</v>
      </c>
      <c r="I32" s="46">
        <f t="shared" si="5"/>
        <v>130000</v>
      </c>
      <c r="J32" s="46">
        <f t="shared" si="5"/>
        <v>130000</v>
      </c>
      <c r="K32" s="46">
        <f t="shared" si="5"/>
        <v>130000</v>
      </c>
      <c r="L32" s="46">
        <f t="shared" si="5"/>
        <v>130000</v>
      </c>
      <c r="M32" s="47">
        <f>M30-M31</f>
        <v>130000</v>
      </c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1"/>
  <dimension ref="A3:M44"/>
  <sheetViews>
    <sheetView workbookViewId="0">
      <selection activeCell="C13" sqref="C13:F13"/>
    </sheetView>
  </sheetViews>
  <sheetFormatPr baseColWidth="10" defaultRowHeight="12.75" x14ac:dyDescent="0.2"/>
  <cols>
    <col min="1" max="1" width="30.85546875" customWidth="1"/>
    <col min="2" max="3" width="12.85546875" bestFit="1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46023</v>
      </c>
      <c r="C4" s="82">
        <v>46054</v>
      </c>
      <c r="D4" s="82">
        <v>46082</v>
      </c>
      <c r="E4" s="82">
        <v>46113</v>
      </c>
      <c r="F4" s="82">
        <v>46143</v>
      </c>
      <c r="G4" s="82">
        <v>46174</v>
      </c>
      <c r="H4" s="82">
        <v>46204</v>
      </c>
      <c r="I4" s="82">
        <v>46235</v>
      </c>
      <c r="J4" s="82">
        <v>46266</v>
      </c>
      <c r="K4" s="82">
        <v>46296</v>
      </c>
      <c r="L4" s="82">
        <v>46327</v>
      </c>
      <c r="M4" s="82">
        <v>46357</v>
      </c>
    </row>
    <row r="5" spans="1:13" x14ac:dyDescent="0.2">
      <c r="A5" s="78" t="s">
        <v>110</v>
      </c>
      <c r="B5" s="42">
        <v>180000</v>
      </c>
      <c r="C5" s="42">
        <f t="shared" ref="C5:M5" si="0">B16</f>
        <v>300000</v>
      </c>
      <c r="D5" s="42">
        <f t="shared" si="0"/>
        <v>20000</v>
      </c>
      <c r="E5" s="42">
        <f t="shared" si="0"/>
        <v>140000</v>
      </c>
      <c r="F5" s="42">
        <f t="shared" si="0"/>
        <v>260000</v>
      </c>
      <c r="G5" s="42">
        <f t="shared" si="0"/>
        <v>380000</v>
      </c>
      <c r="H5" s="42">
        <f t="shared" si="0"/>
        <v>380000</v>
      </c>
      <c r="I5" s="42">
        <f t="shared" si="0"/>
        <v>380000</v>
      </c>
      <c r="J5" s="42">
        <f t="shared" si="0"/>
        <v>380000</v>
      </c>
      <c r="K5" s="42">
        <f t="shared" si="0"/>
        <v>380000</v>
      </c>
      <c r="L5" s="42">
        <f t="shared" si="0"/>
        <v>380000</v>
      </c>
      <c r="M5" s="42">
        <f t="shared" si="0"/>
        <v>380000</v>
      </c>
    </row>
    <row r="6" spans="1:13" x14ac:dyDescent="0.2">
      <c r="A6" s="78" t="s">
        <v>144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668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120000</v>
      </c>
      <c r="C13" s="42">
        <v>120000</v>
      </c>
      <c r="D13" s="42">
        <v>120000</v>
      </c>
      <c r="E13" s="42">
        <v>120000</v>
      </c>
      <c r="F13" s="42">
        <v>120000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300000</v>
      </c>
      <c r="C14" s="43">
        <f t="shared" si="1"/>
        <v>420000</v>
      </c>
      <c r="D14" s="43">
        <f t="shared" si="1"/>
        <v>140000</v>
      </c>
      <c r="E14" s="43">
        <f t="shared" si="1"/>
        <v>260000</v>
      </c>
      <c r="F14" s="43">
        <f t="shared" si="1"/>
        <v>380000</v>
      </c>
      <c r="G14" s="43">
        <f t="shared" si="1"/>
        <v>380000</v>
      </c>
      <c r="H14" s="43">
        <f t="shared" si="1"/>
        <v>380000</v>
      </c>
      <c r="I14" s="43">
        <f t="shared" si="1"/>
        <v>380000</v>
      </c>
      <c r="J14" s="43">
        <f t="shared" si="1"/>
        <v>380000</v>
      </c>
      <c r="K14" s="43">
        <f t="shared" si="1"/>
        <v>380000</v>
      </c>
      <c r="L14" s="43">
        <f t="shared" si="1"/>
        <v>380000</v>
      </c>
      <c r="M14" s="43">
        <f t="shared" si="1"/>
        <v>380000</v>
      </c>
    </row>
    <row r="15" spans="1:13" ht="13.5" thickBot="1" x14ac:dyDescent="0.25">
      <c r="A15" s="78" t="s">
        <v>7</v>
      </c>
      <c r="B15" s="44"/>
      <c r="C15" s="44">
        <v>400000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300000</v>
      </c>
      <c r="C16" s="46">
        <f t="shared" si="2"/>
        <v>20000</v>
      </c>
      <c r="D16" s="46">
        <f t="shared" si="2"/>
        <v>140000</v>
      </c>
      <c r="E16" s="46">
        <f t="shared" si="2"/>
        <v>260000</v>
      </c>
      <c r="F16" s="46">
        <f t="shared" si="2"/>
        <v>380000</v>
      </c>
      <c r="G16" s="46">
        <f t="shared" si="2"/>
        <v>380000</v>
      </c>
      <c r="H16" s="46">
        <f t="shared" si="2"/>
        <v>380000</v>
      </c>
      <c r="I16" s="46">
        <f t="shared" si="2"/>
        <v>380000</v>
      </c>
      <c r="J16" s="46">
        <f t="shared" si="2"/>
        <v>380000</v>
      </c>
      <c r="K16" s="46">
        <f t="shared" si="2"/>
        <v>380000</v>
      </c>
      <c r="L16" s="46">
        <f t="shared" si="2"/>
        <v>380000</v>
      </c>
      <c r="M16" s="47">
        <f t="shared" si="2"/>
        <v>380000</v>
      </c>
    </row>
    <row r="19" spans="1:13" x14ac:dyDescent="0.2">
      <c r="A19" s="81"/>
      <c r="B19" s="82">
        <v>45658</v>
      </c>
      <c r="C19" s="82">
        <v>45689</v>
      </c>
      <c r="D19" s="82">
        <v>45717</v>
      </c>
      <c r="E19" s="82">
        <v>45748</v>
      </c>
      <c r="F19" s="82">
        <v>45778</v>
      </c>
      <c r="G19" s="82">
        <v>45809</v>
      </c>
      <c r="H19" s="82">
        <v>45839</v>
      </c>
      <c r="I19" s="82">
        <v>45870</v>
      </c>
      <c r="J19" s="82">
        <v>45901</v>
      </c>
      <c r="K19" s="82">
        <v>45931</v>
      </c>
      <c r="L19" s="82">
        <v>45962</v>
      </c>
      <c r="M19" s="82">
        <v>45992</v>
      </c>
    </row>
    <row r="20" spans="1:13" x14ac:dyDescent="0.2">
      <c r="A20" s="78" t="s">
        <v>110</v>
      </c>
      <c r="B20" s="42">
        <v>80000</v>
      </c>
      <c r="C20" s="42">
        <f t="shared" ref="C20:M20" si="3">B31</f>
        <v>160000</v>
      </c>
      <c r="D20" s="42">
        <f t="shared" si="3"/>
        <v>240000</v>
      </c>
      <c r="E20" s="42">
        <f t="shared" si="3"/>
        <v>320000</v>
      </c>
      <c r="F20" s="42">
        <f t="shared" si="3"/>
        <v>400000</v>
      </c>
      <c r="G20" s="42">
        <f t="shared" si="3"/>
        <v>0</v>
      </c>
      <c r="H20" s="42">
        <f t="shared" si="3"/>
        <v>90000</v>
      </c>
      <c r="I20" s="42">
        <f t="shared" si="3"/>
        <v>180000</v>
      </c>
      <c r="J20" s="42">
        <f t="shared" si="3"/>
        <v>270000</v>
      </c>
      <c r="K20" s="42">
        <f t="shared" si="3"/>
        <v>360000</v>
      </c>
      <c r="L20" s="42">
        <f t="shared" si="3"/>
        <v>0</v>
      </c>
      <c r="M20" s="42">
        <f t="shared" si="3"/>
        <v>90000</v>
      </c>
    </row>
    <row r="21" spans="1:13" x14ac:dyDescent="0.2">
      <c r="A21" s="78" t="s">
        <v>144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668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80000</v>
      </c>
      <c r="C28" s="42">
        <v>80000</v>
      </c>
      <c r="D28" s="42">
        <v>80000</v>
      </c>
      <c r="E28" s="42">
        <v>80000</v>
      </c>
      <c r="F28" s="42">
        <v>80000</v>
      </c>
      <c r="G28" s="42">
        <v>90000</v>
      </c>
      <c r="H28" s="42">
        <v>90000</v>
      </c>
      <c r="I28" s="42">
        <v>90000</v>
      </c>
      <c r="J28" s="42">
        <v>90000</v>
      </c>
      <c r="K28" s="42">
        <v>90000</v>
      </c>
      <c r="L28" s="42">
        <v>90000</v>
      </c>
      <c r="M28" s="42">
        <v>90000</v>
      </c>
    </row>
    <row r="29" spans="1:13" x14ac:dyDescent="0.2">
      <c r="A29" s="78" t="s">
        <v>6</v>
      </c>
      <c r="B29" s="43">
        <f t="shared" ref="B29:M29" si="4">SUM(B20:B28)</f>
        <v>160000</v>
      </c>
      <c r="C29" s="43">
        <f t="shared" si="4"/>
        <v>240000</v>
      </c>
      <c r="D29" s="43">
        <f t="shared" si="4"/>
        <v>320000</v>
      </c>
      <c r="E29" s="43">
        <f t="shared" si="4"/>
        <v>400000</v>
      </c>
      <c r="F29" s="43">
        <f t="shared" si="4"/>
        <v>480000</v>
      </c>
      <c r="G29" s="43">
        <f t="shared" si="4"/>
        <v>90000</v>
      </c>
      <c r="H29" s="43">
        <f t="shared" si="4"/>
        <v>180000</v>
      </c>
      <c r="I29" s="43">
        <f t="shared" si="4"/>
        <v>270000</v>
      </c>
      <c r="J29" s="43">
        <f t="shared" si="4"/>
        <v>360000</v>
      </c>
      <c r="K29" s="43">
        <f t="shared" si="4"/>
        <v>450000</v>
      </c>
      <c r="L29" s="43">
        <f t="shared" si="4"/>
        <v>90000</v>
      </c>
      <c r="M29" s="43">
        <f t="shared" si="4"/>
        <v>180000</v>
      </c>
    </row>
    <row r="30" spans="1:13" ht="13.5" thickBot="1" x14ac:dyDescent="0.25">
      <c r="A30" s="78" t="s">
        <v>7</v>
      </c>
      <c r="B30" s="44"/>
      <c r="C30" s="44"/>
      <c r="D30" s="44"/>
      <c r="E30" s="44"/>
      <c r="F30" s="44">
        <v>480000</v>
      </c>
      <c r="G30" s="44"/>
      <c r="H30" s="44"/>
      <c r="I30" s="44"/>
      <c r="J30" s="44"/>
      <c r="K30" s="158">
        <v>450000</v>
      </c>
      <c r="L30" s="44">
        <v>0</v>
      </c>
      <c r="M30" s="44"/>
    </row>
    <row r="31" spans="1:13" ht="13.5" thickBot="1" x14ac:dyDescent="0.25">
      <c r="A31" s="78" t="s">
        <v>111</v>
      </c>
      <c r="B31" s="45">
        <f t="shared" ref="B31:M31" si="5">B29-B30</f>
        <v>160000</v>
      </c>
      <c r="C31" s="46">
        <f t="shared" si="5"/>
        <v>240000</v>
      </c>
      <c r="D31" s="46">
        <f t="shared" si="5"/>
        <v>320000</v>
      </c>
      <c r="E31" s="46">
        <f t="shared" si="5"/>
        <v>400000</v>
      </c>
      <c r="F31" s="46">
        <f t="shared" si="5"/>
        <v>0</v>
      </c>
      <c r="G31" s="46">
        <f t="shared" si="5"/>
        <v>90000</v>
      </c>
      <c r="H31" s="46">
        <f t="shared" si="5"/>
        <v>180000</v>
      </c>
      <c r="I31" s="46">
        <f t="shared" si="5"/>
        <v>270000</v>
      </c>
      <c r="J31" s="46">
        <f t="shared" si="5"/>
        <v>360000</v>
      </c>
      <c r="K31" s="46">
        <f t="shared" si="5"/>
        <v>0</v>
      </c>
      <c r="L31" s="46">
        <f t="shared" si="5"/>
        <v>90000</v>
      </c>
      <c r="M31" s="47">
        <f t="shared" si="5"/>
        <v>180000</v>
      </c>
    </row>
    <row r="33" spans="1:11" x14ac:dyDescent="0.2">
      <c r="K33" s="159" t="s">
        <v>760</v>
      </c>
    </row>
    <row r="35" spans="1:11" x14ac:dyDescent="0.2">
      <c r="A35" t="s">
        <v>5</v>
      </c>
      <c r="B35" s="195">
        <v>120000</v>
      </c>
      <c r="C35" s="195">
        <v>120000</v>
      </c>
    </row>
    <row r="40" spans="1:11" x14ac:dyDescent="0.2">
      <c r="C40" s="195">
        <v>400000</v>
      </c>
      <c r="D40" t="s">
        <v>777</v>
      </c>
    </row>
    <row r="41" spans="1:11" x14ac:dyDescent="0.2">
      <c r="B41" s="55">
        <f>M31+B35</f>
        <v>300000</v>
      </c>
      <c r="C41" s="206">
        <f>B41+C35</f>
        <v>420000</v>
      </c>
    </row>
    <row r="42" spans="1:11" x14ac:dyDescent="0.2">
      <c r="C42" s="205">
        <f>C40-C41</f>
        <v>-20000</v>
      </c>
    </row>
    <row r="43" spans="1:11" x14ac:dyDescent="0.2">
      <c r="C43" s="128">
        <v>46050</v>
      </c>
    </row>
    <row r="44" spans="1:11" x14ac:dyDescent="0.2">
      <c r="C44" t="s">
        <v>776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5"/>
  <dimension ref="A3:M34"/>
  <sheetViews>
    <sheetView topLeftCell="A13" workbookViewId="0">
      <selection activeCell="F34" sqref="F34"/>
    </sheetView>
  </sheetViews>
  <sheetFormatPr baseColWidth="10" defaultRowHeight="12.75" x14ac:dyDescent="0.2"/>
  <cols>
    <col min="1" max="1" width="33.28515625" customWidth="1"/>
    <col min="3" max="3" width="12.5703125" bestFit="1" customWidth="1"/>
    <col min="13" max="13" width="12.425781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3450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144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22800</v>
      </c>
      <c r="C8" s="42">
        <v>22800</v>
      </c>
      <c r="D8" s="42">
        <v>22800</v>
      </c>
      <c r="E8" s="42">
        <v>22800</v>
      </c>
      <c r="F8" s="42">
        <v>22800</v>
      </c>
      <c r="G8" s="42">
        <v>22800</v>
      </c>
      <c r="H8" s="42">
        <v>25450</v>
      </c>
      <c r="I8" s="42">
        <v>25450</v>
      </c>
      <c r="J8" s="42">
        <v>25450</v>
      </c>
      <c r="K8" s="42">
        <v>25450</v>
      </c>
      <c r="L8" s="42">
        <v>25450</v>
      </c>
      <c r="M8" s="42">
        <v>25450</v>
      </c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20000</v>
      </c>
      <c r="C13" s="42">
        <v>20000</v>
      </c>
      <c r="D13" s="42">
        <v>20000</v>
      </c>
      <c r="E13" s="42">
        <v>20000</v>
      </c>
      <c r="F13" s="42">
        <v>20000</v>
      </c>
      <c r="G13" s="42">
        <v>20000</v>
      </c>
      <c r="H13" s="42">
        <v>20000</v>
      </c>
      <c r="I13" s="42">
        <v>20000</v>
      </c>
      <c r="J13" s="42">
        <v>20000</v>
      </c>
      <c r="K13" s="42">
        <v>20000</v>
      </c>
      <c r="L13" s="42">
        <v>20000</v>
      </c>
      <c r="M13" s="42">
        <v>20000</v>
      </c>
    </row>
    <row r="14" spans="1:13" x14ac:dyDescent="0.2">
      <c r="A14" s="78" t="s">
        <v>6</v>
      </c>
      <c r="B14" s="43">
        <f t="shared" ref="B14:M14" si="1">SUM(B5:B13)</f>
        <v>42800</v>
      </c>
      <c r="C14" s="43">
        <f t="shared" si="1"/>
        <v>42800</v>
      </c>
      <c r="D14" s="43">
        <f t="shared" si="1"/>
        <v>42800</v>
      </c>
      <c r="E14" s="43">
        <f t="shared" si="1"/>
        <v>42800</v>
      </c>
      <c r="F14" s="43">
        <f t="shared" si="1"/>
        <v>42800</v>
      </c>
      <c r="G14" s="43">
        <f t="shared" si="1"/>
        <v>42800</v>
      </c>
      <c r="H14" s="43">
        <f t="shared" si="1"/>
        <v>45450</v>
      </c>
      <c r="I14" s="43">
        <f t="shared" si="1"/>
        <v>48900</v>
      </c>
      <c r="J14" s="43">
        <f t="shared" si="1"/>
        <v>45450</v>
      </c>
      <c r="K14" s="43">
        <f t="shared" si="1"/>
        <v>45450</v>
      </c>
      <c r="L14" s="43">
        <f t="shared" si="1"/>
        <v>45450</v>
      </c>
      <c r="M14" s="43">
        <f t="shared" si="1"/>
        <v>45450</v>
      </c>
    </row>
    <row r="15" spans="1:13" ht="13.5" thickBot="1" x14ac:dyDescent="0.25">
      <c r="A15" s="78" t="s">
        <v>7</v>
      </c>
      <c r="B15" s="44">
        <v>42800</v>
      </c>
      <c r="C15" s="44">
        <v>42800</v>
      </c>
      <c r="D15" s="44">
        <v>42800</v>
      </c>
      <c r="E15" s="44">
        <v>42800</v>
      </c>
      <c r="F15" s="44">
        <v>42800</v>
      </c>
      <c r="G15" s="44">
        <v>42800</v>
      </c>
      <c r="H15" s="44">
        <v>42000</v>
      </c>
      <c r="I15" s="44">
        <v>48900</v>
      </c>
      <c r="J15" s="44">
        <v>45450</v>
      </c>
      <c r="K15" s="44">
        <v>45450</v>
      </c>
      <c r="L15" s="44">
        <v>45450</v>
      </c>
      <c r="M15" s="44">
        <v>45450</v>
      </c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3450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7">
        <f t="shared" si="2"/>
        <v>0</v>
      </c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21" spans="1:13" ht="15.75" x14ac:dyDescent="0.25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2">
      <c r="A22" s="81"/>
      <c r="B22" s="82">
        <v>46023</v>
      </c>
      <c r="C22" s="82">
        <v>46054</v>
      </c>
      <c r="D22" s="82">
        <v>46082</v>
      </c>
      <c r="E22" s="82">
        <v>46113</v>
      </c>
      <c r="F22" s="82">
        <v>46143</v>
      </c>
      <c r="G22" s="82">
        <v>46174</v>
      </c>
      <c r="H22" s="82">
        <v>46204</v>
      </c>
      <c r="I22" s="82">
        <v>46235</v>
      </c>
      <c r="J22" s="82">
        <v>46266</v>
      </c>
      <c r="K22" s="82">
        <v>46296</v>
      </c>
      <c r="L22" s="82">
        <v>46327</v>
      </c>
      <c r="M22" s="82">
        <v>46357</v>
      </c>
    </row>
    <row r="23" spans="1:13" x14ac:dyDescent="0.2">
      <c r="A23" s="78" t="s">
        <v>110</v>
      </c>
      <c r="B23" s="42"/>
      <c r="C23" s="42">
        <f t="shared" ref="C23:M23" si="3">B34</f>
        <v>0</v>
      </c>
      <c r="D23" s="42">
        <f t="shared" si="3"/>
        <v>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144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>
        <v>30000</v>
      </c>
      <c r="C26" s="42">
        <v>30000</v>
      </c>
      <c r="D26" s="42">
        <v>30000</v>
      </c>
      <c r="E26" s="42">
        <v>30000</v>
      </c>
      <c r="F26" s="42">
        <v>30000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20000</v>
      </c>
      <c r="C31" s="42">
        <v>20000</v>
      </c>
      <c r="D31" s="42">
        <v>20000</v>
      </c>
      <c r="E31" s="42">
        <v>20000</v>
      </c>
      <c r="F31" s="42">
        <v>20000</v>
      </c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6</v>
      </c>
      <c r="B32" s="43">
        <f t="shared" ref="B32:M32" si="4">SUM(B23:B31)</f>
        <v>50000</v>
      </c>
      <c r="C32" s="43">
        <f t="shared" si="4"/>
        <v>50000</v>
      </c>
      <c r="D32" s="43">
        <f t="shared" si="4"/>
        <v>50000</v>
      </c>
      <c r="E32" s="43">
        <f t="shared" si="4"/>
        <v>50000</v>
      </c>
      <c r="F32" s="43">
        <f t="shared" si="4"/>
        <v>50000</v>
      </c>
      <c r="G32" s="43">
        <f t="shared" si="4"/>
        <v>0</v>
      </c>
      <c r="H32" s="43">
        <f t="shared" si="4"/>
        <v>0</v>
      </c>
      <c r="I32" s="43">
        <f t="shared" si="4"/>
        <v>0</v>
      </c>
      <c r="J32" s="43">
        <f t="shared" si="4"/>
        <v>0</v>
      </c>
      <c r="K32" s="43">
        <f t="shared" si="4"/>
        <v>0</v>
      </c>
      <c r="L32" s="43">
        <f t="shared" si="4"/>
        <v>0</v>
      </c>
      <c r="M32" s="43">
        <f t="shared" si="4"/>
        <v>0</v>
      </c>
    </row>
    <row r="33" spans="1:13" ht="13.5" thickBot="1" x14ac:dyDescent="0.25">
      <c r="A33" s="78" t="s">
        <v>7</v>
      </c>
      <c r="B33" s="44">
        <v>50000</v>
      </c>
      <c r="C33" s="44">
        <v>50000</v>
      </c>
      <c r="D33" s="44">
        <v>50000</v>
      </c>
      <c r="E33" s="44">
        <v>50000</v>
      </c>
      <c r="F33" s="44">
        <v>50000</v>
      </c>
      <c r="G33" s="44"/>
      <c r="H33" s="44"/>
      <c r="I33" s="44"/>
      <c r="J33" s="44"/>
      <c r="K33" s="44"/>
      <c r="L33" s="44"/>
      <c r="M33" s="44"/>
    </row>
    <row r="34" spans="1:13" ht="13.5" thickBot="1" x14ac:dyDescent="0.25">
      <c r="A34" s="78" t="s">
        <v>111</v>
      </c>
      <c r="B34" s="45">
        <f t="shared" ref="B34:M34" si="5">B32-B33</f>
        <v>0</v>
      </c>
      <c r="C34" s="46">
        <f t="shared" si="5"/>
        <v>0</v>
      </c>
      <c r="D34" s="46">
        <f t="shared" si="5"/>
        <v>0</v>
      </c>
      <c r="E34" s="46">
        <f t="shared" si="5"/>
        <v>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7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7"/>
  <dimension ref="A6:M19"/>
  <sheetViews>
    <sheetView topLeftCell="A3" workbookViewId="0">
      <selection activeCell="L18" sqref="L18"/>
    </sheetView>
  </sheetViews>
  <sheetFormatPr baseColWidth="10" defaultRowHeight="12.75" x14ac:dyDescent="0.2"/>
  <cols>
    <col min="1" max="1" width="30" customWidth="1"/>
  </cols>
  <sheetData>
    <row r="6" spans="1:13" ht="15.75" x14ac:dyDescent="0.25">
      <c r="A6" s="32" t="s">
        <v>0</v>
      </c>
      <c r="B6" s="32" t="s">
        <v>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x14ac:dyDescent="0.2">
      <c r="A7" s="81"/>
      <c r="B7" s="82">
        <v>43831</v>
      </c>
      <c r="C7" s="82">
        <v>43862</v>
      </c>
      <c r="D7" s="82">
        <v>43891</v>
      </c>
      <c r="E7" s="82">
        <v>43922</v>
      </c>
      <c r="F7" s="82">
        <v>43952</v>
      </c>
      <c r="G7" s="82">
        <v>43983</v>
      </c>
      <c r="H7" s="82">
        <v>44013</v>
      </c>
      <c r="I7" s="82">
        <v>44044</v>
      </c>
      <c r="J7" s="82">
        <v>44075</v>
      </c>
      <c r="K7" s="82">
        <v>44105</v>
      </c>
      <c r="L7" s="82">
        <v>44136</v>
      </c>
      <c r="M7" s="82">
        <v>44166</v>
      </c>
    </row>
    <row r="8" spans="1:13" x14ac:dyDescent="0.2">
      <c r="A8" s="78" t="s">
        <v>110</v>
      </c>
      <c r="B8" s="42"/>
      <c r="C8" s="42">
        <f t="shared" ref="C8:M8" si="0">B19</f>
        <v>0</v>
      </c>
      <c r="D8" s="42">
        <f t="shared" si="0"/>
        <v>0</v>
      </c>
      <c r="E8" s="42">
        <f t="shared" si="0"/>
        <v>0</v>
      </c>
      <c r="F8" s="42">
        <f t="shared" si="0"/>
        <v>0</v>
      </c>
      <c r="G8" s="42">
        <f t="shared" si="0"/>
        <v>0</v>
      </c>
      <c r="H8" s="42">
        <f t="shared" si="0"/>
        <v>0</v>
      </c>
      <c r="I8" s="42">
        <f t="shared" si="0"/>
        <v>0</v>
      </c>
      <c r="J8" s="42">
        <f t="shared" si="0"/>
        <v>0</v>
      </c>
      <c r="K8" s="42">
        <f t="shared" si="0"/>
        <v>0</v>
      </c>
      <c r="L8" s="42">
        <f t="shared" si="0"/>
        <v>0</v>
      </c>
      <c r="M8" s="42">
        <f t="shared" si="0"/>
        <v>0</v>
      </c>
    </row>
    <row r="9" spans="1:13" x14ac:dyDescent="0.2">
      <c r="A9" s="78" t="s">
        <v>144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>
        <v>525</v>
      </c>
      <c r="K10" s="42">
        <v>525</v>
      </c>
      <c r="L10" s="42">
        <v>525</v>
      </c>
      <c r="M10" s="42"/>
    </row>
    <row r="11" spans="1:13" x14ac:dyDescent="0.2">
      <c r="A11" s="78" t="s">
        <v>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/>
      <c r="C16" s="42"/>
      <c r="D16" s="42"/>
      <c r="E16" s="42"/>
      <c r="F16" s="42"/>
      <c r="G16" s="42"/>
      <c r="H16" s="42"/>
      <c r="I16" s="42"/>
      <c r="J16" s="42">
        <v>1000</v>
      </c>
      <c r="K16" s="42"/>
      <c r="L16" s="42"/>
      <c r="M16" s="42"/>
    </row>
    <row r="17" spans="1:13" x14ac:dyDescent="0.2">
      <c r="A17" s="78" t="s">
        <v>6</v>
      </c>
      <c r="B17" s="43">
        <f t="shared" ref="B17:M17" si="1">SUM(B8:B16)</f>
        <v>0</v>
      </c>
      <c r="C17" s="43">
        <f t="shared" si="1"/>
        <v>0</v>
      </c>
      <c r="D17" s="43">
        <f t="shared" si="1"/>
        <v>0</v>
      </c>
      <c r="E17" s="43">
        <f t="shared" si="1"/>
        <v>0</v>
      </c>
      <c r="F17" s="43">
        <f t="shared" si="1"/>
        <v>0</v>
      </c>
      <c r="G17" s="43">
        <f t="shared" si="1"/>
        <v>0</v>
      </c>
      <c r="H17" s="43">
        <f t="shared" si="1"/>
        <v>0</v>
      </c>
      <c r="I17" s="43">
        <f t="shared" si="1"/>
        <v>0</v>
      </c>
      <c r="J17" s="43">
        <f t="shared" si="1"/>
        <v>1525</v>
      </c>
      <c r="K17" s="43">
        <f t="shared" si="1"/>
        <v>525</v>
      </c>
      <c r="L17" s="43">
        <f t="shared" si="1"/>
        <v>525</v>
      </c>
      <c r="M17" s="43">
        <f t="shared" si="1"/>
        <v>0</v>
      </c>
    </row>
    <row r="18" spans="1:13" ht="13.5" thickBot="1" x14ac:dyDescent="0.25">
      <c r="A18" s="78" t="s">
        <v>7</v>
      </c>
      <c r="B18" s="44"/>
      <c r="C18" s="44"/>
      <c r="D18" s="44"/>
      <c r="E18" s="44"/>
      <c r="F18" s="44"/>
      <c r="G18" s="44"/>
      <c r="H18" s="44"/>
      <c r="I18" s="44"/>
      <c r="J18" s="44">
        <v>1525</v>
      </c>
      <c r="K18" s="44">
        <v>525</v>
      </c>
      <c r="L18" s="44">
        <v>525</v>
      </c>
      <c r="M18" s="44"/>
    </row>
    <row r="19" spans="1:13" ht="13.5" thickBot="1" x14ac:dyDescent="0.25">
      <c r="A19" s="78" t="s">
        <v>111</v>
      </c>
      <c r="B19" s="161">
        <f t="shared" ref="B19:M19" si="2">B17-B18</f>
        <v>0</v>
      </c>
      <c r="C19" s="46">
        <f t="shared" si="2"/>
        <v>0</v>
      </c>
      <c r="D19" s="46">
        <f t="shared" si="2"/>
        <v>0</v>
      </c>
      <c r="E19" s="46">
        <f t="shared" si="2"/>
        <v>0</v>
      </c>
      <c r="F19" s="46">
        <f t="shared" si="2"/>
        <v>0</v>
      </c>
      <c r="G19" s="46">
        <f t="shared" si="2"/>
        <v>0</v>
      </c>
      <c r="H19" s="46">
        <f t="shared" si="2"/>
        <v>0</v>
      </c>
      <c r="I19" s="46">
        <f t="shared" si="2"/>
        <v>0</v>
      </c>
      <c r="J19" s="46">
        <f t="shared" si="2"/>
        <v>0</v>
      </c>
      <c r="K19" s="46">
        <f t="shared" si="2"/>
        <v>0</v>
      </c>
      <c r="L19" s="46">
        <f t="shared" si="2"/>
        <v>0</v>
      </c>
      <c r="M19" s="47">
        <f t="shared" si="2"/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8"/>
  <dimension ref="A4:M39"/>
  <sheetViews>
    <sheetView topLeftCell="A21" workbookViewId="0">
      <selection activeCell="C39" sqref="C39"/>
    </sheetView>
  </sheetViews>
  <sheetFormatPr baseColWidth="10" defaultRowHeight="12.75" x14ac:dyDescent="0.2"/>
  <cols>
    <col min="1" max="1" width="33.5703125" customWidth="1"/>
    <col min="10" max="10" width="12.5703125" bestFit="1" customWidth="1"/>
  </cols>
  <sheetData>
    <row r="4" spans="1:13" ht="20.25" x14ac:dyDescent="0.3">
      <c r="A4" s="11" t="s">
        <v>11</v>
      </c>
      <c r="B4" s="216" t="s">
        <v>145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31" t="s">
        <v>0</v>
      </c>
      <c r="B6" s="31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75" x14ac:dyDescent="0.25">
      <c r="A7" s="8"/>
      <c r="B7" s="15">
        <v>39083</v>
      </c>
      <c r="C7" s="15">
        <v>39114</v>
      </c>
      <c r="D7" s="15">
        <v>39142</v>
      </c>
      <c r="E7" s="15">
        <v>39173</v>
      </c>
      <c r="F7" s="15">
        <v>39203</v>
      </c>
      <c r="G7" s="15">
        <v>39234</v>
      </c>
      <c r="H7" s="15">
        <v>39264</v>
      </c>
      <c r="I7" s="15">
        <v>39295</v>
      </c>
      <c r="J7" s="15">
        <v>39326</v>
      </c>
      <c r="K7" s="15">
        <v>39356</v>
      </c>
      <c r="L7" s="15">
        <v>39387</v>
      </c>
      <c r="M7" s="15">
        <v>39417</v>
      </c>
    </row>
    <row r="8" spans="1:13" ht="15" x14ac:dyDescent="0.2">
      <c r="A8" s="8" t="s">
        <v>110</v>
      </c>
      <c r="B8" s="22"/>
      <c r="C8" s="22">
        <f>B19</f>
        <v>0</v>
      </c>
      <c r="D8" s="22">
        <f t="shared" ref="D8:M8" si="0">C19</f>
        <v>0</v>
      </c>
      <c r="E8" s="22">
        <f t="shared" si="0"/>
        <v>150</v>
      </c>
      <c r="F8" s="22">
        <f t="shared" si="0"/>
        <v>300</v>
      </c>
      <c r="G8" s="22">
        <f t="shared" si="0"/>
        <v>450</v>
      </c>
      <c r="H8" s="22">
        <f t="shared" si="0"/>
        <v>600</v>
      </c>
      <c r="I8" s="22">
        <f t="shared" si="0"/>
        <v>750</v>
      </c>
      <c r="J8" s="22">
        <f t="shared" si="0"/>
        <v>900</v>
      </c>
      <c r="K8" s="22">
        <f>J19</f>
        <v>1050</v>
      </c>
      <c r="L8" s="22">
        <f t="shared" si="0"/>
        <v>1200</v>
      </c>
      <c r="M8" s="22">
        <f t="shared" si="0"/>
        <v>1350</v>
      </c>
    </row>
    <row r="9" spans="1:13" ht="15" x14ac:dyDescent="0.2">
      <c r="A9" s="8" t="s">
        <v>76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15" x14ac:dyDescent="0.2">
      <c r="A10" s="8" t="s">
        <v>3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15" x14ac:dyDescent="0.2">
      <c r="A11" s="8" t="s">
        <v>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73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74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" x14ac:dyDescent="0.2">
      <c r="A15" s="8" t="s">
        <v>75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15" x14ac:dyDescent="0.2">
      <c r="A16" s="8" t="s">
        <v>5</v>
      </c>
      <c r="B16" s="22"/>
      <c r="C16" s="22"/>
      <c r="D16" s="22">
        <v>150</v>
      </c>
      <c r="E16" s="22">
        <v>150</v>
      </c>
      <c r="F16" s="22">
        <v>150</v>
      </c>
      <c r="G16" s="22">
        <v>150</v>
      </c>
      <c r="H16" s="22">
        <v>150</v>
      </c>
      <c r="I16" s="22">
        <v>150</v>
      </c>
      <c r="J16" s="22">
        <v>150</v>
      </c>
      <c r="K16" s="22">
        <v>150</v>
      </c>
      <c r="L16" s="22">
        <v>150</v>
      </c>
      <c r="M16" s="22">
        <v>150</v>
      </c>
    </row>
    <row r="17" spans="1:13" ht="15" x14ac:dyDescent="0.2">
      <c r="A17" s="8" t="s">
        <v>6</v>
      </c>
      <c r="B17" s="16">
        <f>SUM(B8:B16)</f>
        <v>0</v>
      </c>
      <c r="C17" s="16">
        <f t="shared" ref="C17:M17" si="1">SUM(C8:C16)</f>
        <v>0</v>
      </c>
      <c r="D17" s="16">
        <f t="shared" si="1"/>
        <v>150</v>
      </c>
      <c r="E17" s="16">
        <f t="shared" si="1"/>
        <v>300</v>
      </c>
      <c r="F17" s="16">
        <f t="shared" si="1"/>
        <v>450</v>
      </c>
      <c r="G17" s="16">
        <f t="shared" si="1"/>
        <v>600</v>
      </c>
      <c r="H17" s="16">
        <f t="shared" si="1"/>
        <v>750</v>
      </c>
      <c r="I17" s="16">
        <f t="shared" si="1"/>
        <v>900</v>
      </c>
      <c r="J17" s="16">
        <f t="shared" si="1"/>
        <v>1050</v>
      </c>
      <c r="K17" s="16">
        <f t="shared" si="1"/>
        <v>1200</v>
      </c>
      <c r="L17" s="16">
        <f t="shared" si="1"/>
        <v>1350</v>
      </c>
      <c r="M17" s="16">
        <f t="shared" si="1"/>
        <v>1500</v>
      </c>
    </row>
    <row r="18" spans="1:13" ht="15" x14ac:dyDescent="0.2">
      <c r="A18" s="8" t="s">
        <v>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15" x14ac:dyDescent="0.2">
      <c r="A19" s="8" t="s">
        <v>111</v>
      </c>
      <c r="B19" s="16">
        <f>B17-B18</f>
        <v>0</v>
      </c>
      <c r="C19" s="16">
        <f>C17-C18</f>
        <v>0</v>
      </c>
      <c r="D19" s="16">
        <f t="shared" ref="D19:M19" si="2">D17-D18</f>
        <v>150</v>
      </c>
      <c r="E19" s="16">
        <f t="shared" si="2"/>
        <v>300</v>
      </c>
      <c r="F19" s="16">
        <f t="shared" si="2"/>
        <v>450</v>
      </c>
      <c r="G19" s="16">
        <f t="shared" si="2"/>
        <v>600</v>
      </c>
      <c r="H19" s="16">
        <f t="shared" si="2"/>
        <v>750</v>
      </c>
      <c r="I19" s="16">
        <f t="shared" si="2"/>
        <v>900</v>
      </c>
      <c r="J19" s="16">
        <f t="shared" si="2"/>
        <v>1050</v>
      </c>
      <c r="K19" s="16">
        <f t="shared" si="2"/>
        <v>1200</v>
      </c>
      <c r="L19" s="16">
        <f t="shared" si="2"/>
        <v>1350</v>
      </c>
      <c r="M19" s="16">
        <f t="shared" si="2"/>
        <v>1500</v>
      </c>
    </row>
    <row r="26" spans="1:13" ht="15.75" x14ac:dyDescent="0.25">
      <c r="A26" s="32" t="s">
        <v>0</v>
      </c>
      <c r="B26" s="32" t="s">
        <v>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ht="15" x14ac:dyDescent="0.2">
      <c r="A27" s="33"/>
      <c r="B27" s="97">
        <v>44562</v>
      </c>
      <c r="C27" s="97">
        <v>44593</v>
      </c>
      <c r="D27" s="97">
        <v>44621</v>
      </c>
      <c r="E27" s="97">
        <v>44652</v>
      </c>
      <c r="F27" s="97">
        <v>44682</v>
      </c>
      <c r="G27" s="97">
        <v>44713</v>
      </c>
      <c r="H27" s="97">
        <v>44743</v>
      </c>
      <c r="I27" s="97">
        <v>44774</v>
      </c>
      <c r="J27" s="97">
        <v>44805</v>
      </c>
      <c r="K27" s="97">
        <v>44835</v>
      </c>
      <c r="L27" s="97">
        <v>44866</v>
      </c>
      <c r="M27" s="97">
        <v>44896</v>
      </c>
    </row>
    <row r="28" spans="1:13" ht="15" x14ac:dyDescent="0.2">
      <c r="A28" s="8" t="s">
        <v>110</v>
      </c>
      <c r="B28" s="94"/>
      <c r="C28" s="94">
        <f t="shared" ref="C28:M28" si="3">B39</f>
        <v>0</v>
      </c>
      <c r="D28" s="94">
        <f t="shared" si="3"/>
        <v>0</v>
      </c>
      <c r="E28" s="94">
        <f t="shared" si="3"/>
        <v>0</v>
      </c>
      <c r="F28" s="94">
        <f t="shared" si="3"/>
        <v>0</v>
      </c>
      <c r="G28" s="94">
        <f t="shared" si="3"/>
        <v>0</v>
      </c>
      <c r="H28" s="94">
        <f t="shared" si="3"/>
        <v>0</v>
      </c>
      <c r="I28" s="94">
        <f t="shared" si="3"/>
        <v>0</v>
      </c>
      <c r="J28" s="94">
        <f t="shared" si="3"/>
        <v>0</v>
      </c>
      <c r="K28" s="94">
        <f t="shared" si="3"/>
        <v>0</v>
      </c>
      <c r="L28" s="94">
        <f t="shared" si="3"/>
        <v>0</v>
      </c>
      <c r="M28" s="94">
        <f t="shared" si="3"/>
        <v>0</v>
      </c>
    </row>
    <row r="29" spans="1:13" ht="15" x14ac:dyDescent="0.2">
      <c r="A29" s="8" t="s">
        <v>344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</row>
    <row r="30" spans="1:13" ht="15" x14ac:dyDescent="0.2">
      <c r="A30" s="8" t="s">
        <v>3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1:13" ht="15" x14ac:dyDescent="0.2">
      <c r="A31" s="8" t="s">
        <v>4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</row>
    <row r="32" spans="1:13" ht="15" x14ac:dyDescent="0.2">
      <c r="A32" s="8" t="s">
        <v>9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</row>
    <row r="33" spans="1:13" ht="15" x14ac:dyDescent="0.2">
      <c r="A33" s="8" t="s">
        <v>73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</row>
    <row r="34" spans="1:13" ht="15" x14ac:dyDescent="0.2">
      <c r="A34" s="8" t="s">
        <v>74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</row>
    <row r="35" spans="1:13" ht="15" x14ac:dyDescent="0.2">
      <c r="A35" s="8" t="s">
        <v>75</v>
      </c>
      <c r="B35" s="94"/>
      <c r="C35" s="94">
        <v>17800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</row>
    <row r="36" spans="1:13" ht="15" x14ac:dyDescent="0.2">
      <c r="A36" s="8" t="s">
        <v>5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</row>
    <row r="37" spans="1:13" ht="15" x14ac:dyDescent="0.2">
      <c r="A37" s="8" t="s">
        <v>6</v>
      </c>
      <c r="B37" s="95">
        <f t="shared" ref="B37:M37" si="4">SUM(B28:B36)</f>
        <v>0</v>
      </c>
      <c r="C37" s="95">
        <f t="shared" si="4"/>
        <v>17800</v>
      </c>
      <c r="D37" s="95">
        <f t="shared" si="4"/>
        <v>0</v>
      </c>
      <c r="E37" s="95">
        <f t="shared" si="4"/>
        <v>0</v>
      </c>
      <c r="F37" s="95">
        <f t="shared" si="4"/>
        <v>0</v>
      </c>
      <c r="G37" s="95">
        <f t="shared" si="4"/>
        <v>0</v>
      </c>
      <c r="H37" s="95">
        <f t="shared" si="4"/>
        <v>0</v>
      </c>
      <c r="I37" s="95">
        <f t="shared" si="4"/>
        <v>0</v>
      </c>
      <c r="J37" s="95">
        <f t="shared" si="4"/>
        <v>0</v>
      </c>
      <c r="K37" s="95">
        <f t="shared" si="4"/>
        <v>0</v>
      </c>
      <c r="L37" s="95">
        <f t="shared" si="4"/>
        <v>0</v>
      </c>
      <c r="M37" s="95">
        <f t="shared" si="4"/>
        <v>0</v>
      </c>
    </row>
    <row r="38" spans="1:13" ht="15.75" thickBot="1" x14ac:dyDescent="0.25">
      <c r="A38" s="8" t="s">
        <v>7</v>
      </c>
      <c r="B38" s="96"/>
      <c r="C38" s="96">
        <v>17800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</row>
    <row r="39" spans="1:13" ht="15.75" thickBot="1" x14ac:dyDescent="0.25">
      <c r="A39" s="8" t="s">
        <v>111</v>
      </c>
      <c r="B39" s="98">
        <f t="shared" ref="B39:M39" si="5">B37-B38</f>
        <v>0</v>
      </c>
      <c r="C39" s="99">
        <f t="shared" si="5"/>
        <v>0</v>
      </c>
      <c r="D39" s="99">
        <f t="shared" si="5"/>
        <v>0</v>
      </c>
      <c r="E39" s="99">
        <f t="shared" si="5"/>
        <v>0</v>
      </c>
      <c r="F39" s="99">
        <f t="shared" si="5"/>
        <v>0</v>
      </c>
      <c r="G39" s="99">
        <f t="shared" si="5"/>
        <v>0</v>
      </c>
      <c r="H39" s="99">
        <f t="shared" si="5"/>
        <v>0</v>
      </c>
      <c r="I39" s="99">
        <f t="shared" si="5"/>
        <v>0</v>
      </c>
      <c r="J39" s="99">
        <f t="shared" si="5"/>
        <v>0</v>
      </c>
      <c r="K39" s="99">
        <f t="shared" si="5"/>
        <v>0</v>
      </c>
      <c r="L39" s="99">
        <f t="shared" si="5"/>
        <v>0</v>
      </c>
      <c r="M39" s="100">
        <f t="shared" si="5"/>
        <v>0</v>
      </c>
    </row>
  </sheetData>
  <mergeCells count="1">
    <mergeCell ref="B4:G4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9"/>
  <dimension ref="A1:Y148"/>
  <sheetViews>
    <sheetView showGridLines="0" topLeftCell="A127" workbookViewId="0">
      <selection activeCell="I154" sqref="I154"/>
    </sheetView>
  </sheetViews>
  <sheetFormatPr baseColWidth="10" defaultRowHeight="12.75" x14ac:dyDescent="0.2"/>
  <cols>
    <col min="1" max="1" width="35.7109375" customWidth="1"/>
    <col min="2" max="2" width="12.5703125" bestFit="1" customWidth="1"/>
    <col min="3" max="3" width="13" customWidth="1"/>
    <col min="4" max="4" width="13.85546875" customWidth="1"/>
    <col min="5" max="5" width="13.42578125" customWidth="1"/>
    <col min="6" max="6" width="12.5703125" customWidth="1"/>
    <col min="7" max="7" width="12.28515625" customWidth="1"/>
    <col min="8" max="8" width="13" customWidth="1"/>
    <col min="9" max="9" width="12.5703125" customWidth="1"/>
    <col min="10" max="12" width="12.28515625" customWidth="1"/>
    <col min="13" max="13" width="12.7109375" customWidth="1"/>
    <col min="14" max="25" width="0" hidden="1" customWidth="1"/>
  </cols>
  <sheetData>
    <row r="1" spans="1:25" ht="27" x14ac:dyDescent="0.35">
      <c r="A1" s="7" t="s">
        <v>102</v>
      </c>
    </row>
    <row r="2" spans="1:25" ht="20.25" x14ac:dyDescent="0.3">
      <c r="A2" s="11" t="s">
        <v>11</v>
      </c>
      <c r="B2" s="39" t="s">
        <v>124</v>
      </c>
      <c r="C2" s="39"/>
      <c r="D2" s="39"/>
      <c r="E2" s="39"/>
      <c r="F2" s="39"/>
      <c r="G2" s="39"/>
      <c r="H2" s="2"/>
      <c r="I2" s="2"/>
      <c r="J2" s="2"/>
      <c r="K2" s="2"/>
      <c r="L2" s="2"/>
      <c r="M2" s="2"/>
    </row>
    <row r="3" spans="1:25" ht="20.25" x14ac:dyDescent="0.3">
      <c r="A3" s="11"/>
      <c r="B3" s="39"/>
      <c r="C3" s="39"/>
      <c r="D3" s="39"/>
      <c r="E3" s="39"/>
      <c r="F3" s="39"/>
      <c r="G3" s="39"/>
      <c r="H3" s="2"/>
      <c r="I3" s="2"/>
      <c r="J3" s="2"/>
      <c r="K3" s="2"/>
      <c r="L3" s="2"/>
      <c r="M3" s="2"/>
    </row>
    <row r="4" spans="1:25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25" ht="15.75" x14ac:dyDescent="0.25">
      <c r="A5" s="8"/>
      <c r="B5" s="15">
        <v>39083</v>
      </c>
      <c r="C5" s="15">
        <v>39114</v>
      </c>
      <c r="D5" s="15">
        <v>39142</v>
      </c>
      <c r="E5" s="15">
        <v>39173</v>
      </c>
      <c r="F5" s="15">
        <v>39203</v>
      </c>
      <c r="G5" s="15">
        <v>39234</v>
      </c>
      <c r="H5" s="15">
        <v>39264</v>
      </c>
      <c r="I5" s="15">
        <v>39295</v>
      </c>
      <c r="J5" s="15">
        <v>39326</v>
      </c>
      <c r="K5" s="15">
        <v>39356</v>
      </c>
      <c r="L5" s="15">
        <v>39387</v>
      </c>
      <c r="M5" s="15">
        <v>39417</v>
      </c>
      <c r="N5" s="15">
        <v>39448</v>
      </c>
      <c r="O5" s="15">
        <v>39479</v>
      </c>
      <c r="P5" s="15">
        <v>39508</v>
      </c>
      <c r="Q5" s="15">
        <v>39539</v>
      </c>
      <c r="R5" s="15">
        <v>39569</v>
      </c>
      <c r="S5" s="15">
        <v>39600</v>
      </c>
      <c r="T5" s="15">
        <v>39630</v>
      </c>
      <c r="U5" s="15">
        <v>39661</v>
      </c>
      <c r="V5" s="15">
        <v>39692</v>
      </c>
      <c r="W5" s="15">
        <v>39722</v>
      </c>
      <c r="X5" s="15">
        <v>39753</v>
      </c>
      <c r="Y5" s="15">
        <v>39783</v>
      </c>
    </row>
    <row r="6" spans="1:25" ht="15" x14ac:dyDescent="0.2">
      <c r="A6" s="8" t="s">
        <v>110</v>
      </c>
      <c r="B6" s="22">
        <v>7000</v>
      </c>
      <c r="C6" s="22">
        <f>B17</f>
        <v>9600</v>
      </c>
      <c r="D6" s="22">
        <f t="shared" ref="D6:M6" si="0">C17</f>
        <v>10200</v>
      </c>
      <c r="E6" s="22">
        <f t="shared" si="0"/>
        <v>10800</v>
      </c>
      <c r="F6" s="22">
        <f t="shared" si="0"/>
        <v>11400</v>
      </c>
      <c r="G6" s="22">
        <f t="shared" si="0"/>
        <v>12000</v>
      </c>
      <c r="H6" s="22">
        <f t="shared" si="0"/>
        <v>12600</v>
      </c>
      <c r="I6" s="22">
        <f t="shared" si="0"/>
        <v>0</v>
      </c>
      <c r="J6" s="22">
        <f t="shared" si="0"/>
        <v>800</v>
      </c>
      <c r="K6" s="22">
        <f>J17</f>
        <v>1900</v>
      </c>
      <c r="L6" s="22">
        <f t="shared" si="0"/>
        <v>2500</v>
      </c>
      <c r="M6" s="22">
        <f t="shared" si="0"/>
        <v>3100</v>
      </c>
      <c r="N6" s="22">
        <f t="shared" ref="N6:Y6" si="1">M17</f>
        <v>3700</v>
      </c>
      <c r="O6" s="22">
        <f t="shared" si="1"/>
        <v>3700</v>
      </c>
      <c r="P6" s="22">
        <f t="shared" si="1"/>
        <v>3700</v>
      </c>
      <c r="Q6" s="22">
        <f t="shared" si="1"/>
        <v>3700</v>
      </c>
      <c r="R6" s="22">
        <f t="shared" si="1"/>
        <v>3700</v>
      </c>
      <c r="S6" s="22">
        <f t="shared" si="1"/>
        <v>3700</v>
      </c>
      <c r="T6" s="22">
        <f t="shared" si="1"/>
        <v>3700</v>
      </c>
      <c r="U6" s="22">
        <f t="shared" si="1"/>
        <v>3700</v>
      </c>
      <c r="V6" s="22">
        <f t="shared" si="1"/>
        <v>3700</v>
      </c>
      <c r="W6" s="22">
        <f t="shared" si="1"/>
        <v>3700</v>
      </c>
      <c r="X6" s="22">
        <f t="shared" si="1"/>
        <v>3700</v>
      </c>
      <c r="Y6" s="22">
        <f t="shared" si="1"/>
        <v>3700</v>
      </c>
    </row>
    <row r="7" spans="1:25" ht="15" x14ac:dyDescent="0.2">
      <c r="A7" s="8" t="s">
        <v>76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" x14ac:dyDescent="0.2">
      <c r="A8" s="8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" x14ac:dyDescent="0.2">
      <c r="A9" s="8" t="s">
        <v>126</v>
      </c>
      <c r="B9" s="22"/>
      <c r="C9" s="22"/>
      <c r="D9" s="22"/>
      <c r="E9" s="22"/>
      <c r="F9" s="22"/>
      <c r="G9" s="22"/>
      <c r="H9" s="22"/>
      <c r="I9" s="22">
        <v>200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" x14ac:dyDescent="0.2">
      <c r="A10" s="8" t="s">
        <v>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" x14ac:dyDescent="0.2">
      <c r="A11" s="8" t="s">
        <v>73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" x14ac:dyDescent="0.2">
      <c r="A12" s="8" t="s">
        <v>74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" x14ac:dyDescent="0.2">
      <c r="A13" s="8" t="s">
        <v>125</v>
      </c>
      <c r="B13" s="22">
        <v>2000</v>
      </c>
      <c r="C13" s="22"/>
      <c r="D13" s="22"/>
      <c r="E13" s="22"/>
      <c r="F13" s="22"/>
      <c r="G13" s="22"/>
      <c r="H13" s="22"/>
      <c r="I13" s="22"/>
      <c r="J13" s="22">
        <v>500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" x14ac:dyDescent="0.2">
      <c r="A14" s="8" t="s">
        <v>5</v>
      </c>
      <c r="B14" s="22">
        <v>600</v>
      </c>
      <c r="C14" s="22">
        <v>600</v>
      </c>
      <c r="D14" s="22">
        <v>600</v>
      </c>
      <c r="E14" s="22">
        <v>600</v>
      </c>
      <c r="F14" s="22">
        <v>600</v>
      </c>
      <c r="G14" s="22">
        <v>600</v>
      </c>
      <c r="H14" s="22">
        <v>600</v>
      </c>
      <c r="I14" s="22">
        <v>600</v>
      </c>
      <c r="J14" s="22">
        <v>600</v>
      </c>
      <c r="K14" s="22">
        <v>600</v>
      </c>
      <c r="L14" s="22">
        <v>600</v>
      </c>
      <c r="M14" s="22">
        <v>600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" x14ac:dyDescent="0.2">
      <c r="A15" s="8" t="s">
        <v>6</v>
      </c>
      <c r="B15" s="16">
        <f>SUM(B6:B14)</f>
        <v>9600</v>
      </c>
      <c r="C15" s="16">
        <f t="shared" ref="C15:M15" si="2">SUM(C6:C14)</f>
        <v>10200</v>
      </c>
      <c r="D15" s="16">
        <f t="shared" si="2"/>
        <v>10800</v>
      </c>
      <c r="E15" s="16">
        <f t="shared" si="2"/>
        <v>11400</v>
      </c>
      <c r="F15" s="16">
        <f t="shared" si="2"/>
        <v>12000</v>
      </c>
      <c r="G15" s="16">
        <f t="shared" si="2"/>
        <v>12600</v>
      </c>
      <c r="H15" s="16">
        <f t="shared" si="2"/>
        <v>13200</v>
      </c>
      <c r="I15" s="16">
        <f t="shared" si="2"/>
        <v>800</v>
      </c>
      <c r="J15" s="16">
        <f t="shared" si="2"/>
        <v>1900</v>
      </c>
      <c r="K15" s="16">
        <f t="shared" si="2"/>
        <v>2500</v>
      </c>
      <c r="L15" s="16">
        <f t="shared" si="2"/>
        <v>3100</v>
      </c>
      <c r="M15" s="16">
        <f t="shared" si="2"/>
        <v>3700</v>
      </c>
      <c r="N15" s="16">
        <f t="shared" ref="N15:Y15" si="3">SUM(N6:N14)</f>
        <v>3700</v>
      </c>
      <c r="O15" s="16">
        <f t="shared" si="3"/>
        <v>3700</v>
      </c>
      <c r="P15" s="16">
        <f t="shared" si="3"/>
        <v>3700</v>
      </c>
      <c r="Q15" s="16">
        <f t="shared" si="3"/>
        <v>3700</v>
      </c>
      <c r="R15" s="16">
        <f t="shared" si="3"/>
        <v>3700</v>
      </c>
      <c r="S15" s="16">
        <f t="shared" si="3"/>
        <v>3700</v>
      </c>
      <c r="T15" s="16">
        <f t="shared" si="3"/>
        <v>3700</v>
      </c>
      <c r="U15" s="16">
        <f t="shared" si="3"/>
        <v>3700</v>
      </c>
      <c r="V15" s="16">
        <f t="shared" si="3"/>
        <v>3700</v>
      </c>
      <c r="W15" s="16">
        <f t="shared" si="3"/>
        <v>3700</v>
      </c>
      <c r="X15" s="16">
        <f t="shared" si="3"/>
        <v>3700</v>
      </c>
      <c r="Y15" s="16">
        <f t="shared" si="3"/>
        <v>3700</v>
      </c>
    </row>
    <row r="16" spans="1:25" ht="15" x14ac:dyDescent="0.2">
      <c r="A16" s="8" t="s">
        <v>7</v>
      </c>
      <c r="B16" s="23"/>
      <c r="C16" s="23"/>
      <c r="D16" s="23"/>
      <c r="E16" s="23"/>
      <c r="F16" s="23"/>
      <c r="G16" s="23"/>
      <c r="H16" s="23">
        <v>13200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5" x14ac:dyDescent="0.2">
      <c r="A17" s="8" t="s">
        <v>111</v>
      </c>
      <c r="B17" s="16">
        <f>B15-B16</f>
        <v>9600</v>
      </c>
      <c r="C17" s="16">
        <f>C15-C16</f>
        <v>10200</v>
      </c>
      <c r="D17" s="16">
        <f t="shared" ref="D17:M17" si="4">D15-D16</f>
        <v>10800</v>
      </c>
      <c r="E17" s="16">
        <f t="shared" si="4"/>
        <v>11400</v>
      </c>
      <c r="F17" s="16">
        <f t="shared" si="4"/>
        <v>12000</v>
      </c>
      <c r="G17" s="16">
        <f t="shared" si="4"/>
        <v>12600</v>
      </c>
      <c r="H17" s="16">
        <f t="shared" si="4"/>
        <v>0</v>
      </c>
      <c r="I17" s="16">
        <f t="shared" si="4"/>
        <v>800</v>
      </c>
      <c r="J17" s="16">
        <f t="shared" si="4"/>
        <v>1900</v>
      </c>
      <c r="K17" s="16">
        <f t="shared" si="4"/>
        <v>2500</v>
      </c>
      <c r="L17" s="16">
        <f t="shared" si="4"/>
        <v>3100</v>
      </c>
      <c r="M17" s="16">
        <f t="shared" si="4"/>
        <v>3700</v>
      </c>
      <c r="N17" s="16">
        <f t="shared" ref="N17:Y17" si="5">N15-N16</f>
        <v>3700</v>
      </c>
      <c r="O17" s="16">
        <f t="shared" si="5"/>
        <v>3700</v>
      </c>
      <c r="P17" s="16">
        <f t="shared" si="5"/>
        <v>3700</v>
      </c>
      <c r="Q17" s="16">
        <f t="shared" si="5"/>
        <v>3700</v>
      </c>
      <c r="R17" s="16">
        <f t="shared" si="5"/>
        <v>3700</v>
      </c>
      <c r="S17" s="16">
        <f t="shared" si="5"/>
        <v>3700</v>
      </c>
      <c r="T17" s="16">
        <f t="shared" si="5"/>
        <v>3700</v>
      </c>
      <c r="U17" s="16">
        <f t="shared" si="5"/>
        <v>3700</v>
      </c>
      <c r="V17" s="16">
        <f t="shared" si="5"/>
        <v>3700</v>
      </c>
      <c r="W17" s="16">
        <f t="shared" si="5"/>
        <v>3700</v>
      </c>
      <c r="X17" s="16">
        <f t="shared" si="5"/>
        <v>3700</v>
      </c>
      <c r="Y17" s="16">
        <f t="shared" si="5"/>
        <v>3700</v>
      </c>
    </row>
    <row r="20" spans="1:25" ht="20.25" x14ac:dyDescent="0.3">
      <c r="A20" s="11" t="s">
        <v>11</v>
      </c>
      <c r="B20" s="2" t="s">
        <v>128</v>
      </c>
    </row>
    <row r="22" spans="1:25" ht="15.75" x14ac:dyDescent="0.25">
      <c r="A22" s="31" t="s">
        <v>0</v>
      </c>
      <c r="B22" s="31" t="s">
        <v>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25" ht="15.75" x14ac:dyDescent="0.25">
      <c r="A23" s="8"/>
      <c r="B23" s="15">
        <v>39083</v>
      </c>
      <c r="C23" s="15">
        <v>39114</v>
      </c>
      <c r="D23" s="15">
        <v>39142</v>
      </c>
      <c r="E23" s="15">
        <v>39173</v>
      </c>
      <c r="F23" s="15">
        <v>39203</v>
      </c>
      <c r="G23" s="15">
        <v>39234</v>
      </c>
      <c r="H23" s="15">
        <v>39264</v>
      </c>
      <c r="I23" s="15">
        <v>39295</v>
      </c>
      <c r="J23" s="15">
        <v>39326</v>
      </c>
      <c r="K23" s="15">
        <v>39356</v>
      </c>
      <c r="L23" s="15">
        <v>39387</v>
      </c>
      <c r="M23" s="15">
        <v>39417</v>
      </c>
    </row>
    <row r="24" spans="1:25" ht="15" x14ac:dyDescent="0.2">
      <c r="A24" s="8" t="s">
        <v>110</v>
      </c>
      <c r="B24" s="22">
        <v>5000</v>
      </c>
      <c r="C24" s="22">
        <f>B35</f>
        <v>5200</v>
      </c>
      <c r="D24" s="22">
        <f t="shared" ref="D24:M24" si="6">C35</f>
        <v>5400</v>
      </c>
      <c r="E24" s="22">
        <f t="shared" si="6"/>
        <v>5600</v>
      </c>
      <c r="F24" s="22">
        <f t="shared" si="6"/>
        <v>5800</v>
      </c>
      <c r="G24" s="22">
        <f t="shared" si="6"/>
        <v>6000</v>
      </c>
      <c r="H24" s="22">
        <f t="shared" si="6"/>
        <v>6200</v>
      </c>
      <c r="I24" s="22">
        <f t="shared" si="6"/>
        <v>4600</v>
      </c>
      <c r="J24" s="22">
        <f t="shared" si="6"/>
        <v>4800</v>
      </c>
      <c r="K24" s="22">
        <f>J35</f>
        <v>5000</v>
      </c>
      <c r="L24" s="22">
        <f t="shared" si="6"/>
        <v>5200</v>
      </c>
      <c r="M24" s="22">
        <f t="shared" si="6"/>
        <v>5400</v>
      </c>
    </row>
    <row r="25" spans="1:25" ht="15" x14ac:dyDescent="0.2">
      <c r="A25" s="8" t="s">
        <v>127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25" ht="15" x14ac:dyDescent="0.2">
      <c r="A26" s="8" t="s">
        <v>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25" ht="15" x14ac:dyDescent="0.2">
      <c r="A27" s="8" t="s">
        <v>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25" ht="15" x14ac:dyDescent="0.2">
      <c r="A28" s="8" t="s">
        <v>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25" ht="15" x14ac:dyDescent="0.2">
      <c r="A29" s="8" t="s">
        <v>73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25" ht="15" x14ac:dyDescent="0.2">
      <c r="A30" s="8" t="s">
        <v>74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25" ht="15" x14ac:dyDescent="0.2">
      <c r="A31" s="8" t="s">
        <v>75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25" ht="15" x14ac:dyDescent="0.2">
      <c r="A32" s="8" t="s">
        <v>5</v>
      </c>
      <c r="B32" s="22">
        <v>200</v>
      </c>
      <c r="C32" s="22">
        <v>200</v>
      </c>
      <c r="D32" s="22">
        <v>200</v>
      </c>
      <c r="E32" s="22">
        <v>200</v>
      </c>
      <c r="F32" s="22">
        <v>200</v>
      </c>
      <c r="G32" s="22">
        <v>200</v>
      </c>
      <c r="H32" s="22">
        <v>200</v>
      </c>
      <c r="I32" s="22">
        <v>200</v>
      </c>
      <c r="J32" s="22">
        <v>200</v>
      </c>
      <c r="K32" s="22">
        <v>200</v>
      </c>
      <c r="L32" s="22">
        <v>200</v>
      </c>
      <c r="M32" s="22">
        <v>200</v>
      </c>
    </row>
    <row r="33" spans="1:13" ht="15" x14ac:dyDescent="0.2">
      <c r="A33" s="8" t="s">
        <v>6</v>
      </c>
      <c r="B33" s="16">
        <f>SUM(B24:B32)</f>
        <v>5200</v>
      </c>
      <c r="C33" s="16">
        <f t="shared" ref="C33:M33" si="7">SUM(C24:C32)</f>
        <v>5400</v>
      </c>
      <c r="D33" s="16">
        <f t="shared" si="7"/>
        <v>5600</v>
      </c>
      <c r="E33" s="16">
        <f t="shared" si="7"/>
        <v>5800</v>
      </c>
      <c r="F33" s="16">
        <f t="shared" si="7"/>
        <v>6000</v>
      </c>
      <c r="G33" s="16">
        <f t="shared" si="7"/>
        <v>6200</v>
      </c>
      <c r="H33" s="16">
        <f t="shared" si="7"/>
        <v>6400</v>
      </c>
      <c r="I33" s="16">
        <f t="shared" si="7"/>
        <v>4800</v>
      </c>
      <c r="J33" s="16">
        <f t="shared" si="7"/>
        <v>5000</v>
      </c>
      <c r="K33" s="16">
        <f t="shared" si="7"/>
        <v>5200</v>
      </c>
      <c r="L33" s="16">
        <f t="shared" si="7"/>
        <v>5400</v>
      </c>
      <c r="M33" s="16">
        <f t="shared" si="7"/>
        <v>5600</v>
      </c>
    </row>
    <row r="34" spans="1:13" ht="15" x14ac:dyDescent="0.2">
      <c r="A34" s="8" t="s">
        <v>7</v>
      </c>
      <c r="B34" s="23"/>
      <c r="C34" s="23"/>
      <c r="D34" s="23"/>
      <c r="E34" s="23"/>
      <c r="F34" s="23"/>
      <c r="G34" s="23"/>
      <c r="H34" s="23">
        <v>1800</v>
      </c>
      <c r="I34" s="23"/>
      <c r="J34" s="23"/>
      <c r="K34" s="23"/>
      <c r="L34" s="23"/>
      <c r="M34" s="23"/>
    </row>
    <row r="35" spans="1:13" ht="15" x14ac:dyDescent="0.2">
      <c r="A35" s="8" t="s">
        <v>111</v>
      </c>
      <c r="B35" s="16">
        <f>B33-B34</f>
        <v>5200</v>
      </c>
      <c r="C35" s="16">
        <f>C33-C34</f>
        <v>5400</v>
      </c>
      <c r="D35" s="16">
        <f t="shared" ref="D35:M35" si="8">D33-D34</f>
        <v>5600</v>
      </c>
      <c r="E35" s="16">
        <f t="shared" si="8"/>
        <v>5800</v>
      </c>
      <c r="F35" s="16">
        <f t="shared" si="8"/>
        <v>6000</v>
      </c>
      <c r="G35" s="16">
        <f t="shared" si="8"/>
        <v>6200</v>
      </c>
      <c r="H35" s="16">
        <f t="shared" si="8"/>
        <v>4600</v>
      </c>
      <c r="I35" s="16">
        <f t="shared" si="8"/>
        <v>4800</v>
      </c>
      <c r="J35" s="16">
        <f t="shared" si="8"/>
        <v>5000</v>
      </c>
      <c r="K35" s="16">
        <f t="shared" si="8"/>
        <v>5200</v>
      </c>
      <c r="L35" s="16">
        <f t="shared" si="8"/>
        <v>5400</v>
      </c>
      <c r="M35" s="16">
        <f t="shared" si="8"/>
        <v>5600</v>
      </c>
    </row>
    <row r="40" spans="1:13" ht="20.25" x14ac:dyDescent="0.3">
      <c r="A40" s="2" t="s">
        <v>150</v>
      </c>
    </row>
    <row r="41" spans="1:13" ht="15.75" x14ac:dyDescent="0.25">
      <c r="A41" s="32" t="s">
        <v>0</v>
      </c>
      <c r="B41" s="32" t="s">
        <v>1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3" ht="15.75" x14ac:dyDescent="0.25">
      <c r="A42" s="33"/>
      <c r="B42" s="34">
        <v>39448</v>
      </c>
      <c r="C42" s="34">
        <v>39479</v>
      </c>
      <c r="D42" s="34">
        <v>39508</v>
      </c>
      <c r="E42" s="34">
        <v>39539</v>
      </c>
      <c r="F42" s="34">
        <v>39569</v>
      </c>
      <c r="G42" s="34">
        <v>39600</v>
      </c>
      <c r="H42" s="34">
        <v>39630</v>
      </c>
      <c r="I42" s="34">
        <v>39661</v>
      </c>
      <c r="J42" s="34">
        <v>39692</v>
      </c>
      <c r="K42" s="34">
        <v>39722</v>
      </c>
      <c r="L42" s="34">
        <v>39753</v>
      </c>
      <c r="M42" s="34">
        <v>39783</v>
      </c>
    </row>
    <row r="43" spans="1:13" ht="15" x14ac:dyDescent="0.2">
      <c r="A43" s="8" t="s">
        <v>110</v>
      </c>
      <c r="B43" s="28">
        <v>3700</v>
      </c>
      <c r="C43" s="28">
        <f t="shared" ref="C43:M43" si="9">B54</f>
        <v>4970</v>
      </c>
      <c r="D43" s="28">
        <f t="shared" si="9"/>
        <v>6170</v>
      </c>
      <c r="E43" s="28">
        <f t="shared" si="9"/>
        <v>7370</v>
      </c>
      <c r="F43" s="28">
        <f t="shared" si="9"/>
        <v>9370</v>
      </c>
      <c r="G43" s="28">
        <f t="shared" si="9"/>
        <v>10870</v>
      </c>
      <c r="H43" s="28">
        <f t="shared" si="9"/>
        <v>12370</v>
      </c>
      <c r="I43" s="28">
        <f t="shared" si="9"/>
        <v>13870</v>
      </c>
      <c r="J43" s="28">
        <f t="shared" si="9"/>
        <v>15370</v>
      </c>
      <c r="K43" s="28">
        <f t="shared" si="9"/>
        <v>16870</v>
      </c>
      <c r="L43" s="28">
        <f t="shared" si="9"/>
        <v>18370</v>
      </c>
      <c r="M43" s="28">
        <f t="shared" si="9"/>
        <v>19870</v>
      </c>
    </row>
    <row r="44" spans="1:13" ht="15" x14ac:dyDescent="0.2">
      <c r="A44" s="8" t="s">
        <v>144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15" x14ac:dyDescent="0.2">
      <c r="A45" s="8" t="s">
        <v>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ht="15" x14ac:dyDescent="0.2">
      <c r="A46" s="8" t="s">
        <v>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ht="15" x14ac:dyDescent="0.2">
      <c r="A47" s="8" t="s">
        <v>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15" x14ac:dyDescent="0.2">
      <c r="A48" s="8" t="s">
        <v>149</v>
      </c>
      <c r="B48" s="28">
        <v>70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15" x14ac:dyDescent="0.2">
      <c r="A49" s="8" t="s">
        <v>74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15" x14ac:dyDescent="0.2">
      <c r="A50" s="8" t="s">
        <v>162</v>
      </c>
      <c r="B50" s="28"/>
      <c r="C50" s="28"/>
      <c r="D50" s="28"/>
      <c r="E50" s="28">
        <v>500</v>
      </c>
      <c r="F50" s="28"/>
      <c r="G50" s="28"/>
      <c r="H50" s="28"/>
      <c r="I50" s="28"/>
      <c r="J50" s="28"/>
      <c r="K50" s="28"/>
      <c r="L50" s="28"/>
      <c r="M50" s="28"/>
    </row>
    <row r="51" spans="1:13" ht="15" x14ac:dyDescent="0.2">
      <c r="A51" s="8" t="s">
        <v>5</v>
      </c>
      <c r="B51" s="28">
        <v>1200</v>
      </c>
      <c r="C51" s="28">
        <v>1200</v>
      </c>
      <c r="D51" s="28">
        <v>1200</v>
      </c>
      <c r="E51" s="28">
        <v>1500</v>
      </c>
      <c r="F51" s="28">
        <v>1500</v>
      </c>
      <c r="G51" s="28">
        <v>1500</v>
      </c>
      <c r="H51" s="28">
        <v>1500</v>
      </c>
      <c r="I51" s="28">
        <v>1500</v>
      </c>
      <c r="J51" s="28">
        <v>1500</v>
      </c>
      <c r="K51" s="28">
        <v>1500</v>
      </c>
      <c r="L51" s="28">
        <v>1500</v>
      </c>
      <c r="M51" s="28">
        <v>1500</v>
      </c>
    </row>
    <row r="52" spans="1:13" ht="15" x14ac:dyDescent="0.2">
      <c r="A52" s="8" t="s">
        <v>6</v>
      </c>
      <c r="B52" s="29">
        <f t="shared" ref="B52:M52" si="10">SUM(B43:B51)</f>
        <v>4970</v>
      </c>
      <c r="C52" s="29">
        <f t="shared" si="10"/>
        <v>6170</v>
      </c>
      <c r="D52" s="29">
        <f t="shared" si="10"/>
        <v>7370</v>
      </c>
      <c r="E52" s="29">
        <f t="shared" si="10"/>
        <v>9370</v>
      </c>
      <c r="F52" s="29">
        <f t="shared" si="10"/>
        <v>10870</v>
      </c>
      <c r="G52" s="29">
        <f t="shared" si="10"/>
        <v>12370</v>
      </c>
      <c r="H52" s="29">
        <f t="shared" si="10"/>
        <v>13870</v>
      </c>
      <c r="I52" s="29">
        <f t="shared" si="10"/>
        <v>15370</v>
      </c>
      <c r="J52" s="29">
        <f t="shared" si="10"/>
        <v>16870</v>
      </c>
      <c r="K52" s="29">
        <f t="shared" si="10"/>
        <v>18370</v>
      </c>
      <c r="L52" s="29">
        <f t="shared" si="10"/>
        <v>19870</v>
      </c>
      <c r="M52" s="29">
        <f t="shared" si="10"/>
        <v>21370</v>
      </c>
    </row>
    <row r="53" spans="1:13" ht="15.75" thickBot="1" x14ac:dyDescent="0.25">
      <c r="A53" s="8" t="s">
        <v>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ht="15.75" thickBot="1" x14ac:dyDescent="0.25">
      <c r="A54" s="8" t="s">
        <v>111</v>
      </c>
      <c r="B54" s="35">
        <f t="shared" ref="B54:M54" si="11">B52-B53</f>
        <v>4970</v>
      </c>
      <c r="C54" s="36">
        <f t="shared" si="11"/>
        <v>6170</v>
      </c>
      <c r="D54" s="36">
        <f t="shared" si="11"/>
        <v>7370</v>
      </c>
      <c r="E54" s="36">
        <f t="shared" si="11"/>
        <v>9370</v>
      </c>
      <c r="F54" s="36">
        <f t="shared" si="11"/>
        <v>10870</v>
      </c>
      <c r="G54" s="36">
        <f t="shared" si="11"/>
        <v>12370</v>
      </c>
      <c r="H54" s="36">
        <f t="shared" si="11"/>
        <v>13870</v>
      </c>
      <c r="I54" s="36">
        <f t="shared" si="11"/>
        <v>15370</v>
      </c>
      <c r="J54" s="36">
        <f t="shared" si="11"/>
        <v>16870</v>
      </c>
      <c r="K54" s="36">
        <f t="shared" si="11"/>
        <v>18370</v>
      </c>
      <c r="L54" s="36">
        <f t="shared" si="11"/>
        <v>19870</v>
      </c>
      <c r="M54" s="37">
        <f t="shared" si="11"/>
        <v>21370</v>
      </c>
    </row>
    <row r="57" spans="1:13" ht="15.75" x14ac:dyDescent="0.25">
      <c r="A57" s="48" t="s">
        <v>151</v>
      </c>
    </row>
    <row r="58" spans="1:13" ht="15.75" x14ac:dyDescent="0.25">
      <c r="A58" s="32" t="s">
        <v>0</v>
      </c>
      <c r="B58" s="32" t="s">
        <v>1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ht="15.75" x14ac:dyDescent="0.25">
      <c r="A59" s="33"/>
      <c r="B59" s="34">
        <v>39448</v>
      </c>
      <c r="C59" s="34">
        <v>39479</v>
      </c>
      <c r="D59" s="34">
        <v>39508</v>
      </c>
      <c r="E59" s="34">
        <v>39539</v>
      </c>
      <c r="F59" s="34">
        <v>39569</v>
      </c>
      <c r="G59" s="34">
        <v>39600</v>
      </c>
      <c r="H59" s="34">
        <v>39630</v>
      </c>
      <c r="I59" s="34">
        <v>39661</v>
      </c>
      <c r="J59" s="34">
        <v>39692</v>
      </c>
      <c r="K59" s="34">
        <v>39722</v>
      </c>
      <c r="L59" s="34">
        <v>39753</v>
      </c>
      <c r="M59" s="34">
        <v>39783</v>
      </c>
    </row>
    <row r="60" spans="1:13" ht="15" x14ac:dyDescent="0.2">
      <c r="A60" s="8" t="s">
        <v>110</v>
      </c>
      <c r="B60" s="28">
        <v>5600</v>
      </c>
      <c r="C60" s="28">
        <f t="shared" ref="C60:M60" si="12">B71</f>
        <v>5800</v>
      </c>
      <c r="D60" s="28">
        <f t="shared" si="12"/>
        <v>6000</v>
      </c>
      <c r="E60" s="28">
        <f t="shared" si="12"/>
        <v>6200</v>
      </c>
      <c r="F60" s="28">
        <f t="shared" si="12"/>
        <v>6400</v>
      </c>
      <c r="G60" s="28">
        <f t="shared" si="12"/>
        <v>6600</v>
      </c>
      <c r="H60" s="28">
        <f t="shared" si="12"/>
        <v>6800</v>
      </c>
      <c r="I60" s="28">
        <f t="shared" si="12"/>
        <v>7000</v>
      </c>
      <c r="J60" s="28">
        <f t="shared" si="12"/>
        <v>7200</v>
      </c>
      <c r="K60" s="28">
        <f t="shared" si="12"/>
        <v>7400</v>
      </c>
      <c r="L60" s="28">
        <f t="shared" si="12"/>
        <v>7600</v>
      </c>
      <c r="M60" s="28">
        <f t="shared" si="12"/>
        <v>7800</v>
      </c>
    </row>
    <row r="61" spans="1:13" ht="15" x14ac:dyDescent="0.2">
      <c r="A61" s="8" t="s">
        <v>144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 ht="15" x14ac:dyDescent="0.2">
      <c r="A62" s="8" t="s">
        <v>3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 ht="15" x14ac:dyDescent="0.2">
      <c r="A63" s="8" t="s">
        <v>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 ht="15" x14ac:dyDescent="0.2">
      <c r="A64" s="8" t="s">
        <v>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25" ht="15" x14ac:dyDescent="0.2">
      <c r="A65" s="8" t="s">
        <v>149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25" ht="15" x14ac:dyDescent="0.2">
      <c r="A66" s="8" t="s">
        <v>74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1:25" ht="15" x14ac:dyDescent="0.2">
      <c r="A67" s="8" t="s">
        <v>75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1:25" ht="15" x14ac:dyDescent="0.2">
      <c r="A68" s="8" t="s">
        <v>5</v>
      </c>
      <c r="B68" s="28">
        <v>200</v>
      </c>
      <c r="C68" s="28">
        <v>200</v>
      </c>
      <c r="D68" s="28">
        <v>200</v>
      </c>
      <c r="E68" s="28">
        <v>200</v>
      </c>
      <c r="F68" s="28">
        <v>200</v>
      </c>
      <c r="G68" s="28">
        <v>200</v>
      </c>
      <c r="H68" s="28">
        <v>200</v>
      </c>
      <c r="I68" s="28">
        <v>200</v>
      </c>
      <c r="J68" s="28">
        <v>200</v>
      </c>
      <c r="K68" s="28">
        <v>200</v>
      </c>
      <c r="L68" s="28">
        <v>200</v>
      </c>
      <c r="M68" s="28">
        <v>200</v>
      </c>
    </row>
    <row r="69" spans="1:25" ht="15" x14ac:dyDescent="0.2">
      <c r="A69" s="8" t="s">
        <v>6</v>
      </c>
      <c r="B69" s="29">
        <f t="shared" ref="B69:M69" si="13">SUM(B60:B68)</f>
        <v>5800</v>
      </c>
      <c r="C69" s="29">
        <f t="shared" si="13"/>
        <v>6000</v>
      </c>
      <c r="D69" s="29">
        <f t="shared" si="13"/>
        <v>6200</v>
      </c>
      <c r="E69" s="29">
        <f t="shared" si="13"/>
        <v>6400</v>
      </c>
      <c r="F69" s="29">
        <f t="shared" si="13"/>
        <v>6600</v>
      </c>
      <c r="G69" s="29">
        <f t="shared" si="13"/>
        <v>6800</v>
      </c>
      <c r="H69" s="29">
        <f t="shared" si="13"/>
        <v>7000</v>
      </c>
      <c r="I69" s="29">
        <f t="shared" si="13"/>
        <v>7200</v>
      </c>
      <c r="J69" s="29">
        <f t="shared" si="13"/>
        <v>7400</v>
      </c>
      <c r="K69" s="29">
        <f t="shared" si="13"/>
        <v>7600</v>
      </c>
      <c r="L69" s="29">
        <f t="shared" si="13"/>
        <v>7800</v>
      </c>
      <c r="M69" s="29">
        <f t="shared" si="13"/>
        <v>8000</v>
      </c>
    </row>
    <row r="70" spans="1:25" ht="15.75" thickBot="1" x14ac:dyDescent="0.25">
      <c r="A70" s="8" t="s">
        <v>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</row>
    <row r="71" spans="1:25" ht="15.75" thickBot="1" x14ac:dyDescent="0.25">
      <c r="A71" s="8" t="s">
        <v>111</v>
      </c>
      <c r="B71" s="35">
        <f t="shared" ref="B71:M71" si="14">B69-B70</f>
        <v>5800</v>
      </c>
      <c r="C71" s="36">
        <f t="shared" si="14"/>
        <v>6000</v>
      </c>
      <c r="D71" s="36">
        <f t="shared" si="14"/>
        <v>6200</v>
      </c>
      <c r="E71" s="36">
        <f t="shared" si="14"/>
        <v>6400</v>
      </c>
      <c r="F71" s="36">
        <f t="shared" si="14"/>
        <v>6600</v>
      </c>
      <c r="G71" s="36">
        <f t="shared" si="14"/>
        <v>6800</v>
      </c>
      <c r="H71" s="36">
        <f t="shared" si="14"/>
        <v>7000</v>
      </c>
      <c r="I71" s="36">
        <f t="shared" si="14"/>
        <v>7200</v>
      </c>
      <c r="J71" s="36">
        <f t="shared" si="14"/>
        <v>7400</v>
      </c>
      <c r="K71" s="36">
        <f t="shared" si="14"/>
        <v>7600</v>
      </c>
      <c r="L71" s="36">
        <f t="shared" si="14"/>
        <v>7800</v>
      </c>
      <c r="M71" s="37">
        <f t="shared" si="14"/>
        <v>8000</v>
      </c>
    </row>
    <row r="74" spans="1:25" ht="20.25" x14ac:dyDescent="0.3">
      <c r="A74" s="2" t="s">
        <v>196</v>
      </c>
    </row>
    <row r="75" spans="1:25" ht="15.75" x14ac:dyDescent="0.25">
      <c r="A75" s="32" t="s">
        <v>0</v>
      </c>
      <c r="B75" s="32" t="s">
        <v>1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25" ht="15.75" x14ac:dyDescent="0.25">
      <c r="A76" s="33"/>
      <c r="B76" s="34">
        <v>39814</v>
      </c>
      <c r="C76" s="34">
        <v>39845</v>
      </c>
      <c r="D76" s="34">
        <v>39873</v>
      </c>
      <c r="E76" s="34">
        <v>39904</v>
      </c>
      <c r="F76" s="34">
        <v>39934</v>
      </c>
      <c r="G76" s="34">
        <v>39965</v>
      </c>
      <c r="H76" s="34">
        <v>39995</v>
      </c>
      <c r="I76" s="34">
        <v>40026</v>
      </c>
      <c r="J76" s="34">
        <v>40057</v>
      </c>
      <c r="K76" s="34">
        <v>40087</v>
      </c>
      <c r="L76" s="34">
        <v>40118</v>
      </c>
      <c r="M76" s="34">
        <v>40148</v>
      </c>
      <c r="N76" s="34">
        <v>40179</v>
      </c>
      <c r="O76" s="34">
        <v>40210</v>
      </c>
      <c r="P76" s="34">
        <v>40238</v>
      </c>
      <c r="Q76" s="34">
        <v>40269</v>
      </c>
      <c r="R76" s="34">
        <v>40299</v>
      </c>
      <c r="S76" s="34">
        <v>40330</v>
      </c>
      <c r="T76" s="34">
        <v>40360</v>
      </c>
      <c r="U76" s="34">
        <v>40391</v>
      </c>
      <c r="V76" s="34">
        <v>40422</v>
      </c>
      <c r="W76" s="34">
        <v>40452</v>
      </c>
      <c r="X76" s="34">
        <v>40483</v>
      </c>
      <c r="Y76" s="34">
        <v>40513</v>
      </c>
    </row>
    <row r="77" spans="1:25" ht="15" x14ac:dyDescent="0.2">
      <c r="A77" s="8" t="s">
        <v>110</v>
      </c>
      <c r="B77" s="28">
        <v>7870</v>
      </c>
      <c r="C77" s="28">
        <f t="shared" ref="C77:M77" si="15">B88</f>
        <v>9940</v>
      </c>
      <c r="D77" s="28">
        <f t="shared" si="15"/>
        <v>11940</v>
      </c>
      <c r="E77" s="28">
        <f t="shared" si="15"/>
        <v>13940</v>
      </c>
      <c r="F77" s="28">
        <f t="shared" si="15"/>
        <v>16440</v>
      </c>
      <c r="G77" s="28">
        <f t="shared" si="15"/>
        <v>18440</v>
      </c>
      <c r="H77" s="28">
        <f t="shared" si="15"/>
        <v>20440</v>
      </c>
      <c r="I77" s="28">
        <f t="shared" si="15"/>
        <v>22440</v>
      </c>
      <c r="J77" s="28">
        <f t="shared" si="15"/>
        <v>24440</v>
      </c>
      <c r="K77" s="28">
        <f t="shared" si="15"/>
        <v>26440</v>
      </c>
      <c r="L77" s="28">
        <f t="shared" si="15"/>
        <v>28440</v>
      </c>
      <c r="M77" s="28">
        <f t="shared" si="15"/>
        <v>17940</v>
      </c>
    </row>
    <row r="78" spans="1:25" ht="15" x14ac:dyDescent="0.2">
      <c r="A78" s="8" t="s">
        <v>144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 spans="1:25" ht="15" x14ac:dyDescent="0.2">
      <c r="A79" s="8" t="s">
        <v>3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 spans="1:25" ht="15" x14ac:dyDescent="0.2">
      <c r="A80" s="8" t="s">
        <v>4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 spans="1:13" ht="15" x14ac:dyDescent="0.2">
      <c r="A81" s="8" t="s">
        <v>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 spans="1:13" ht="15" x14ac:dyDescent="0.2">
      <c r="A82" s="8" t="s">
        <v>149</v>
      </c>
      <c r="B82" s="28">
        <v>70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ht="15" x14ac:dyDescent="0.2">
      <c r="A83" s="8" t="s">
        <v>74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ht="15" x14ac:dyDescent="0.2">
      <c r="A84" s="8" t="s">
        <v>162</v>
      </c>
      <c r="B84" s="28"/>
      <c r="C84" s="28"/>
      <c r="D84" s="28"/>
      <c r="E84" s="28">
        <v>500</v>
      </c>
      <c r="F84" s="28"/>
      <c r="G84" s="28"/>
      <c r="H84" s="28"/>
      <c r="I84" s="28"/>
      <c r="J84" s="28"/>
      <c r="K84" s="28"/>
      <c r="L84" s="28"/>
      <c r="M84" s="28"/>
    </row>
    <row r="85" spans="1:13" ht="15" x14ac:dyDescent="0.2">
      <c r="A85" s="8" t="s">
        <v>5</v>
      </c>
      <c r="B85" s="28">
        <v>2000</v>
      </c>
      <c r="C85" s="28">
        <v>2000</v>
      </c>
      <c r="D85" s="28">
        <v>2000</v>
      </c>
      <c r="E85" s="28">
        <v>2000</v>
      </c>
      <c r="F85" s="28">
        <v>2000</v>
      </c>
      <c r="G85" s="28">
        <v>2000</v>
      </c>
      <c r="H85" s="28">
        <v>2000</v>
      </c>
      <c r="I85" s="28">
        <v>2000</v>
      </c>
      <c r="J85" s="28">
        <v>2000</v>
      </c>
      <c r="K85" s="28">
        <v>2000</v>
      </c>
      <c r="L85" s="28">
        <v>2000</v>
      </c>
      <c r="M85" s="28">
        <v>2000</v>
      </c>
    </row>
    <row r="86" spans="1:13" ht="15" x14ac:dyDescent="0.2">
      <c r="A86" s="8" t="s">
        <v>6</v>
      </c>
      <c r="B86" s="29">
        <f t="shared" ref="B86:M86" si="16">SUM(B77:B85)</f>
        <v>9940</v>
      </c>
      <c r="C86" s="29">
        <f t="shared" si="16"/>
        <v>11940</v>
      </c>
      <c r="D86" s="29">
        <f t="shared" si="16"/>
        <v>13940</v>
      </c>
      <c r="E86" s="29">
        <f t="shared" si="16"/>
        <v>16440</v>
      </c>
      <c r="F86" s="29">
        <f t="shared" si="16"/>
        <v>18440</v>
      </c>
      <c r="G86" s="29">
        <f t="shared" si="16"/>
        <v>20440</v>
      </c>
      <c r="H86" s="29">
        <f t="shared" si="16"/>
        <v>22440</v>
      </c>
      <c r="I86" s="29">
        <f t="shared" si="16"/>
        <v>24440</v>
      </c>
      <c r="J86" s="29">
        <f t="shared" si="16"/>
        <v>26440</v>
      </c>
      <c r="K86" s="29">
        <f t="shared" si="16"/>
        <v>28440</v>
      </c>
      <c r="L86" s="29">
        <f t="shared" si="16"/>
        <v>30440</v>
      </c>
      <c r="M86" s="29">
        <f t="shared" si="16"/>
        <v>19940</v>
      </c>
    </row>
    <row r="87" spans="1:13" ht="15.75" thickBot="1" x14ac:dyDescent="0.25">
      <c r="A87" s="8" t="s">
        <v>7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>
        <v>12500</v>
      </c>
      <c r="M87" s="30"/>
    </row>
    <row r="88" spans="1:13" ht="15.75" thickBot="1" x14ac:dyDescent="0.25">
      <c r="A88" s="8" t="s">
        <v>111</v>
      </c>
      <c r="B88" s="35">
        <f t="shared" ref="B88:M88" si="17">B86-B87</f>
        <v>9940</v>
      </c>
      <c r="C88" s="36">
        <f t="shared" si="17"/>
        <v>11940</v>
      </c>
      <c r="D88" s="36">
        <f t="shared" si="17"/>
        <v>13940</v>
      </c>
      <c r="E88" s="36">
        <f t="shared" si="17"/>
        <v>16440</v>
      </c>
      <c r="F88" s="36">
        <f t="shared" si="17"/>
        <v>18440</v>
      </c>
      <c r="G88" s="36">
        <f t="shared" si="17"/>
        <v>20440</v>
      </c>
      <c r="H88" s="36">
        <f t="shared" si="17"/>
        <v>22440</v>
      </c>
      <c r="I88" s="36">
        <f t="shared" si="17"/>
        <v>24440</v>
      </c>
      <c r="J88" s="36">
        <f t="shared" si="17"/>
        <v>26440</v>
      </c>
      <c r="K88" s="36">
        <f t="shared" si="17"/>
        <v>28440</v>
      </c>
      <c r="L88" s="36">
        <f t="shared" si="17"/>
        <v>17940</v>
      </c>
      <c r="M88" s="37">
        <f t="shared" si="17"/>
        <v>19940</v>
      </c>
    </row>
    <row r="91" spans="1:13" ht="15.75" x14ac:dyDescent="0.25">
      <c r="A91" s="48" t="s">
        <v>197</v>
      </c>
    </row>
    <row r="92" spans="1:13" ht="15.75" x14ac:dyDescent="0.25">
      <c r="A92" s="32" t="s">
        <v>0</v>
      </c>
      <c r="B92" s="32" t="s">
        <v>1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ht="15.75" x14ac:dyDescent="0.25">
      <c r="A93" s="33"/>
      <c r="B93" s="34">
        <v>39814</v>
      </c>
      <c r="C93" s="34">
        <v>39845</v>
      </c>
      <c r="D93" s="34">
        <v>39873</v>
      </c>
      <c r="E93" s="34">
        <v>39904</v>
      </c>
      <c r="F93" s="34">
        <v>39934</v>
      </c>
      <c r="G93" s="34">
        <v>39965</v>
      </c>
      <c r="H93" s="34">
        <v>39995</v>
      </c>
      <c r="I93" s="34">
        <v>40026</v>
      </c>
      <c r="J93" s="34">
        <v>40057</v>
      </c>
      <c r="K93" s="34">
        <v>40087</v>
      </c>
      <c r="L93" s="34">
        <v>40118</v>
      </c>
      <c r="M93" s="34">
        <v>40148</v>
      </c>
    </row>
    <row r="94" spans="1:13" ht="15" x14ac:dyDescent="0.2">
      <c r="A94" s="8" t="s">
        <v>110</v>
      </c>
      <c r="B94" s="28">
        <v>8000</v>
      </c>
      <c r="C94" s="28">
        <f t="shared" ref="C94:M94" si="18">B105</f>
        <v>8200</v>
      </c>
      <c r="D94" s="28">
        <f t="shared" si="18"/>
        <v>8400</v>
      </c>
      <c r="E94" s="28">
        <f t="shared" si="18"/>
        <v>8600</v>
      </c>
      <c r="F94" s="28">
        <f t="shared" si="18"/>
        <v>8800</v>
      </c>
      <c r="G94" s="28">
        <f t="shared" si="18"/>
        <v>9000</v>
      </c>
      <c r="H94" s="28">
        <f t="shared" si="18"/>
        <v>9200</v>
      </c>
      <c r="I94" s="28">
        <f t="shared" si="18"/>
        <v>9400</v>
      </c>
      <c r="J94" s="28">
        <f t="shared" si="18"/>
        <v>9600</v>
      </c>
      <c r="K94" s="28">
        <f t="shared" si="18"/>
        <v>6880.7</v>
      </c>
      <c r="L94" s="28">
        <f t="shared" si="18"/>
        <v>7080.7</v>
      </c>
      <c r="M94" s="28">
        <f t="shared" si="18"/>
        <v>7280.7</v>
      </c>
    </row>
    <row r="95" spans="1:13" ht="15" x14ac:dyDescent="0.2">
      <c r="A95" s="8" t="s">
        <v>144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 spans="1:13" ht="15" x14ac:dyDescent="0.2">
      <c r="A96" s="8" t="s">
        <v>3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 spans="1:13" ht="15" x14ac:dyDescent="0.2">
      <c r="A97" s="8" t="s">
        <v>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 spans="1:13" ht="15" x14ac:dyDescent="0.2">
      <c r="A98" s="8" t="s">
        <v>9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ht="15" x14ac:dyDescent="0.2">
      <c r="A99" s="8" t="s">
        <v>149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ht="15" x14ac:dyDescent="0.2">
      <c r="A100" s="8" t="s">
        <v>74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 spans="1:13" ht="15" x14ac:dyDescent="0.2">
      <c r="A101" s="8" t="s">
        <v>75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</row>
    <row r="102" spans="1:13" ht="15" x14ac:dyDescent="0.2">
      <c r="A102" s="8" t="s">
        <v>5</v>
      </c>
      <c r="B102" s="28">
        <v>200</v>
      </c>
      <c r="C102" s="28">
        <v>200</v>
      </c>
      <c r="D102" s="28">
        <v>200</v>
      </c>
      <c r="E102" s="28">
        <v>200</v>
      </c>
      <c r="F102" s="28">
        <v>200</v>
      </c>
      <c r="G102" s="28">
        <v>200</v>
      </c>
      <c r="H102" s="28">
        <v>200</v>
      </c>
      <c r="I102" s="28">
        <v>200</v>
      </c>
      <c r="J102" s="28">
        <v>200</v>
      </c>
      <c r="K102" s="28">
        <v>200</v>
      </c>
      <c r="L102" s="28">
        <v>200</v>
      </c>
      <c r="M102" s="28">
        <v>200</v>
      </c>
    </row>
    <row r="103" spans="1:13" ht="15" x14ac:dyDescent="0.2">
      <c r="A103" s="8" t="s">
        <v>6</v>
      </c>
      <c r="B103" s="29">
        <f t="shared" ref="B103:M103" si="19">SUM(B94:B102)</f>
        <v>8200</v>
      </c>
      <c r="C103" s="29">
        <f t="shared" si="19"/>
        <v>8400</v>
      </c>
      <c r="D103" s="29">
        <f t="shared" si="19"/>
        <v>8600</v>
      </c>
      <c r="E103" s="29">
        <f t="shared" si="19"/>
        <v>8800</v>
      </c>
      <c r="F103" s="29">
        <f t="shared" si="19"/>
        <v>9000</v>
      </c>
      <c r="G103" s="29">
        <f t="shared" si="19"/>
        <v>9200</v>
      </c>
      <c r="H103" s="29">
        <f t="shared" si="19"/>
        <v>9400</v>
      </c>
      <c r="I103" s="29">
        <f t="shared" si="19"/>
        <v>9600</v>
      </c>
      <c r="J103" s="29">
        <f t="shared" si="19"/>
        <v>9800</v>
      </c>
      <c r="K103" s="29">
        <f t="shared" si="19"/>
        <v>7080.7</v>
      </c>
      <c r="L103" s="29">
        <f t="shared" si="19"/>
        <v>7280.7</v>
      </c>
      <c r="M103" s="29">
        <f t="shared" si="19"/>
        <v>7480.7</v>
      </c>
    </row>
    <row r="104" spans="1:13" ht="15.75" thickBot="1" x14ac:dyDescent="0.25">
      <c r="A104" s="8" t="s">
        <v>7</v>
      </c>
      <c r="B104" s="30"/>
      <c r="C104" s="30"/>
      <c r="D104" s="30"/>
      <c r="E104" s="30"/>
      <c r="F104" s="30"/>
      <c r="G104" s="30"/>
      <c r="H104" s="30"/>
      <c r="I104" s="30"/>
      <c r="J104" s="30">
        <v>2919.3</v>
      </c>
      <c r="K104" s="30"/>
      <c r="L104" s="30"/>
      <c r="M104" s="30"/>
    </row>
    <row r="105" spans="1:13" ht="15.75" thickBot="1" x14ac:dyDescent="0.25">
      <c r="A105" s="8" t="s">
        <v>111</v>
      </c>
      <c r="B105" s="35">
        <f t="shared" ref="B105:M105" si="20">B103-B104</f>
        <v>8200</v>
      </c>
      <c r="C105" s="36">
        <f t="shared" si="20"/>
        <v>8400</v>
      </c>
      <c r="D105" s="36">
        <f t="shared" si="20"/>
        <v>8600</v>
      </c>
      <c r="E105" s="36">
        <f t="shared" si="20"/>
        <v>8800</v>
      </c>
      <c r="F105" s="36">
        <f t="shared" si="20"/>
        <v>9000</v>
      </c>
      <c r="G105" s="36">
        <f t="shared" si="20"/>
        <v>9200</v>
      </c>
      <c r="H105" s="36">
        <f t="shared" si="20"/>
        <v>9400</v>
      </c>
      <c r="I105" s="36">
        <f t="shared" si="20"/>
        <v>9600</v>
      </c>
      <c r="J105" s="36">
        <f t="shared" si="20"/>
        <v>6880.7</v>
      </c>
      <c r="K105" s="36">
        <f t="shared" si="20"/>
        <v>7080.7</v>
      </c>
      <c r="L105" s="36">
        <f t="shared" si="20"/>
        <v>7280.7</v>
      </c>
      <c r="M105" s="37">
        <f t="shared" si="20"/>
        <v>7480.7</v>
      </c>
    </row>
    <row r="108" spans="1:13" ht="15" x14ac:dyDescent="0.2">
      <c r="A108" s="40" t="s">
        <v>198</v>
      </c>
    </row>
    <row r="114" spans="1:13" ht="20.25" x14ac:dyDescent="0.3">
      <c r="A114" s="2" t="s">
        <v>196</v>
      </c>
    </row>
    <row r="115" spans="1:13" ht="15.75" x14ac:dyDescent="0.25">
      <c r="A115" s="32" t="s">
        <v>0</v>
      </c>
      <c r="B115" s="32" t="s">
        <v>1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 spans="1:13" ht="15.75" x14ac:dyDescent="0.25">
      <c r="A116" s="33"/>
      <c r="B116" s="34">
        <v>40179</v>
      </c>
      <c r="C116" s="34">
        <v>40210</v>
      </c>
      <c r="D116" s="34">
        <v>40238</v>
      </c>
      <c r="E116" s="34">
        <v>40269</v>
      </c>
      <c r="F116" s="34">
        <v>40299</v>
      </c>
      <c r="G116" s="34">
        <v>40330</v>
      </c>
      <c r="H116" s="34">
        <v>40360</v>
      </c>
      <c r="I116" s="34">
        <v>40391</v>
      </c>
      <c r="J116" s="34">
        <v>40422</v>
      </c>
      <c r="K116" s="34">
        <v>40452</v>
      </c>
      <c r="L116" s="34">
        <v>40483</v>
      </c>
      <c r="M116" s="34">
        <v>40513</v>
      </c>
    </row>
    <row r="117" spans="1:13" ht="15" x14ac:dyDescent="0.2">
      <c r="A117" s="8" t="s">
        <v>110</v>
      </c>
      <c r="B117" s="28">
        <v>19940</v>
      </c>
      <c r="C117" s="28">
        <f t="shared" ref="C117:M117" si="21">B128</f>
        <v>20940</v>
      </c>
      <c r="D117" s="28">
        <f t="shared" si="21"/>
        <v>21940</v>
      </c>
      <c r="E117" s="28">
        <f t="shared" si="21"/>
        <v>22940</v>
      </c>
      <c r="F117" s="28">
        <f t="shared" si="21"/>
        <v>23940</v>
      </c>
      <c r="G117" s="28">
        <f t="shared" si="21"/>
        <v>24940</v>
      </c>
      <c r="H117" s="28">
        <f t="shared" si="21"/>
        <v>24940</v>
      </c>
      <c r="I117" s="28">
        <f t="shared" si="21"/>
        <v>24940</v>
      </c>
      <c r="J117" s="28">
        <f t="shared" si="21"/>
        <v>24940</v>
      </c>
      <c r="K117" s="28">
        <f t="shared" si="21"/>
        <v>24940</v>
      </c>
      <c r="L117" s="28">
        <f t="shared" si="21"/>
        <v>24940</v>
      </c>
      <c r="M117" s="28">
        <f t="shared" si="21"/>
        <v>12440</v>
      </c>
    </row>
    <row r="118" spans="1:13" ht="15" x14ac:dyDescent="0.2">
      <c r="A118" s="8" t="s">
        <v>144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spans="1:13" ht="15" x14ac:dyDescent="0.2">
      <c r="A119" s="8" t="s">
        <v>3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spans="1:13" ht="15" x14ac:dyDescent="0.2">
      <c r="A120" s="8" t="s">
        <v>4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spans="1:13" ht="15" x14ac:dyDescent="0.2">
      <c r="A121" s="8" t="s">
        <v>9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spans="1:13" ht="15" x14ac:dyDescent="0.2">
      <c r="A122" s="8" t="s">
        <v>149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spans="1:13" ht="15" x14ac:dyDescent="0.2">
      <c r="A123" s="8" t="s">
        <v>74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spans="1:13" ht="15" x14ac:dyDescent="0.2">
      <c r="A124" s="8" t="s">
        <v>162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spans="1:13" ht="15" x14ac:dyDescent="0.2">
      <c r="A125" s="8" t="s">
        <v>5</v>
      </c>
      <c r="B125" s="28">
        <v>1000</v>
      </c>
      <c r="C125" s="28">
        <v>1000</v>
      </c>
      <c r="D125" s="28">
        <v>1000</v>
      </c>
      <c r="E125" s="28">
        <v>1000</v>
      </c>
      <c r="F125" s="28">
        <v>1000</v>
      </c>
      <c r="G125" s="28"/>
      <c r="H125" s="28"/>
      <c r="I125" s="28"/>
      <c r="J125" s="28"/>
      <c r="K125" s="28"/>
      <c r="L125" s="28"/>
      <c r="M125" s="28"/>
    </row>
    <row r="126" spans="1:13" ht="15" x14ac:dyDescent="0.2">
      <c r="A126" s="8" t="s">
        <v>6</v>
      </c>
      <c r="B126" s="29">
        <f t="shared" ref="B126:M126" si="22">SUM(B117:B125)</f>
        <v>20940</v>
      </c>
      <c r="C126" s="29">
        <f t="shared" si="22"/>
        <v>21940</v>
      </c>
      <c r="D126" s="29">
        <f t="shared" si="22"/>
        <v>22940</v>
      </c>
      <c r="E126" s="29">
        <f t="shared" si="22"/>
        <v>23940</v>
      </c>
      <c r="F126" s="29">
        <f t="shared" si="22"/>
        <v>24940</v>
      </c>
      <c r="G126" s="29">
        <f t="shared" si="22"/>
        <v>24940</v>
      </c>
      <c r="H126" s="29">
        <f t="shared" si="22"/>
        <v>24940</v>
      </c>
      <c r="I126" s="29">
        <f t="shared" si="22"/>
        <v>24940</v>
      </c>
      <c r="J126" s="29">
        <f t="shared" si="22"/>
        <v>24940</v>
      </c>
      <c r="K126" s="29">
        <f t="shared" si="22"/>
        <v>24940</v>
      </c>
      <c r="L126" s="29">
        <f t="shared" si="22"/>
        <v>24940</v>
      </c>
      <c r="M126" s="29">
        <f t="shared" si="22"/>
        <v>12440</v>
      </c>
    </row>
    <row r="127" spans="1:13" ht="15.75" thickBot="1" x14ac:dyDescent="0.25">
      <c r="A127" s="8" t="s">
        <v>7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>
        <v>12500</v>
      </c>
      <c r="M127" s="30"/>
    </row>
    <row r="128" spans="1:13" ht="15.75" thickBot="1" x14ac:dyDescent="0.25">
      <c r="A128" s="8" t="s">
        <v>111</v>
      </c>
      <c r="B128" s="35">
        <f t="shared" ref="B128:M128" si="23">B126-B127</f>
        <v>20940</v>
      </c>
      <c r="C128" s="36">
        <f t="shared" si="23"/>
        <v>21940</v>
      </c>
      <c r="D128" s="36">
        <f t="shared" si="23"/>
        <v>22940</v>
      </c>
      <c r="E128" s="36">
        <f t="shared" si="23"/>
        <v>23940</v>
      </c>
      <c r="F128" s="36">
        <f t="shared" si="23"/>
        <v>24940</v>
      </c>
      <c r="G128" s="36">
        <f t="shared" si="23"/>
        <v>24940</v>
      </c>
      <c r="H128" s="36">
        <f t="shared" si="23"/>
        <v>24940</v>
      </c>
      <c r="I128" s="36">
        <f t="shared" si="23"/>
        <v>24940</v>
      </c>
      <c r="J128" s="36">
        <f t="shared" si="23"/>
        <v>24940</v>
      </c>
      <c r="K128" s="36">
        <f t="shared" si="23"/>
        <v>24940</v>
      </c>
      <c r="L128" s="36">
        <f t="shared" si="23"/>
        <v>12440</v>
      </c>
      <c r="M128" s="37">
        <f t="shared" si="23"/>
        <v>12440</v>
      </c>
    </row>
    <row r="135" spans="1:13" ht="15.75" x14ac:dyDescent="0.25">
      <c r="A135" s="32" t="s">
        <v>0</v>
      </c>
      <c r="B135" s="32" t="s">
        <v>1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1:13" ht="15.75" x14ac:dyDescent="0.25">
      <c r="A136" s="33"/>
      <c r="B136" s="34">
        <v>40179</v>
      </c>
      <c r="C136" s="34">
        <v>40210</v>
      </c>
      <c r="D136" s="34">
        <v>40238</v>
      </c>
      <c r="E136" s="34">
        <v>40269</v>
      </c>
      <c r="F136" s="34">
        <v>40299</v>
      </c>
      <c r="G136" s="34">
        <v>40330</v>
      </c>
      <c r="H136" s="34">
        <v>40360</v>
      </c>
      <c r="I136" s="34">
        <v>40391</v>
      </c>
      <c r="J136" s="34">
        <v>40422</v>
      </c>
      <c r="K136" s="34">
        <v>40452</v>
      </c>
      <c r="L136" s="34">
        <v>40483</v>
      </c>
      <c r="M136" s="34">
        <v>40513</v>
      </c>
    </row>
    <row r="137" spans="1:13" ht="15" x14ac:dyDescent="0.2">
      <c r="A137" s="8" t="s">
        <v>110</v>
      </c>
      <c r="B137" s="28">
        <v>7480</v>
      </c>
      <c r="C137" s="28">
        <f t="shared" ref="C137:M137" si="24">B148</f>
        <v>7880</v>
      </c>
      <c r="D137" s="28">
        <f t="shared" si="24"/>
        <v>8280</v>
      </c>
      <c r="E137" s="28">
        <f t="shared" si="24"/>
        <v>8680</v>
      </c>
      <c r="F137" s="28">
        <f t="shared" si="24"/>
        <v>9080</v>
      </c>
      <c r="G137" s="28">
        <f t="shared" si="24"/>
        <v>9480</v>
      </c>
      <c r="H137" s="28">
        <f t="shared" si="24"/>
        <v>9880</v>
      </c>
      <c r="I137" s="28">
        <f t="shared" si="24"/>
        <v>9880</v>
      </c>
      <c r="J137" s="28">
        <f t="shared" si="24"/>
        <v>9880</v>
      </c>
      <c r="K137" s="28">
        <f t="shared" si="24"/>
        <v>6960.7</v>
      </c>
      <c r="L137" s="28">
        <f t="shared" si="24"/>
        <v>6960.7</v>
      </c>
      <c r="M137" s="28">
        <f t="shared" si="24"/>
        <v>6960.7</v>
      </c>
    </row>
    <row r="138" spans="1:13" ht="15" x14ac:dyDescent="0.2">
      <c r="A138" s="8" t="s">
        <v>144</v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ht="15" x14ac:dyDescent="0.2">
      <c r="A139" s="8" t="s">
        <v>3</v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ht="15" x14ac:dyDescent="0.2">
      <c r="A140" s="8" t="s">
        <v>4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ht="15" x14ac:dyDescent="0.2">
      <c r="A141" s="8" t="s">
        <v>9</v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5" x14ac:dyDescent="0.2">
      <c r="A142" s="8" t="s">
        <v>149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</row>
    <row r="143" spans="1:13" ht="15" x14ac:dyDescent="0.2">
      <c r="A143" s="8" t="s">
        <v>74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</row>
    <row r="144" spans="1:13" ht="15" x14ac:dyDescent="0.2">
      <c r="A144" s="8" t="s">
        <v>75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 spans="1:13" ht="15" x14ac:dyDescent="0.2">
      <c r="A145" s="8" t="s">
        <v>5</v>
      </c>
      <c r="B145" s="28">
        <v>400</v>
      </c>
      <c r="C145" s="28">
        <v>400</v>
      </c>
      <c r="D145" s="28">
        <v>400</v>
      </c>
      <c r="E145" s="28">
        <v>400</v>
      </c>
      <c r="F145" s="28">
        <v>400</v>
      </c>
      <c r="G145" s="28">
        <v>400</v>
      </c>
      <c r="H145" s="28"/>
      <c r="I145" s="28"/>
      <c r="J145" s="28"/>
      <c r="K145" s="28"/>
      <c r="L145" s="28"/>
      <c r="M145" s="28"/>
    </row>
    <row r="146" spans="1:13" ht="15" x14ac:dyDescent="0.2">
      <c r="A146" s="8" t="s">
        <v>6</v>
      </c>
      <c r="B146" s="29">
        <f t="shared" ref="B146:M146" si="25">SUM(B137:B145)</f>
        <v>7880</v>
      </c>
      <c r="C146" s="29">
        <f t="shared" si="25"/>
        <v>8280</v>
      </c>
      <c r="D146" s="29">
        <f t="shared" si="25"/>
        <v>8680</v>
      </c>
      <c r="E146" s="29">
        <f t="shared" si="25"/>
        <v>9080</v>
      </c>
      <c r="F146" s="29">
        <f t="shared" si="25"/>
        <v>9480</v>
      </c>
      <c r="G146" s="29">
        <f t="shared" si="25"/>
        <v>9880</v>
      </c>
      <c r="H146" s="29">
        <f t="shared" si="25"/>
        <v>9880</v>
      </c>
      <c r="I146" s="29">
        <f t="shared" si="25"/>
        <v>9880</v>
      </c>
      <c r="J146" s="29">
        <f t="shared" si="25"/>
        <v>9880</v>
      </c>
      <c r="K146" s="29">
        <f t="shared" si="25"/>
        <v>6960.7</v>
      </c>
      <c r="L146" s="29">
        <f t="shared" si="25"/>
        <v>6960.7</v>
      </c>
      <c r="M146" s="29">
        <f t="shared" si="25"/>
        <v>6960.7</v>
      </c>
    </row>
    <row r="147" spans="1:13" ht="15.75" thickBot="1" x14ac:dyDescent="0.25">
      <c r="A147" s="8" t="s">
        <v>7</v>
      </c>
      <c r="B147" s="30"/>
      <c r="C147" s="30"/>
      <c r="D147" s="30"/>
      <c r="E147" s="30"/>
      <c r="F147" s="30"/>
      <c r="G147" s="30"/>
      <c r="H147" s="30"/>
      <c r="I147" s="30"/>
      <c r="J147" s="30">
        <v>2919.3</v>
      </c>
      <c r="K147" s="30"/>
      <c r="L147" s="30"/>
      <c r="M147" s="30"/>
    </row>
    <row r="148" spans="1:13" ht="15.75" thickBot="1" x14ac:dyDescent="0.25">
      <c r="A148" s="8" t="s">
        <v>111</v>
      </c>
      <c r="B148" s="35">
        <f t="shared" ref="B148:M148" si="26">B146-B147</f>
        <v>7880</v>
      </c>
      <c r="C148" s="36">
        <f t="shared" si="26"/>
        <v>8280</v>
      </c>
      <c r="D148" s="36">
        <f t="shared" si="26"/>
        <v>8680</v>
      </c>
      <c r="E148" s="36">
        <f t="shared" si="26"/>
        <v>9080</v>
      </c>
      <c r="F148" s="36">
        <f t="shared" si="26"/>
        <v>9480</v>
      </c>
      <c r="G148" s="36">
        <f t="shared" si="26"/>
        <v>9880</v>
      </c>
      <c r="H148" s="36">
        <f t="shared" si="26"/>
        <v>9880</v>
      </c>
      <c r="I148" s="36">
        <f t="shared" si="26"/>
        <v>9880</v>
      </c>
      <c r="J148" s="36">
        <f t="shared" si="26"/>
        <v>6960.7</v>
      </c>
      <c r="K148" s="36">
        <f t="shared" si="26"/>
        <v>6960.7</v>
      </c>
      <c r="L148" s="36">
        <f t="shared" si="26"/>
        <v>6960.7</v>
      </c>
      <c r="M148" s="37">
        <f t="shared" si="26"/>
        <v>6960.7</v>
      </c>
    </row>
  </sheetData>
  <phoneticPr fontId="4" type="noConversion"/>
  <hyperlinks>
    <hyperlink ref="A1" location="Clientes!A1" display="Volver"/>
  </hyperlinks>
  <pageMargins left="0.75" right="0.75" top="1" bottom="1" header="0" footer="0"/>
  <pageSetup paperSize="9" orientation="portrait" horizontalDpi="4294967293" verticalDpi="360" r:id="rId1"/>
  <headerFooter alignWithMargins="0"/>
  <ignoredErrors>
    <ignoredError sqref="B15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0"/>
  <dimension ref="A1:M33"/>
  <sheetViews>
    <sheetView topLeftCell="A20" workbookViewId="0">
      <selection activeCell="F31" sqref="F31"/>
    </sheetView>
  </sheetViews>
  <sheetFormatPr baseColWidth="10" defaultRowHeight="20.25" x14ac:dyDescent="0.3"/>
  <cols>
    <col min="1" max="1" width="34" style="2" customWidth="1"/>
    <col min="2" max="4" width="11.28515625" style="2" bestFit="1" customWidth="1"/>
    <col min="5" max="5" width="11.7109375" style="2" customWidth="1"/>
    <col min="6" max="6" width="11.42578125" style="2"/>
    <col min="7" max="7" width="11.28515625" style="2" bestFit="1" customWidth="1"/>
    <col min="8" max="8" width="11.5703125" style="2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26</v>
      </c>
      <c r="C2" s="216"/>
      <c r="D2" s="216"/>
      <c r="E2" s="216"/>
      <c r="F2" s="216"/>
      <c r="G2" s="216"/>
    </row>
    <row r="4" spans="1:13" x14ac:dyDescent="0.3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3">
      <c r="A6" s="78" t="s">
        <v>110</v>
      </c>
      <c r="B6" s="42"/>
      <c r="C6" s="42">
        <f>B17</f>
        <v>74600</v>
      </c>
      <c r="D6" s="42">
        <f t="shared" ref="D6:M6" si="0">C17</f>
        <v>0</v>
      </c>
      <c r="E6" s="42">
        <f t="shared" si="0"/>
        <v>74600</v>
      </c>
      <c r="F6" s="42">
        <f t="shared" si="0"/>
        <v>149200</v>
      </c>
      <c r="G6" s="42">
        <f t="shared" si="0"/>
        <v>0</v>
      </c>
      <c r="H6" s="42">
        <f t="shared" si="0"/>
        <v>0</v>
      </c>
      <c r="I6" s="42">
        <f t="shared" si="0"/>
        <v>80900</v>
      </c>
      <c r="J6" s="42">
        <f t="shared" si="0"/>
        <v>166800</v>
      </c>
      <c r="K6" s="42">
        <f>J17</f>
        <v>252700</v>
      </c>
      <c r="L6" s="42">
        <f t="shared" si="0"/>
        <v>338600</v>
      </c>
      <c r="M6" s="42">
        <f t="shared" si="0"/>
        <v>424500</v>
      </c>
    </row>
    <row r="7" spans="1:13" x14ac:dyDescent="0.3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3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4</v>
      </c>
      <c r="B9" s="42">
        <v>22300</v>
      </c>
      <c r="C9" s="42">
        <v>22300</v>
      </c>
      <c r="D9" s="42">
        <v>22300</v>
      </c>
      <c r="E9" s="42">
        <v>22300</v>
      </c>
      <c r="F9" s="42">
        <v>22300</v>
      </c>
      <c r="G9" s="42">
        <v>22300</v>
      </c>
      <c r="H9" s="42">
        <v>25450</v>
      </c>
      <c r="I9" s="42">
        <v>25450</v>
      </c>
      <c r="J9" s="42">
        <v>25450</v>
      </c>
      <c r="K9" s="42">
        <v>25450</v>
      </c>
      <c r="L9" s="42">
        <v>25450</v>
      </c>
      <c r="M9" s="42">
        <v>28000</v>
      </c>
    </row>
    <row r="10" spans="1:13" x14ac:dyDescent="0.3">
      <c r="A10" s="78" t="s">
        <v>363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415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4</v>
      </c>
      <c r="B12" s="42">
        <v>22300</v>
      </c>
      <c r="C12" s="42">
        <v>22300</v>
      </c>
      <c r="D12" s="42">
        <v>22300</v>
      </c>
      <c r="E12" s="42">
        <v>22300</v>
      </c>
      <c r="F12" s="42">
        <v>22300</v>
      </c>
      <c r="G12" s="42">
        <v>22300</v>
      </c>
      <c r="H12" s="42">
        <v>25450</v>
      </c>
      <c r="I12" s="42">
        <v>25450</v>
      </c>
      <c r="J12" s="42">
        <v>25450</v>
      </c>
      <c r="K12" s="42">
        <v>25450</v>
      </c>
      <c r="L12" s="42">
        <v>25450</v>
      </c>
      <c r="M12" s="42">
        <v>28000</v>
      </c>
    </row>
    <row r="13" spans="1:13" x14ac:dyDescent="0.3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5</v>
      </c>
      <c r="B14" s="42">
        <v>30000</v>
      </c>
      <c r="C14" s="42">
        <v>30000</v>
      </c>
      <c r="D14" s="42">
        <v>30000</v>
      </c>
      <c r="E14" s="42">
        <v>30000</v>
      </c>
      <c r="F14" s="42">
        <v>30000</v>
      </c>
      <c r="G14" s="42">
        <v>30000</v>
      </c>
      <c r="H14" s="42">
        <v>30000</v>
      </c>
      <c r="I14" s="42">
        <v>35000</v>
      </c>
      <c r="J14" s="42">
        <v>35000</v>
      </c>
      <c r="K14" s="42">
        <v>35000</v>
      </c>
      <c r="L14" s="42">
        <v>35000</v>
      </c>
      <c r="M14" s="42">
        <v>35000</v>
      </c>
    </row>
    <row r="15" spans="1:13" x14ac:dyDescent="0.3">
      <c r="A15" s="78" t="s">
        <v>6</v>
      </c>
      <c r="B15" s="43">
        <f>SUM(B6:B14)</f>
        <v>74600</v>
      </c>
      <c r="C15" s="43">
        <f t="shared" ref="C15:M15" si="1">SUM(C6:C14)</f>
        <v>149200</v>
      </c>
      <c r="D15" s="43">
        <f t="shared" si="1"/>
        <v>74600</v>
      </c>
      <c r="E15" s="43">
        <f t="shared" si="1"/>
        <v>149200</v>
      </c>
      <c r="F15" s="43">
        <f t="shared" si="1"/>
        <v>223800</v>
      </c>
      <c r="G15" s="43">
        <f t="shared" si="1"/>
        <v>74600</v>
      </c>
      <c r="H15" s="43">
        <f t="shared" si="1"/>
        <v>80900</v>
      </c>
      <c r="I15" s="43">
        <f t="shared" si="1"/>
        <v>166800</v>
      </c>
      <c r="J15" s="43">
        <f t="shared" si="1"/>
        <v>252700</v>
      </c>
      <c r="K15" s="43">
        <f t="shared" si="1"/>
        <v>338600</v>
      </c>
      <c r="L15" s="43">
        <f t="shared" si="1"/>
        <v>424500</v>
      </c>
      <c r="M15" s="43">
        <f t="shared" si="1"/>
        <v>515500</v>
      </c>
    </row>
    <row r="16" spans="1:13" x14ac:dyDescent="0.3">
      <c r="A16" s="78" t="s">
        <v>7</v>
      </c>
      <c r="B16" s="44"/>
      <c r="C16" s="44">
        <v>149200</v>
      </c>
      <c r="D16" s="44"/>
      <c r="E16" s="44"/>
      <c r="F16" s="44">
        <v>223800</v>
      </c>
      <c r="G16" s="44">
        <v>74600</v>
      </c>
      <c r="H16" s="44"/>
      <c r="I16" s="44"/>
      <c r="J16" s="44"/>
      <c r="K16" s="44"/>
      <c r="L16" s="44"/>
      <c r="M16" s="44">
        <v>515500</v>
      </c>
    </row>
    <row r="17" spans="1:13" x14ac:dyDescent="0.3">
      <c r="A17" s="78" t="s">
        <v>111</v>
      </c>
      <c r="B17" s="43">
        <f>B15-B16</f>
        <v>74600</v>
      </c>
      <c r="C17" s="43">
        <f>C15-C16</f>
        <v>0</v>
      </c>
      <c r="D17" s="43">
        <f>D15-D16</f>
        <v>74600</v>
      </c>
      <c r="E17" s="43">
        <f t="shared" ref="E17:M17" si="2">E15-E16</f>
        <v>149200</v>
      </c>
      <c r="F17" s="43">
        <f t="shared" si="2"/>
        <v>0</v>
      </c>
      <c r="G17" s="43">
        <f t="shared" si="2"/>
        <v>0</v>
      </c>
      <c r="H17" s="43">
        <f t="shared" si="2"/>
        <v>80900</v>
      </c>
      <c r="I17" s="43">
        <f t="shared" si="2"/>
        <v>166800</v>
      </c>
      <c r="J17" s="43">
        <f t="shared" si="2"/>
        <v>252700</v>
      </c>
      <c r="K17" s="43">
        <f t="shared" si="2"/>
        <v>338600</v>
      </c>
      <c r="L17" s="43">
        <f t="shared" si="2"/>
        <v>424500</v>
      </c>
      <c r="M17" s="43">
        <f t="shared" si="2"/>
        <v>0</v>
      </c>
    </row>
    <row r="18" spans="1:13" x14ac:dyDescent="0.3">
      <c r="A18" s="78"/>
      <c r="B18" s="78"/>
      <c r="C18" s="78"/>
      <c r="D18" s="78"/>
      <c r="E18" s="78"/>
      <c r="F18" s="149">
        <v>45076</v>
      </c>
      <c r="G18" s="78"/>
      <c r="H18" s="78"/>
      <c r="I18" s="78"/>
      <c r="J18" s="78"/>
      <c r="K18" s="78"/>
      <c r="L18" s="78"/>
      <c r="M18" s="78"/>
    </row>
    <row r="19" spans="1:13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3">
      <c r="A20" s="80" t="s">
        <v>0</v>
      </c>
      <c r="B20" s="80" t="s">
        <v>1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x14ac:dyDescent="0.3">
      <c r="A21" s="81"/>
      <c r="B21" s="82">
        <v>46023</v>
      </c>
      <c r="C21" s="82">
        <v>46054</v>
      </c>
      <c r="D21" s="82">
        <v>46082</v>
      </c>
      <c r="E21" s="82">
        <v>46113</v>
      </c>
      <c r="F21" s="82">
        <v>46143</v>
      </c>
      <c r="G21" s="82">
        <v>46174</v>
      </c>
      <c r="H21" s="82">
        <v>46204</v>
      </c>
      <c r="I21" s="82">
        <v>46235</v>
      </c>
      <c r="J21" s="82">
        <v>46266</v>
      </c>
      <c r="K21" s="82">
        <v>46296</v>
      </c>
      <c r="L21" s="82">
        <v>46327</v>
      </c>
      <c r="M21" s="82">
        <v>46357</v>
      </c>
    </row>
    <row r="22" spans="1:13" x14ac:dyDescent="0.3">
      <c r="A22" s="78" t="s">
        <v>335</v>
      </c>
      <c r="B22" s="42"/>
      <c r="C22" s="42">
        <f t="shared" ref="C22:M22" si="3">B33</f>
        <v>99200</v>
      </c>
      <c r="D22" s="42">
        <f t="shared" si="3"/>
        <v>198400</v>
      </c>
      <c r="E22" s="42">
        <f t="shared" si="3"/>
        <v>297600</v>
      </c>
      <c r="F22" s="42">
        <f t="shared" si="3"/>
        <v>396800</v>
      </c>
      <c r="G22" s="42">
        <f t="shared" si="3"/>
        <v>496000</v>
      </c>
      <c r="H22" s="42">
        <f t="shared" si="3"/>
        <v>496000</v>
      </c>
      <c r="I22" s="42">
        <f t="shared" si="3"/>
        <v>496000</v>
      </c>
      <c r="J22" s="42">
        <f t="shared" si="3"/>
        <v>496000</v>
      </c>
      <c r="K22" s="42">
        <f t="shared" si="3"/>
        <v>496000</v>
      </c>
      <c r="L22" s="42">
        <f t="shared" si="3"/>
        <v>496000</v>
      </c>
      <c r="M22" s="42">
        <f t="shared" si="3"/>
        <v>496000</v>
      </c>
    </row>
    <row r="23" spans="1:13" x14ac:dyDescent="0.3">
      <c r="A23" s="7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4</v>
      </c>
      <c r="B25" s="42">
        <v>29600</v>
      </c>
      <c r="C25" s="42">
        <v>29600</v>
      </c>
      <c r="D25" s="42">
        <v>29600</v>
      </c>
      <c r="E25" s="42">
        <v>29600</v>
      </c>
      <c r="F25" s="42">
        <v>29600</v>
      </c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4</v>
      </c>
      <c r="B28" s="42">
        <v>29600</v>
      </c>
      <c r="C28" s="42">
        <v>29600</v>
      </c>
      <c r="D28" s="42">
        <v>29600</v>
      </c>
      <c r="E28" s="42">
        <v>29600</v>
      </c>
      <c r="F28" s="42">
        <v>29600</v>
      </c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</v>
      </c>
      <c r="B30" s="42">
        <v>40000</v>
      </c>
      <c r="C30" s="42">
        <v>40000</v>
      </c>
      <c r="D30" s="42">
        <v>40000</v>
      </c>
      <c r="E30" s="42">
        <v>40000</v>
      </c>
      <c r="F30" s="42">
        <v>40000</v>
      </c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6</v>
      </c>
      <c r="B31" s="43">
        <f t="shared" ref="B31:M31" si="4">SUM(B22:B30)</f>
        <v>99200</v>
      </c>
      <c r="C31" s="43">
        <f t="shared" si="4"/>
        <v>198400</v>
      </c>
      <c r="D31" s="43">
        <f t="shared" si="4"/>
        <v>297600</v>
      </c>
      <c r="E31" s="43">
        <f t="shared" si="4"/>
        <v>396800</v>
      </c>
      <c r="F31" s="43">
        <f t="shared" si="4"/>
        <v>496000</v>
      </c>
      <c r="G31" s="43">
        <f t="shared" si="4"/>
        <v>496000</v>
      </c>
      <c r="H31" s="43">
        <f t="shared" si="4"/>
        <v>496000</v>
      </c>
      <c r="I31" s="43">
        <f t="shared" si="4"/>
        <v>496000</v>
      </c>
      <c r="J31" s="43">
        <f t="shared" si="4"/>
        <v>496000</v>
      </c>
      <c r="K31" s="43">
        <f t="shared" si="4"/>
        <v>496000</v>
      </c>
      <c r="L31" s="43">
        <f t="shared" si="4"/>
        <v>496000</v>
      </c>
      <c r="M31" s="43">
        <f t="shared" si="4"/>
        <v>496000</v>
      </c>
    </row>
    <row r="32" spans="1:13" ht="21" thickBot="1" x14ac:dyDescent="0.35">
      <c r="A32" s="78" t="s">
        <v>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spans="1:13" ht="21" thickBot="1" x14ac:dyDescent="0.35">
      <c r="A33" s="78" t="s">
        <v>111</v>
      </c>
      <c r="B33" s="45">
        <f t="shared" ref="B33:M33" si="5">B31-B32</f>
        <v>99200</v>
      </c>
      <c r="C33" s="46">
        <f t="shared" si="5"/>
        <v>198400</v>
      </c>
      <c r="D33" s="46">
        <f t="shared" si="5"/>
        <v>297600</v>
      </c>
      <c r="E33" s="46">
        <f t="shared" si="5"/>
        <v>396800</v>
      </c>
      <c r="F33" s="46">
        <f t="shared" si="5"/>
        <v>496000</v>
      </c>
      <c r="G33" s="46">
        <f t="shared" si="5"/>
        <v>496000</v>
      </c>
      <c r="H33" s="46">
        <f t="shared" si="5"/>
        <v>496000</v>
      </c>
      <c r="I33" s="46">
        <f t="shared" si="5"/>
        <v>496000</v>
      </c>
      <c r="J33" s="46">
        <f t="shared" si="5"/>
        <v>496000</v>
      </c>
      <c r="K33" s="46">
        <f t="shared" si="5"/>
        <v>496000</v>
      </c>
      <c r="L33" s="46">
        <f t="shared" si="5"/>
        <v>496000</v>
      </c>
      <c r="M33" s="47">
        <f t="shared" si="5"/>
        <v>496000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1"/>
  <dimension ref="B2:N50"/>
  <sheetViews>
    <sheetView topLeftCell="A37" workbookViewId="0">
      <selection activeCell="N50" sqref="N50"/>
    </sheetView>
  </sheetViews>
  <sheetFormatPr baseColWidth="10" defaultRowHeight="12.75" x14ac:dyDescent="0.2"/>
  <cols>
    <col min="1" max="1" width="3.42578125" customWidth="1"/>
    <col min="2" max="2" width="28.5703125" customWidth="1"/>
  </cols>
  <sheetData>
    <row r="2" spans="2:14" x14ac:dyDescent="0.2">
      <c r="B2" t="s">
        <v>378</v>
      </c>
    </row>
    <row r="3" spans="2:14" ht="20.25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">
      <c r="B4" s="50" t="s">
        <v>0</v>
      </c>
      <c r="C4" s="50" t="s">
        <v>1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</row>
    <row r="5" spans="2:14" x14ac:dyDescent="0.2">
      <c r="B5" s="78"/>
      <c r="C5" s="79">
        <v>43466</v>
      </c>
      <c r="D5" s="79">
        <v>43132</v>
      </c>
      <c r="E5" s="79">
        <v>43160</v>
      </c>
      <c r="F5" s="79">
        <v>43191</v>
      </c>
      <c r="G5" s="79">
        <v>43221</v>
      </c>
      <c r="H5" s="79">
        <v>43252</v>
      </c>
      <c r="I5" s="79">
        <v>43282</v>
      </c>
      <c r="J5" s="79">
        <v>43313</v>
      </c>
      <c r="K5" s="79">
        <v>43344</v>
      </c>
      <c r="L5" s="79">
        <v>43374</v>
      </c>
      <c r="M5" s="79">
        <v>43405</v>
      </c>
      <c r="N5" s="79">
        <v>43435</v>
      </c>
    </row>
    <row r="6" spans="2:14" x14ac:dyDescent="0.2">
      <c r="B6" s="78" t="s">
        <v>110</v>
      </c>
      <c r="C6" s="42">
        <v>12000</v>
      </c>
      <c r="D6" s="42">
        <f t="shared" ref="D6:N6" si="0">C17</f>
        <v>4000</v>
      </c>
      <c r="E6" s="42">
        <f t="shared" si="0"/>
        <v>6000</v>
      </c>
      <c r="F6" s="42">
        <f t="shared" si="0"/>
        <v>8000</v>
      </c>
      <c r="G6" s="42">
        <f t="shared" si="0"/>
        <v>10000</v>
      </c>
      <c r="H6" s="42">
        <f t="shared" si="0"/>
        <v>7000</v>
      </c>
      <c r="I6" s="42">
        <f t="shared" si="0"/>
        <v>9000</v>
      </c>
      <c r="J6" s="42">
        <f t="shared" si="0"/>
        <v>11000</v>
      </c>
      <c r="K6" s="42">
        <f t="shared" si="0"/>
        <v>13000</v>
      </c>
      <c r="L6" s="42">
        <f t="shared" si="0"/>
        <v>15000</v>
      </c>
      <c r="M6" s="42">
        <f t="shared" si="0"/>
        <v>17000</v>
      </c>
      <c r="N6" s="42">
        <f t="shared" si="0"/>
        <v>19000</v>
      </c>
    </row>
    <row r="7" spans="2:14" x14ac:dyDescent="0.2">
      <c r="B7" s="78" t="s">
        <v>76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">
      <c r="B8" s="78" t="s">
        <v>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">
      <c r="B9" s="78" t="s">
        <v>4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9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">
      <c r="B11" s="78" t="s">
        <v>73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74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75</v>
      </c>
      <c r="C13" s="85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4" x14ac:dyDescent="0.2">
      <c r="B14" s="78" t="s">
        <v>5</v>
      </c>
      <c r="C14" s="42">
        <v>2000</v>
      </c>
      <c r="D14" s="42">
        <v>2000</v>
      </c>
      <c r="E14" s="42">
        <v>2000</v>
      </c>
      <c r="F14" s="42">
        <v>2000</v>
      </c>
      <c r="G14" s="42">
        <v>2000</v>
      </c>
      <c r="H14" s="42">
        <v>2000</v>
      </c>
      <c r="I14" s="42">
        <v>2000</v>
      </c>
      <c r="J14" s="42">
        <v>2000</v>
      </c>
      <c r="K14" s="42">
        <v>2000</v>
      </c>
      <c r="L14" s="42">
        <v>2000</v>
      </c>
      <c r="M14" s="42">
        <v>2000</v>
      </c>
      <c r="N14" s="42">
        <v>2000</v>
      </c>
    </row>
    <row r="15" spans="2:14" x14ac:dyDescent="0.2">
      <c r="B15" s="78" t="s">
        <v>6</v>
      </c>
      <c r="C15" s="43">
        <f t="shared" ref="C15:N15" si="1">SUM(C6:C14)</f>
        <v>14000</v>
      </c>
      <c r="D15" s="43">
        <f t="shared" si="1"/>
        <v>6000</v>
      </c>
      <c r="E15" s="43">
        <f t="shared" si="1"/>
        <v>8000</v>
      </c>
      <c r="F15" s="43">
        <f t="shared" si="1"/>
        <v>10000</v>
      </c>
      <c r="G15" s="43">
        <f t="shared" si="1"/>
        <v>12000</v>
      </c>
      <c r="H15" s="43">
        <f t="shared" si="1"/>
        <v>9000</v>
      </c>
      <c r="I15" s="43">
        <f t="shared" si="1"/>
        <v>11000</v>
      </c>
      <c r="J15" s="43">
        <f t="shared" si="1"/>
        <v>13000</v>
      </c>
      <c r="K15" s="43">
        <f t="shared" si="1"/>
        <v>15000</v>
      </c>
      <c r="L15" s="43">
        <f t="shared" si="1"/>
        <v>17000</v>
      </c>
      <c r="M15" s="43">
        <f t="shared" si="1"/>
        <v>19000</v>
      </c>
      <c r="N15" s="43">
        <f t="shared" si="1"/>
        <v>21000</v>
      </c>
    </row>
    <row r="16" spans="2:14" x14ac:dyDescent="0.2">
      <c r="B16" s="78" t="s">
        <v>7</v>
      </c>
      <c r="C16" s="44">
        <v>10000</v>
      </c>
      <c r="D16" s="44"/>
      <c r="E16" s="44"/>
      <c r="F16" s="44"/>
      <c r="G16" s="44">
        <v>5000</v>
      </c>
      <c r="H16" s="44"/>
      <c r="I16" s="44"/>
      <c r="J16" s="44"/>
      <c r="K16" s="44"/>
      <c r="L16" s="44"/>
      <c r="M16" s="44"/>
      <c r="N16" s="44"/>
    </row>
    <row r="17" spans="2:14" x14ac:dyDescent="0.2">
      <c r="B17" s="78" t="s">
        <v>111</v>
      </c>
      <c r="C17" s="43">
        <f t="shared" ref="C17:N17" si="2">C15-C16</f>
        <v>4000</v>
      </c>
      <c r="D17" s="43">
        <f t="shared" si="2"/>
        <v>6000</v>
      </c>
      <c r="E17" s="43">
        <f t="shared" si="2"/>
        <v>8000</v>
      </c>
      <c r="F17" s="43">
        <f t="shared" si="2"/>
        <v>10000</v>
      </c>
      <c r="G17" s="43">
        <f t="shared" si="2"/>
        <v>7000</v>
      </c>
      <c r="H17" s="43">
        <f t="shared" si="2"/>
        <v>9000</v>
      </c>
      <c r="I17" s="43">
        <f t="shared" si="2"/>
        <v>11000</v>
      </c>
      <c r="J17" s="43">
        <f t="shared" si="2"/>
        <v>13000</v>
      </c>
      <c r="K17" s="43">
        <f t="shared" si="2"/>
        <v>15000</v>
      </c>
      <c r="L17" s="43">
        <f t="shared" si="2"/>
        <v>17000</v>
      </c>
      <c r="M17" s="43">
        <f t="shared" si="2"/>
        <v>19000</v>
      </c>
      <c r="N17" s="43">
        <f t="shared" si="2"/>
        <v>21000</v>
      </c>
    </row>
    <row r="23" spans="2:14" x14ac:dyDescent="0.2">
      <c r="B23" s="78"/>
      <c r="C23" s="79">
        <v>43466</v>
      </c>
      <c r="D23" s="79">
        <v>43497</v>
      </c>
      <c r="E23" s="79">
        <v>43525</v>
      </c>
      <c r="F23" s="79">
        <v>43556</v>
      </c>
      <c r="G23" s="79">
        <v>43586</v>
      </c>
      <c r="H23" s="79">
        <v>43617</v>
      </c>
      <c r="I23" s="79">
        <v>43647</v>
      </c>
      <c r="J23" s="79">
        <v>43678</v>
      </c>
      <c r="K23" s="79">
        <v>43709</v>
      </c>
      <c r="L23" s="79">
        <v>43739</v>
      </c>
      <c r="M23" s="79">
        <v>43770</v>
      </c>
      <c r="N23" s="79">
        <v>43800</v>
      </c>
    </row>
    <row r="24" spans="2:14" x14ac:dyDescent="0.2">
      <c r="B24" s="78" t="s">
        <v>110</v>
      </c>
      <c r="C24" s="42">
        <v>20000</v>
      </c>
      <c r="D24" s="42">
        <f t="shared" ref="D24:N24" si="3">C35</f>
        <v>24000</v>
      </c>
      <c r="E24" s="42">
        <f t="shared" si="3"/>
        <v>28000</v>
      </c>
      <c r="F24" s="42">
        <f t="shared" si="3"/>
        <v>32000</v>
      </c>
      <c r="G24" s="42">
        <f t="shared" si="3"/>
        <v>36000</v>
      </c>
      <c r="H24" s="42">
        <f t="shared" si="3"/>
        <v>40000</v>
      </c>
      <c r="I24" s="42">
        <f t="shared" si="3"/>
        <v>44000</v>
      </c>
      <c r="J24" s="42">
        <f t="shared" si="3"/>
        <v>48000</v>
      </c>
      <c r="K24" s="42">
        <f t="shared" si="3"/>
        <v>52000</v>
      </c>
      <c r="L24" s="42">
        <f t="shared" si="3"/>
        <v>56000</v>
      </c>
      <c r="M24" s="42">
        <f t="shared" si="3"/>
        <v>60000</v>
      </c>
      <c r="N24" s="42">
        <f t="shared" si="3"/>
        <v>64000</v>
      </c>
    </row>
    <row r="25" spans="2:14" x14ac:dyDescent="0.2">
      <c r="B25" s="78" t="s">
        <v>76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4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9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73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2:14" x14ac:dyDescent="0.2">
      <c r="B30" s="78" t="s">
        <v>74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>
        <v>-6000</v>
      </c>
    </row>
    <row r="31" spans="2:14" x14ac:dyDescent="0.2">
      <c r="B31" s="78" t="s">
        <v>75</v>
      </c>
      <c r="C31" s="85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2:14" x14ac:dyDescent="0.2">
      <c r="B32" s="78" t="s">
        <v>5</v>
      </c>
      <c r="C32" s="42">
        <v>4000</v>
      </c>
      <c r="D32" s="42">
        <v>4000</v>
      </c>
      <c r="E32" s="42">
        <v>4000</v>
      </c>
      <c r="F32" s="42">
        <v>4000</v>
      </c>
      <c r="G32" s="42">
        <v>4000</v>
      </c>
      <c r="H32" s="42">
        <v>4000</v>
      </c>
      <c r="I32" s="42">
        <v>4000</v>
      </c>
      <c r="J32" s="42">
        <v>4000</v>
      </c>
      <c r="K32" s="42">
        <v>4000</v>
      </c>
      <c r="L32" s="42">
        <v>4000</v>
      </c>
      <c r="M32" s="42">
        <v>4000</v>
      </c>
      <c r="N32" s="42">
        <v>4000</v>
      </c>
    </row>
    <row r="33" spans="2:14" x14ac:dyDescent="0.2">
      <c r="B33" s="78" t="s">
        <v>6</v>
      </c>
      <c r="C33" s="43">
        <f t="shared" ref="C33:N33" si="4">SUM(C24:C32)</f>
        <v>24000</v>
      </c>
      <c r="D33" s="43">
        <f t="shared" si="4"/>
        <v>28000</v>
      </c>
      <c r="E33" s="43">
        <f t="shared" si="4"/>
        <v>32000</v>
      </c>
      <c r="F33" s="43">
        <f t="shared" si="4"/>
        <v>36000</v>
      </c>
      <c r="G33" s="43">
        <f t="shared" si="4"/>
        <v>40000</v>
      </c>
      <c r="H33" s="43">
        <f t="shared" si="4"/>
        <v>44000</v>
      </c>
      <c r="I33" s="43">
        <f t="shared" si="4"/>
        <v>48000</v>
      </c>
      <c r="J33" s="43">
        <f t="shared" si="4"/>
        <v>52000</v>
      </c>
      <c r="K33" s="43">
        <f t="shared" si="4"/>
        <v>56000</v>
      </c>
      <c r="L33" s="43">
        <f t="shared" si="4"/>
        <v>60000</v>
      </c>
      <c r="M33" s="43">
        <f t="shared" si="4"/>
        <v>64000</v>
      </c>
      <c r="N33" s="43">
        <f t="shared" si="4"/>
        <v>62000</v>
      </c>
    </row>
    <row r="34" spans="2:14" x14ac:dyDescent="0.2">
      <c r="B34" s="78" t="s">
        <v>7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>
        <v>12000</v>
      </c>
    </row>
    <row r="35" spans="2:14" x14ac:dyDescent="0.2">
      <c r="B35" s="78" t="s">
        <v>111</v>
      </c>
      <c r="C35" s="43">
        <f t="shared" ref="C35:N35" si="5">C33-C34</f>
        <v>24000</v>
      </c>
      <c r="D35" s="43">
        <f t="shared" si="5"/>
        <v>28000</v>
      </c>
      <c r="E35" s="43">
        <f t="shared" si="5"/>
        <v>32000</v>
      </c>
      <c r="F35" s="43">
        <f t="shared" si="5"/>
        <v>36000</v>
      </c>
      <c r="G35" s="43">
        <f t="shared" si="5"/>
        <v>40000</v>
      </c>
      <c r="H35" s="43">
        <f t="shared" si="5"/>
        <v>44000</v>
      </c>
      <c r="I35" s="43">
        <f t="shared" si="5"/>
        <v>48000</v>
      </c>
      <c r="J35" s="43">
        <f t="shared" si="5"/>
        <v>52000</v>
      </c>
      <c r="K35" s="43">
        <f t="shared" si="5"/>
        <v>56000</v>
      </c>
      <c r="L35" s="43">
        <f t="shared" si="5"/>
        <v>60000</v>
      </c>
      <c r="M35" s="43">
        <f t="shared" si="5"/>
        <v>64000</v>
      </c>
      <c r="N35" s="43">
        <f t="shared" si="5"/>
        <v>50000</v>
      </c>
    </row>
    <row r="38" spans="2:14" x14ac:dyDescent="0.2">
      <c r="B38" s="78"/>
      <c r="C38" s="79">
        <v>43831</v>
      </c>
      <c r="D38" s="79">
        <v>43862</v>
      </c>
      <c r="E38" s="79">
        <v>43891</v>
      </c>
      <c r="F38" s="79">
        <v>43922</v>
      </c>
      <c r="G38" s="79">
        <v>43952</v>
      </c>
      <c r="H38" s="79">
        <v>43983</v>
      </c>
      <c r="I38" s="79">
        <v>44013</v>
      </c>
      <c r="J38" s="79">
        <v>44044</v>
      </c>
      <c r="K38" s="79">
        <v>44075</v>
      </c>
      <c r="L38" s="79">
        <v>44105</v>
      </c>
      <c r="M38" s="79">
        <v>44136</v>
      </c>
      <c r="N38" s="79">
        <v>44166</v>
      </c>
    </row>
    <row r="39" spans="2:14" x14ac:dyDescent="0.2">
      <c r="B39" s="78" t="s">
        <v>110</v>
      </c>
      <c r="C39" s="42">
        <v>50000</v>
      </c>
      <c r="D39" s="42">
        <f t="shared" ref="D39:N39" si="6">C50</f>
        <v>54000</v>
      </c>
      <c r="E39" s="42">
        <f t="shared" si="6"/>
        <v>58000</v>
      </c>
      <c r="F39" s="42">
        <f t="shared" si="6"/>
        <v>62000</v>
      </c>
      <c r="G39" s="42">
        <f t="shared" si="6"/>
        <v>66000</v>
      </c>
      <c r="H39" s="42">
        <f t="shared" si="6"/>
        <v>70000</v>
      </c>
      <c r="I39" s="42">
        <f t="shared" si="6"/>
        <v>74000</v>
      </c>
      <c r="J39" s="42">
        <f t="shared" si="6"/>
        <v>78000</v>
      </c>
      <c r="K39" s="42">
        <f t="shared" si="6"/>
        <v>82000</v>
      </c>
      <c r="L39" s="42">
        <f t="shared" si="6"/>
        <v>86000</v>
      </c>
      <c r="M39" s="42">
        <f t="shared" si="6"/>
        <v>90000</v>
      </c>
      <c r="N39" s="42">
        <f t="shared" si="6"/>
        <v>94000</v>
      </c>
    </row>
    <row r="40" spans="2:14" x14ac:dyDescent="0.2">
      <c r="B40" s="78" t="s">
        <v>76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2:14" x14ac:dyDescent="0.2">
      <c r="B41" s="78" t="s">
        <v>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2:14" x14ac:dyDescent="0.2">
      <c r="B42" s="78" t="s">
        <v>4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2:14" x14ac:dyDescent="0.2">
      <c r="B43" s="78" t="s">
        <v>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2:14" x14ac:dyDescent="0.2">
      <c r="B44" s="78" t="s">
        <v>73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spans="2:14" x14ac:dyDescent="0.2">
      <c r="B45" s="78" t="s">
        <v>74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2:14" x14ac:dyDescent="0.2">
      <c r="B46" s="78" t="s">
        <v>75</v>
      </c>
      <c r="C46" s="85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2:14" x14ac:dyDescent="0.2">
      <c r="B47" s="78" t="s">
        <v>5</v>
      </c>
      <c r="C47" s="42">
        <v>4000</v>
      </c>
      <c r="D47" s="42">
        <v>4000</v>
      </c>
      <c r="E47" s="42">
        <v>4000</v>
      </c>
      <c r="F47" s="42">
        <v>4000</v>
      </c>
      <c r="G47" s="42">
        <v>4000</v>
      </c>
      <c r="H47" s="42">
        <v>4000</v>
      </c>
      <c r="I47" s="42">
        <v>4000</v>
      </c>
      <c r="J47" s="42">
        <v>4000</v>
      </c>
      <c r="K47" s="42">
        <v>4000</v>
      </c>
      <c r="L47" s="42">
        <v>4000</v>
      </c>
      <c r="M47" s="42">
        <v>4000</v>
      </c>
      <c r="N47" s="42">
        <v>4000</v>
      </c>
    </row>
    <row r="48" spans="2:14" x14ac:dyDescent="0.2">
      <c r="B48" s="78" t="s">
        <v>6</v>
      </c>
      <c r="C48" s="43">
        <f t="shared" ref="C48:N48" si="7">SUM(C39:C47)</f>
        <v>54000</v>
      </c>
      <c r="D48" s="43">
        <f t="shared" si="7"/>
        <v>58000</v>
      </c>
      <c r="E48" s="43">
        <f t="shared" si="7"/>
        <v>62000</v>
      </c>
      <c r="F48" s="43">
        <f t="shared" si="7"/>
        <v>66000</v>
      </c>
      <c r="G48" s="43">
        <f t="shared" si="7"/>
        <v>70000</v>
      </c>
      <c r="H48" s="43">
        <f t="shared" si="7"/>
        <v>74000</v>
      </c>
      <c r="I48" s="43">
        <f t="shared" si="7"/>
        <v>78000</v>
      </c>
      <c r="J48" s="43">
        <f t="shared" si="7"/>
        <v>82000</v>
      </c>
      <c r="K48" s="43">
        <f t="shared" si="7"/>
        <v>86000</v>
      </c>
      <c r="L48" s="43">
        <f t="shared" si="7"/>
        <v>90000</v>
      </c>
      <c r="M48" s="43">
        <f t="shared" si="7"/>
        <v>94000</v>
      </c>
      <c r="N48" s="43">
        <f t="shared" si="7"/>
        <v>98000</v>
      </c>
    </row>
    <row r="49" spans="2:14" x14ac:dyDescent="0.2">
      <c r="B49" s="78" t="s">
        <v>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>
        <f>5000+5000</f>
        <v>10000</v>
      </c>
    </row>
    <row r="50" spans="2:14" x14ac:dyDescent="0.2">
      <c r="B50" s="78" t="s">
        <v>111</v>
      </c>
      <c r="C50" s="43">
        <f t="shared" ref="C50:N50" si="8">C48-C49</f>
        <v>54000</v>
      </c>
      <c r="D50" s="43">
        <f t="shared" si="8"/>
        <v>58000</v>
      </c>
      <c r="E50" s="43">
        <f t="shared" si="8"/>
        <v>62000</v>
      </c>
      <c r="F50" s="43">
        <f t="shared" si="8"/>
        <v>66000</v>
      </c>
      <c r="G50" s="43">
        <f t="shared" si="8"/>
        <v>70000</v>
      </c>
      <c r="H50" s="43">
        <f t="shared" si="8"/>
        <v>74000</v>
      </c>
      <c r="I50" s="43">
        <f t="shared" si="8"/>
        <v>78000</v>
      </c>
      <c r="J50" s="43">
        <f t="shared" si="8"/>
        <v>82000</v>
      </c>
      <c r="K50" s="43">
        <f t="shared" si="8"/>
        <v>86000</v>
      </c>
      <c r="L50" s="43">
        <f t="shared" si="8"/>
        <v>90000</v>
      </c>
      <c r="M50" s="43">
        <f t="shared" si="8"/>
        <v>94000</v>
      </c>
      <c r="N50" s="43">
        <f t="shared" si="8"/>
        <v>88000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2"/>
  <dimension ref="A1:M82"/>
  <sheetViews>
    <sheetView showGridLines="0" workbookViewId="0">
      <selection activeCell="E18" sqref="E18"/>
    </sheetView>
  </sheetViews>
  <sheetFormatPr baseColWidth="10" defaultRowHeight="20.25" x14ac:dyDescent="0.3"/>
  <cols>
    <col min="1" max="1" width="27.140625" style="2" customWidth="1"/>
    <col min="2" max="3" width="12.28515625" style="2" customWidth="1"/>
    <col min="4" max="4" width="12" style="2" customWidth="1"/>
    <col min="5" max="5" width="11.42578125" style="2" customWidth="1"/>
    <col min="6" max="6" width="11.7109375" style="2" customWidth="1"/>
    <col min="7" max="7" width="11.85546875" style="2" customWidth="1"/>
    <col min="8" max="8" width="12.42578125" style="2" customWidth="1"/>
    <col min="9" max="11" width="12.7109375" style="2" customWidth="1"/>
    <col min="12" max="12" width="12.5703125" style="2" customWidth="1"/>
    <col min="13" max="13" width="11.28515625" style="2" customWidth="1"/>
    <col min="14" max="16384" width="11.42578125" style="2"/>
  </cols>
  <sheetData>
    <row r="1" spans="1:13" ht="25.5" x14ac:dyDescent="0.35">
      <c r="A1" s="13" t="s">
        <v>102</v>
      </c>
    </row>
    <row r="2" spans="1:13" x14ac:dyDescent="0.3">
      <c r="A2" s="11"/>
      <c r="B2" s="216"/>
      <c r="C2" s="216"/>
      <c r="D2" s="216"/>
      <c r="E2" s="216"/>
      <c r="F2" s="216"/>
      <c r="G2" s="216"/>
    </row>
    <row r="3" spans="1:13" customFormat="1" x14ac:dyDescent="0.3">
      <c r="A3" s="11" t="s">
        <v>11</v>
      </c>
      <c r="B3" s="216" t="s">
        <v>479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customForma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customFormat="1" ht="12.75" x14ac:dyDescent="0.2">
      <c r="A5" s="50" t="s">
        <v>0</v>
      </c>
      <c r="B5" s="50" t="s">
        <v>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13" customFormat="1" ht="12.75" x14ac:dyDescent="0.2">
      <c r="A6" s="78"/>
      <c r="B6" s="79">
        <v>44197</v>
      </c>
      <c r="C6" s="79">
        <v>44228</v>
      </c>
      <c r="D6" s="79">
        <v>44256</v>
      </c>
      <c r="E6" s="79">
        <v>44287</v>
      </c>
      <c r="F6" s="79">
        <v>44317</v>
      </c>
      <c r="G6" s="79">
        <v>44348</v>
      </c>
      <c r="H6" s="79">
        <v>44378</v>
      </c>
      <c r="I6" s="79">
        <v>44409</v>
      </c>
      <c r="J6" s="79">
        <v>44440</v>
      </c>
      <c r="K6" s="79">
        <v>44470</v>
      </c>
      <c r="L6" s="79">
        <v>44501</v>
      </c>
      <c r="M6" s="79">
        <v>44531</v>
      </c>
    </row>
    <row r="7" spans="1:13" customFormat="1" ht="12.75" x14ac:dyDescent="0.2">
      <c r="A7" s="78" t="s">
        <v>110</v>
      </c>
      <c r="B7" s="42"/>
      <c r="C7" s="42">
        <f t="shared" ref="C7:M7" si="0">B18</f>
        <v>0</v>
      </c>
      <c r="D7" s="42">
        <f t="shared" si="0"/>
        <v>5602</v>
      </c>
      <c r="E7" s="42">
        <f t="shared" si="0"/>
        <v>13717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 t="shared" si="0"/>
        <v>0</v>
      </c>
      <c r="L7" s="42">
        <f t="shared" si="0"/>
        <v>0</v>
      </c>
      <c r="M7" s="42">
        <f t="shared" si="0"/>
        <v>0</v>
      </c>
    </row>
    <row r="8" spans="1:13" customFormat="1" ht="12.75" x14ac:dyDescent="0.2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customFormat="1" ht="12.75" x14ac:dyDescent="0.2">
      <c r="A9" s="78" t="s">
        <v>3</v>
      </c>
      <c r="B9" s="42">
        <v>2200</v>
      </c>
      <c r="C9" s="42">
        <v>602</v>
      </c>
      <c r="D9" s="42">
        <v>3115</v>
      </c>
      <c r="E9" s="42">
        <v>780</v>
      </c>
      <c r="F9" s="42"/>
      <c r="G9" s="42"/>
      <c r="H9" s="42"/>
      <c r="I9" s="42"/>
      <c r="J9" s="42"/>
      <c r="K9" s="42"/>
      <c r="L9" s="42"/>
      <c r="M9" s="42"/>
    </row>
    <row r="10" spans="1:13" customFormat="1" ht="12.75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customFormat="1" ht="12.75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customFormat="1" ht="12.75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customFormat="1" ht="12.75" x14ac:dyDescent="0.2">
      <c r="A13" s="78" t="s">
        <v>74</v>
      </c>
      <c r="B13" s="42"/>
      <c r="C13" s="42"/>
      <c r="D13" s="42"/>
      <c r="E13" s="42">
        <v>-7</v>
      </c>
      <c r="F13" s="42"/>
      <c r="G13" s="42"/>
      <c r="H13" s="42"/>
      <c r="I13" s="42"/>
      <c r="J13" s="42"/>
      <c r="K13" s="42"/>
      <c r="L13" s="42"/>
      <c r="M13" s="42"/>
    </row>
    <row r="14" spans="1:13" customFormat="1" ht="15.75" customHeight="1" x14ac:dyDescent="0.2">
      <c r="A14" s="78" t="s">
        <v>75</v>
      </c>
      <c r="B14" s="85"/>
      <c r="C14" s="42"/>
      <c r="D14" s="42"/>
      <c r="E14" s="42">
        <v>1500</v>
      </c>
      <c r="F14" s="42"/>
      <c r="G14" s="42"/>
      <c r="H14" s="42"/>
      <c r="I14" s="42"/>
      <c r="J14" s="42"/>
      <c r="K14" s="42"/>
      <c r="L14" s="42"/>
      <c r="M14" s="42"/>
    </row>
    <row r="15" spans="1:13" customFormat="1" ht="12.75" x14ac:dyDescent="0.2">
      <c r="A15" s="78" t="s">
        <v>5</v>
      </c>
      <c r="B15" s="42">
        <v>5000</v>
      </c>
      <c r="C15" s="42">
        <v>5000</v>
      </c>
      <c r="D15" s="42">
        <v>5000</v>
      </c>
      <c r="E15" s="42">
        <v>5000</v>
      </c>
      <c r="F15" s="42"/>
      <c r="G15" s="42"/>
      <c r="H15" s="42"/>
      <c r="I15" s="42"/>
      <c r="J15" s="42"/>
      <c r="K15" s="42"/>
      <c r="L15" s="42"/>
      <c r="M15" s="42"/>
    </row>
    <row r="16" spans="1:13" customFormat="1" ht="12.75" x14ac:dyDescent="0.2">
      <c r="A16" s="78" t="s">
        <v>6</v>
      </c>
      <c r="B16" s="43">
        <f t="shared" ref="B16:M16" si="1">SUM(B7:B15)</f>
        <v>7200</v>
      </c>
      <c r="C16" s="43">
        <f t="shared" si="1"/>
        <v>5602</v>
      </c>
      <c r="D16" s="43">
        <f t="shared" si="1"/>
        <v>13717</v>
      </c>
      <c r="E16" s="43">
        <f t="shared" si="1"/>
        <v>20990</v>
      </c>
      <c r="F16" s="43">
        <f t="shared" si="1"/>
        <v>0</v>
      </c>
      <c r="G16" s="43">
        <f t="shared" si="1"/>
        <v>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0</v>
      </c>
      <c r="L16" s="43">
        <f t="shared" si="1"/>
        <v>0</v>
      </c>
      <c r="M16" s="43">
        <f t="shared" si="1"/>
        <v>0</v>
      </c>
    </row>
    <row r="17" spans="1:13" customFormat="1" ht="12.75" x14ac:dyDescent="0.2">
      <c r="A17" s="78" t="s">
        <v>7</v>
      </c>
      <c r="B17" s="44">
        <v>7200</v>
      </c>
      <c r="C17" s="44"/>
      <c r="D17" s="44"/>
      <c r="E17" s="44">
        <v>20990</v>
      </c>
      <c r="F17" s="44"/>
      <c r="G17" s="44"/>
      <c r="H17" s="44"/>
      <c r="I17" s="44"/>
      <c r="J17" s="44"/>
      <c r="K17" s="44"/>
      <c r="L17" s="44"/>
      <c r="M17" s="44"/>
    </row>
    <row r="18" spans="1:13" customFormat="1" ht="12.75" x14ac:dyDescent="0.2">
      <c r="A18" s="78" t="s">
        <v>111</v>
      </c>
      <c r="B18" s="43">
        <f t="shared" ref="B18:M18" si="2">B16-B17</f>
        <v>0</v>
      </c>
      <c r="C18" s="43">
        <f t="shared" si="2"/>
        <v>5602</v>
      </c>
      <c r="D18" s="43">
        <f t="shared" si="2"/>
        <v>13717</v>
      </c>
      <c r="E18" s="43">
        <f t="shared" si="2"/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  <c r="L18" s="43">
        <f t="shared" si="2"/>
        <v>0</v>
      </c>
      <c r="M18" s="43">
        <f t="shared" si="2"/>
        <v>0</v>
      </c>
    </row>
    <row r="19" spans="1:13" customFormat="1" ht="12.75" x14ac:dyDescent="0.2"/>
    <row r="21" spans="1:13" x14ac:dyDescent="0.3">
      <c r="A21" s="147"/>
      <c r="B21" s="147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</row>
    <row r="22" spans="1:13" x14ac:dyDescent="0.3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13" x14ac:dyDescent="0.3">
      <c r="A23" s="17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1:13" x14ac:dyDescent="0.3">
      <c r="A24" s="17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5" spans="1:13" x14ac:dyDescent="0.3">
      <c r="A25" s="17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</row>
    <row r="26" spans="1:13" x14ac:dyDescent="0.3">
      <c r="A26" s="17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7" spans="1:13" x14ac:dyDescent="0.3">
      <c r="A27" s="17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</row>
    <row r="28" spans="1:13" x14ac:dyDescent="0.3">
      <c r="A28" s="17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</row>
    <row r="29" spans="1:13" x14ac:dyDescent="0.3">
      <c r="A29" s="17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13" x14ac:dyDescent="0.3">
      <c r="A30" s="170"/>
      <c r="B30" s="17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</row>
    <row r="31" spans="1:13" x14ac:dyDescent="0.3">
      <c r="A31" s="17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</row>
    <row r="32" spans="1:13" x14ac:dyDescent="0.3">
      <c r="A32" s="17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1:13" x14ac:dyDescent="0.3">
      <c r="A33" s="17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</row>
    <row r="34" spans="1:13" x14ac:dyDescent="0.3">
      <c r="A34" s="148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</row>
    <row r="35" spans="1:13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1:13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1:13" x14ac:dyDescent="0.3">
      <c r="A37" s="147"/>
      <c r="B37" s="147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</row>
    <row r="38" spans="1:13" x14ac:dyDescent="0.3">
      <c r="A38" s="148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</row>
    <row r="39" spans="1:13" x14ac:dyDescent="0.3">
      <c r="A39" s="14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</row>
    <row r="40" spans="1:13" x14ac:dyDescent="0.3">
      <c r="A40" s="14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</row>
    <row r="41" spans="1:13" x14ac:dyDescent="0.3">
      <c r="A41" s="14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</row>
    <row r="42" spans="1:13" x14ac:dyDescent="0.3">
      <c r="A42" s="14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</row>
    <row r="43" spans="1:13" x14ac:dyDescent="0.3">
      <c r="A43" s="14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</row>
    <row r="44" spans="1:13" x14ac:dyDescent="0.3">
      <c r="A44" s="14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</row>
    <row r="45" spans="1:13" x14ac:dyDescent="0.3">
      <c r="A45" s="14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</row>
    <row r="46" spans="1:13" x14ac:dyDescent="0.3">
      <c r="A46" s="148"/>
      <c r="B46" s="3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</row>
    <row r="47" spans="1:13" x14ac:dyDescent="0.3">
      <c r="A47" s="14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</row>
    <row r="48" spans="1:13" x14ac:dyDescent="0.3">
      <c r="A48" s="14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</row>
    <row r="49" spans="1:13" x14ac:dyDescent="0.3">
      <c r="A49" s="14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</row>
    <row r="50" spans="1:13" x14ac:dyDescent="0.3">
      <c r="A50" s="14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</row>
    <row r="51" spans="1:13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 x14ac:dyDescent="0.3">
      <c r="A52" s="14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3" x14ac:dyDescent="0.3">
      <c r="A53" s="148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</row>
    <row r="54" spans="1:13" x14ac:dyDescent="0.3">
      <c r="A54" s="14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</row>
    <row r="55" spans="1:13" x14ac:dyDescent="0.3">
      <c r="A55" s="14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</row>
    <row r="56" spans="1:13" x14ac:dyDescent="0.3">
      <c r="A56" s="14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</row>
    <row r="57" spans="1:13" x14ac:dyDescent="0.3">
      <c r="A57" s="14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</row>
    <row r="58" spans="1:13" x14ac:dyDescent="0.3">
      <c r="A58" s="14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</row>
    <row r="59" spans="1:13" x14ac:dyDescent="0.3">
      <c r="A59" s="14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</row>
    <row r="60" spans="1:13" x14ac:dyDescent="0.3">
      <c r="A60" s="14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</row>
    <row r="61" spans="1:13" x14ac:dyDescent="0.3">
      <c r="A61" s="148"/>
      <c r="B61" s="3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</row>
    <row r="62" spans="1:13" x14ac:dyDescent="0.3">
      <c r="A62" s="14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</row>
    <row r="63" spans="1:13" x14ac:dyDescent="0.3">
      <c r="A63" s="14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</row>
    <row r="64" spans="1:13" x14ac:dyDescent="0.3">
      <c r="A64" s="14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</row>
    <row r="65" spans="1:13" x14ac:dyDescent="0.3">
      <c r="A65" s="14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</row>
    <row r="66" spans="1:13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 spans="1:13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3" x14ac:dyDescent="0.3">
      <c r="A68" s="148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</row>
    <row r="69" spans="1:13" x14ac:dyDescent="0.3">
      <c r="A69" s="14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</row>
    <row r="70" spans="1:13" x14ac:dyDescent="0.3">
      <c r="A70" s="14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</row>
    <row r="71" spans="1:13" x14ac:dyDescent="0.3">
      <c r="A71" s="14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x14ac:dyDescent="0.3">
      <c r="A72" s="14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</row>
    <row r="73" spans="1:13" x14ac:dyDescent="0.3">
      <c r="A73" s="14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</row>
    <row r="74" spans="1:13" x14ac:dyDescent="0.3">
      <c r="A74" s="14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</row>
    <row r="75" spans="1:13" x14ac:dyDescent="0.3">
      <c r="A75" s="14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</row>
    <row r="76" spans="1:13" x14ac:dyDescent="0.3">
      <c r="A76" s="148"/>
      <c r="B76" s="3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</row>
    <row r="77" spans="1:13" x14ac:dyDescent="0.3">
      <c r="A77" s="14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</row>
    <row r="78" spans="1:13" x14ac:dyDescent="0.3">
      <c r="A78" s="14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</row>
    <row r="79" spans="1:13" x14ac:dyDescent="0.3">
      <c r="A79" s="14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</row>
    <row r="80" spans="1:13" x14ac:dyDescent="0.3">
      <c r="A80" s="14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</row>
    <row r="82" spans="1:1" x14ac:dyDescent="0.3">
      <c r="A82" s="2" t="s">
        <v>229</v>
      </c>
    </row>
  </sheetData>
  <mergeCells count="2">
    <mergeCell ref="B2:G2"/>
    <mergeCell ref="B3:G3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r:id="rId1"/>
  <headerFooter alignWithMargins="0"/>
  <ignoredErrors>
    <ignoredError sqref="B16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3"/>
  <dimension ref="A4:M32"/>
  <sheetViews>
    <sheetView topLeftCell="A16" workbookViewId="0">
      <selection activeCell="F30" sqref="F30"/>
    </sheetView>
  </sheetViews>
  <sheetFormatPr baseColWidth="10" defaultRowHeight="12.75" x14ac:dyDescent="0.2"/>
  <cols>
    <col min="1" max="1" width="31.7109375" customWidth="1"/>
    <col min="12" max="13" width="12" bestFit="1" customWidth="1"/>
  </cols>
  <sheetData>
    <row r="4" spans="1:13" x14ac:dyDescent="0.2">
      <c r="A4" s="7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x14ac:dyDescent="0.2">
      <c r="A5" s="78" t="s">
        <v>110</v>
      </c>
      <c r="B5" s="42"/>
      <c r="C5" s="42">
        <f t="shared" ref="C5:M5" si="0">B16</f>
        <v>52300</v>
      </c>
      <c r="D5" s="42">
        <f t="shared" si="0"/>
        <v>-5400</v>
      </c>
      <c r="E5" s="42">
        <f t="shared" si="0"/>
        <v>46900</v>
      </c>
      <c r="F5" s="42">
        <f t="shared" si="0"/>
        <v>-800</v>
      </c>
      <c r="G5" s="42">
        <f t="shared" si="0"/>
        <v>51500</v>
      </c>
      <c r="H5" s="42">
        <f t="shared" si="0"/>
        <v>109500</v>
      </c>
      <c r="I5" s="42">
        <f t="shared" si="0"/>
        <v>167500</v>
      </c>
      <c r="J5" s="42">
        <f t="shared" si="0"/>
        <v>197500</v>
      </c>
      <c r="K5" s="42">
        <f t="shared" si="0"/>
        <v>227500</v>
      </c>
      <c r="L5" s="42">
        <f t="shared" si="0"/>
        <v>227500</v>
      </c>
      <c r="M5" s="42">
        <f t="shared" si="0"/>
        <v>227500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22300</v>
      </c>
      <c r="C8" s="42">
        <v>22300</v>
      </c>
      <c r="D8" s="42">
        <v>22300</v>
      </c>
      <c r="E8" s="42">
        <v>22300</v>
      </c>
      <c r="F8" s="42">
        <v>22300</v>
      </c>
      <c r="G8" s="42">
        <v>28000</v>
      </c>
      <c r="H8" s="42">
        <v>28000</v>
      </c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85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30000</v>
      </c>
      <c r="C13" s="42">
        <v>30000</v>
      </c>
      <c r="D13" s="42">
        <v>30000</v>
      </c>
      <c r="E13" s="42">
        <v>30000</v>
      </c>
      <c r="F13" s="42">
        <v>30000</v>
      </c>
      <c r="G13" s="42">
        <v>30000</v>
      </c>
      <c r="H13" s="42">
        <v>30000</v>
      </c>
      <c r="I13" s="42">
        <v>30000</v>
      </c>
      <c r="J13" s="42">
        <v>30000</v>
      </c>
      <c r="K13" s="42"/>
      <c r="L13" s="42"/>
      <c r="M13" s="42"/>
    </row>
    <row r="14" spans="1:13" x14ac:dyDescent="0.2">
      <c r="A14" s="78" t="s">
        <v>6</v>
      </c>
      <c r="B14" s="43">
        <f t="shared" ref="B14:M14" si="1">SUM(B5:B13)</f>
        <v>52300</v>
      </c>
      <c r="C14" s="43">
        <f t="shared" si="1"/>
        <v>104600</v>
      </c>
      <c r="D14" s="43">
        <f t="shared" si="1"/>
        <v>46900</v>
      </c>
      <c r="E14" s="43">
        <f t="shared" si="1"/>
        <v>99200</v>
      </c>
      <c r="F14" s="43">
        <f t="shared" si="1"/>
        <v>51500</v>
      </c>
      <c r="G14" s="43">
        <f t="shared" si="1"/>
        <v>109500</v>
      </c>
      <c r="H14" s="43">
        <f t="shared" si="1"/>
        <v>167500</v>
      </c>
      <c r="I14" s="43">
        <f t="shared" si="1"/>
        <v>197500</v>
      </c>
      <c r="J14" s="43">
        <f t="shared" si="1"/>
        <v>227500</v>
      </c>
      <c r="K14" s="43">
        <f t="shared" si="1"/>
        <v>227500</v>
      </c>
      <c r="L14" s="43">
        <f t="shared" si="1"/>
        <v>227500</v>
      </c>
      <c r="M14" s="43">
        <f t="shared" si="1"/>
        <v>227500</v>
      </c>
    </row>
    <row r="15" spans="1:13" x14ac:dyDescent="0.2">
      <c r="A15" s="78" t="s">
        <v>7</v>
      </c>
      <c r="B15" s="44"/>
      <c r="C15" s="44">
        <v>110000</v>
      </c>
      <c r="D15" s="44"/>
      <c r="E15" s="44">
        <v>100000</v>
      </c>
      <c r="F15" s="44"/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 t="shared" ref="B16:M16" si="2">B14-B15</f>
        <v>52300</v>
      </c>
      <c r="C16" s="43">
        <f t="shared" si="2"/>
        <v>-5400</v>
      </c>
      <c r="D16" s="43">
        <f t="shared" si="2"/>
        <v>46900</v>
      </c>
      <c r="E16" s="43">
        <f t="shared" si="2"/>
        <v>-800</v>
      </c>
      <c r="F16" s="43">
        <f t="shared" si="2"/>
        <v>51500</v>
      </c>
      <c r="G16" s="43">
        <f t="shared" si="2"/>
        <v>109500</v>
      </c>
      <c r="H16" s="43">
        <f t="shared" si="2"/>
        <v>167500</v>
      </c>
      <c r="I16" s="43">
        <f t="shared" si="2"/>
        <v>197500</v>
      </c>
      <c r="J16" s="43">
        <f t="shared" si="2"/>
        <v>227500</v>
      </c>
      <c r="K16" s="43">
        <f t="shared" si="2"/>
        <v>227500</v>
      </c>
      <c r="L16" s="43">
        <f t="shared" si="2"/>
        <v>227500</v>
      </c>
      <c r="M16" s="43">
        <f t="shared" si="2"/>
        <v>227500</v>
      </c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9">
        <v>46023</v>
      </c>
      <c r="C20" s="79">
        <v>46054</v>
      </c>
      <c r="D20" s="79">
        <v>46082</v>
      </c>
      <c r="E20" s="79">
        <v>46113</v>
      </c>
      <c r="F20" s="79">
        <v>46143</v>
      </c>
      <c r="G20" s="79">
        <v>46174</v>
      </c>
      <c r="H20" s="79">
        <v>46204</v>
      </c>
      <c r="I20" s="79">
        <v>46235</v>
      </c>
      <c r="J20" s="79">
        <v>46266</v>
      </c>
      <c r="K20" s="79">
        <v>46296</v>
      </c>
      <c r="L20" s="79">
        <v>46327</v>
      </c>
      <c r="M20" s="79">
        <v>46357</v>
      </c>
    </row>
    <row r="21" spans="1:13" x14ac:dyDescent="0.2">
      <c r="A21" s="78" t="s">
        <v>110</v>
      </c>
      <c r="B21" s="42">
        <v>227500</v>
      </c>
      <c r="C21" s="42">
        <f t="shared" ref="C21:M21" si="3">B32</f>
        <v>307500</v>
      </c>
      <c r="D21" s="42">
        <f t="shared" si="3"/>
        <v>187500</v>
      </c>
      <c r="E21" s="42">
        <f t="shared" si="3"/>
        <v>267500</v>
      </c>
      <c r="F21" s="42">
        <f t="shared" si="3"/>
        <v>347500</v>
      </c>
      <c r="G21" s="42">
        <f t="shared" si="3"/>
        <v>427500</v>
      </c>
      <c r="H21" s="42">
        <f t="shared" si="3"/>
        <v>427500</v>
      </c>
      <c r="I21" s="42">
        <f t="shared" si="3"/>
        <v>427500</v>
      </c>
      <c r="J21" s="42">
        <f t="shared" si="3"/>
        <v>427500</v>
      </c>
      <c r="K21" s="42">
        <f t="shared" si="3"/>
        <v>427500</v>
      </c>
      <c r="L21" s="42">
        <f t="shared" si="3"/>
        <v>427500</v>
      </c>
      <c r="M21" s="42">
        <f t="shared" si="3"/>
        <v>427500</v>
      </c>
    </row>
    <row r="22" spans="1:13" x14ac:dyDescent="0.2">
      <c r="A22" s="78" t="s">
        <v>76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30000</v>
      </c>
      <c r="C24" s="42">
        <v>30000</v>
      </c>
      <c r="D24" s="42">
        <v>30000</v>
      </c>
      <c r="E24" s="42">
        <v>30000</v>
      </c>
      <c r="F24" s="42">
        <v>30000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85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50000</v>
      </c>
      <c r="C29" s="42">
        <v>50000</v>
      </c>
      <c r="D29" s="42">
        <v>50000</v>
      </c>
      <c r="E29" s="42">
        <v>50000</v>
      </c>
      <c r="F29" s="42">
        <v>50000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307500</v>
      </c>
      <c r="C30" s="43">
        <f t="shared" si="4"/>
        <v>387500</v>
      </c>
      <c r="D30" s="43">
        <f t="shared" si="4"/>
        <v>267500</v>
      </c>
      <c r="E30" s="43">
        <f t="shared" si="4"/>
        <v>347500</v>
      </c>
      <c r="F30" s="43">
        <f t="shared" si="4"/>
        <v>427500</v>
      </c>
      <c r="G30" s="43">
        <f t="shared" si="4"/>
        <v>427500</v>
      </c>
      <c r="H30" s="43">
        <f t="shared" si="4"/>
        <v>427500</v>
      </c>
      <c r="I30" s="43">
        <f t="shared" si="4"/>
        <v>427500</v>
      </c>
      <c r="J30" s="43">
        <f t="shared" si="4"/>
        <v>427500</v>
      </c>
      <c r="K30" s="43">
        <f t="shared" si="4"/>
        <v>427500</v>
      </c>
      <c r="L30" s="43">
        <f t="shared" si="4"/>
        <v>427500</v>
      </c>
      <c r="M30" s="43">
        <f t="shared" si="4"/>
        <v>427500</v>
      </c>
    </row>
    <row r="31" spans="1:13" x14ac:dyDescent="0.2">
      <c r="A31" s="78" t="s">
        <v>7</v>
      </c>
      <c r="B31" s="44"/>
      <c r="C31" s="44">
        <v>200000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x14ac:dyDescent="0.2">
      <c r="A32" s="78" t="s">
        <v>111</v>
      </c>
      <c r="B32" s="43">
        <f t="shared" ref="B32:M32" si="5">B30-B31</f>
        <v>307500</v>
      </c>
      <c r="C32" s="43">
        <f t="shared" si="5"/>
        <v>187500</v>
      </c>
      <c r="D32" s="43">
        <f t="shared" si="5"/>
        <v>267500</v>
      </c>
      <c r="E32" s="43">
        <f t="shared" si="5"/>
        <v>347500</v>
      </c>
      <c r="F32" s="43">
        <f t="shared" si="5"/>
        <v>427500</v>
      </c>
      <c r="G32" s="43">
        <f t="shared" si="5"/>
        <v>427500</v>
      </c>
      <c r="H32" s="43">
        <f t="shared" si="5"/>
        <v>427500</v>
      </c>
      <c r="I32" s="43">
        <f t="shared" si="5"/>
        <v>427500</v>
      </c>
      <c r="J32" s="43">
        <f t="shared" si="5"/>
        <v>427500</v>
      </c>
      <c r="K32" s="43">
        <f t="shared" si="5"/>
        <v>427500</v>
      </c>
      <c r="L32" s="43">
        <f t="shared" si="5"/>
        <v>427500</v>
      </c>
      <c r="M32" s="43">
        <f t="shared" si="5"/>
        <v>427500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4"/>
  <dimension ref="A4:M77"/>
  <sheetViews>
    <sheetView topLeftCell="A7" workbookViewId="0">
      <selection activeCell="E19" sqref="E19"/>
    </sheetView>
  </sheetViews>
  <sheetFormatPr baseColWidth="10" defaultRowHeight="12.75" x14ac:dyDescent="0.2"/>
  <cols>
    <col min="1" max="1" width="27.28515625" customWidth="1"/>
    <col min="2" max="2" width="13.7109375" customWidth="1"/>
    <col min="3" max="3" width="15.28515625" customWidth="1"/>
    <col min="4" max="4" width="14.140625" customWidth="1"/>
    <col min="5" max="5" width="13.28515625" customWidth="1"/>
    <col min="6" max="6" width="13.5703125" customWidth="1"/>
    <col min="7" max="7" width="12.7109375" customWidth="1"/>
    <col min="8" max="8" width="13.42578125" customWidth="1"/>
    <col min="9" max="9" width="12.5703125" customWidth="1"/>
    <col min="10" max="11" width="13" customWidth="1"/>
    <col min="12" max="12" width="13.7109375" customWidth="1"/>
    <col min="13" max="13" width="12.7109375" customWidth="1"/>
  </cols>
  <sheetData>
    <row r="4" spans="1:13" ht="20.25" x14ac:dyDescent="0.3">
      <c r="A4" s="11" t="s">
        <v>11</v>
      </c>
      <c r="B4" s="216" t="s">
        <v>43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31" t="s">
        <v>0</v>
      </c>
      <c r="B6" s="31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">
      <c r="A7" s="78"/>
      <c r="B7" s="79">
        <v>46023</v>
      </c>
      <c r="C7" s="79">
        <v>46054</v>
      </c>
      <c r="D7" s="79">
        <v>46082</v>
      </c>
      <c r="E7" s="79">
        <v>46113</v>
      </c>
      <c r="F7" s="79">
        <v>46143</v>
      </c>
      <c r="G7" s="79">
        <v>46174</v>
      </c>
      <c r="H7" s="79">
        <v>46204</v>
      </c>
      <c r="I7" s="79">
        <v>46235</v>
      </c>
      <c r="J7" s="79">
        <v>46266</v>
      </c>
      <c r="K7" s="79">
        <v>46296</v>
      </c>
      <c r="L7" s="79">
        <v>46327</v>
      </c>
      <c r="M7" s="79">
        <v>46357</v>
      </c>
    </row>
    <row r="8" spans="1:13" x14ac:dyDescent="0.2">
      <c r="A8" s="78" t="s">
        <v>110</v>
      </c>
      <c r="B8" s="42">
        <v>1965350</v>
      </c>
      <c r="C8" s="42">
        <f>B19</f>
        <v>2115350</v>
      </c>
      <c r="D8" s="42">
        <f t="shared" ref="D8:M8" si="0">C19</f>
        <v>1865350</v>
      </c>
      <c r="E8" s="42">
        <f t="shared" si="0"/>
        <v>2065350</v>
      </c>
      <c r="F8" s="42">
        <f t="shared" si="0"/>
        <v>1865350</v>
      </c>
      <c r="G8" s="42">
        <f t="shared" si="0"/>
        <v>1865350</v>
      </c>
      <c r="H8" s="42">
        <f t="shared" si="0"/>
        <v>1865350</v>
      </c>
      <c r="I8" s="42">
        <f t="shared" si="0"/>
        <v>1865350</v>
      </c>
      <c r="J8" s="42">
        <f t="shared" si="0"/>
        <v>1865350</v>
      </c>
      <c r="K8" s="42">
        <f>J19</f>
        <v>1865350</v>
      </c>
      <c r="L8" s="42">
        <f t="shared" si="0"/>
        <v>1865350</v>
      </c>
      <c r="M8" s="42">
        <f t="shared" si="0"/>
        <v>1865350</v>
      </c>
    </row>
    <row r="9" spans="1:13" x14ac:dyDescent="0.2">
      <c r="A9" s="78" t="s">
        <v>76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109"/>
      <c r="M10" s="42"/>
    </row>
    <row r="11" spans="1:13" x14ac:dyDescent="0.2">
      <c r="A11" s="78" t="s">
        <v>4</v>
      </c>
      <c r="B11" s="42"/>
      <c r="C11" s="42"/>
      <c r="D11" s="42"/>
      <c r="E11" s="42"/>
      <c r="F11" s="42"/>
      <c r="G11" s="42"/>
      <c r="H11" s="42"/>
      <c r="I11" s="42"/>
      <c r="J11" s="42"/>
      <c r="K11" s="109"/>
      <c r="L11" s="42"/>
      <c r="M11" s="42"/>
    </row>
    <row r="12" spans="1:13" x14ac:dyDescent="0.2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316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150000</v>
      </c>
      <c r="C16" s="42">
        <v>150000</v>
      </c>
      <c r="D16" s="42">
        <v>200000</v>
      </c>
      <c r="E16" s="42">
        <v>200000</v>
      </c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6</v>
      </c>
      <c r="B17" s="43">
        <f t="shared" ref="B17:M17" si="1">SUM(B8:B16)</f>
        <v>2115350</v>
      </c>
      <c r="C17" s="43">
        <f t="shared" si="1"/>
        <v>2265350</v>
      </c>
      <c r="D17" s="43">
        <f t="shared" si="1"/>
        <v>2065350</v>
      </c>
      <c r="E17" s="43">
        <f t="shared" si="1"/>
        <v>2265350</v>
      </c>
      <c r="F17" s="43">
        <f t="shared" si="1"/>
        <v>1865350</v>
      </c>
      <c r="G17" s="43">
        <f t="shared" si="1"/>
        <v>1865350</v>
      </c>
      <c r="H17" s="43">
        <f t="shared" si="1"/>
        <v>1865350</v>
      </c>
      <c r="I17" s="43">
        <f t="shared" si="1"/>
        <v>1865350</v>
      </c>
      <c r="J17" s="43">
        <f t="shared" si="1"/>
        <v>1865350</v>
      </c>
      <c r="K17" s="43">
        <f t="shared" si="1"/>
        <v>1865350</v>
      </c>
      <c r="L17" s="43">
        <f t="shared" si="1"/>
        <v>1865350</v>
      </c>
      <c r="M17" s="43">
        <f t="shared" si="1"/>
        <v>1865350</v>
      </c>
    </row>
    <row r="18" spans="1:13" x14ac:dyDescent="0.2">
      <c r="A18" s="78" t="s">
        <v>7</v>
      </c>
      <c r="B18" s="44"/>
      <c r="C18" s="44">
        <v>400000</v>
      </c>
      <c r="D18" s="44"/>
      <c r="E18" s="44">
        <v>400000</v>
      </c>
      <c r="F18" s="44"/>
      <c r="G18" s="44"/>
      <c r="H18" s="44"/>
      <c r="I18" s="44"/>
      <c r="J18" s="44"/>
      <c r="K18" s="44"/>
      <c r="L18" s="44"/>
      <c r="M18" s="44"/>
    </row>
    <row r="19" spans="1:13" x14ac:dyDescent="0.2">
      <c r="A19" s="78" t="s">
        <v>111</v>
      </c>
      <c r="B19" s="43">
        <f>B17-B18</f>
        <v>2115350</v>
      </c>
      <c r="C19" s="43">
        <f>C17-C18</f>
        <v>1865350</v>
      </c>
      <c r="D19" s="43">
        <f t="shared" ref="D19:M19" si="2">D17-D18</f>
        <v>2065350</v>
      </c>
      <c r="E19" s="43">
        <f t="shared" si="2"/>
        <v>1865350</v>
      </c>
      <c r="F19" s="43">
        <f t="shared" si="2"/>
        <v>1865350</v>
      </c>
      <c r="G19" s="43">
        <f t="shared" si="2"/>
        <v>1865350</v>
      </c>
      <c r="H19" s="43">
        <f t="shared" si="2"/>
        <v>1865350</v>
      </c>
      <c r="I19" s="43">
        <f t="shared" si="2"/>
        <v>1865350</v>
      </c>
      <c r="J19" s="43">
        <f t="shared" si="2"/>
        <v>1865350</v>
      </c>
      <c r="K19" s="43">
        <f t="shared" si="2"/>
        <v>1865350</v>
      </c>
      <c r="L19" s="43">
        <f t="shared" si="2"/>
        <v>1865350</v>
      </c>
      <c r="M19" s="43">
        <f t="shared" si="2"/>
        <v>1865350</v>
      </c>
    </row>
    <row r="25" spans="1:13" ht="15.75" x14ac:dyDescent="0.25">
      <c r="A25" s="32" t="s">
        <v>0</v>
      </c>
      <c r="B25" s="32" t="s">
        <v>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81"/>
      <c r="B26" s="82">
        <v>45658</v>
      </c>
      <c r="C26" s="82">
        <v>45689</v>
      </c>
      <c r="D26" s="82">
        <v>45717</v>
      </c>
      <c r="E26" s="82">
        <v>45748</v>
      </c>
      <c r="F26" s="82">
        <v>45778</v>
      </c>
      <c r="G26" s="82">
        <v>45809</v>
      </c>
      <c r="H26" s="82">
        <v>45839</v>
      </c>
      <c r="I26" s="82">
        <v>45870</v>
      </c>
      <c r="J26" s="82">
        <v>45901</v>
      </c>
      <c r="K26" s="82">
        <v>45931</v>
      </c>
      <c r="L26" s="82">
        <v>45962</v>
      </c>
      <c r="M26" s="82">
        <v>45992</v>
      </c>
    </row>
    <row r="27" spans="1:13" x14ac:dyDescent="0.2">
      <c r="A27" s="78" t="s">
        <v>110</v>
      </c>
      <c r="B27" s="69">
        <v>165350</v>
      </c>
      <c r="C27" s="69">
        <f t="shared" ref="C27:M27" si="3">B38</f>
        <v>315350</v>
      </c>
      <c r="D27" s="69">
        <f t="shared" si="3"/>
        <v>465350</v>
      </c>
      <c r="E27" s="69">
        <f t="shared" si="3"/>
        <v>615350</v>
      </c>
      <c r="F27" s="69">
        <f t="shared" si="3"/>
        <v>765350</v>
      </c>
      <c r="G27" s="69">
        <f t="shared" si="3"/>
        <v>915350</v>
      </c>
      <c r="H27" s="69">
        <f t="shared" si="3"/>
        <v>1065350</v>
      </c>
      <c r="I27" s="69">
        <f t="shared" si="3"/>
        <v>1215350</v>
      </c>
      <c r="J27" s="69">
        <f t="shared" si="3"/>
        <v>1365350</v>
      </c>
      <c r="K27" s="69">
        <f t="shared" si="3"/>
        <v>1515350</v>
      </c>
      <c r="L27" s="69">
        <f t="shared" si="3"/>
        <v>1665350</v>
      </c>
      <c r="M27" s="69">
        <f t="shared" si="3"/>
        <v>1815350</v>
      </c>
    </row>
    <row r="28" spans="1:13" x14ac:dyDescent="0.2">
      <c r="A28" s="78" t="s">
        <v>144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78" t="s">
        <v>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78" t="s">
        <v>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78" t="s">
        <v>9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x14ac:dyDescent="0.2">
      <c r="A32" s="78" t="s">
        <v>73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1:13" x14ac:dyDescent="0.2">
      <c r="A33" s="78" t="s">
        <v>74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 x14ac:dyDescent="0.2">
      <c r="A34" s="78" t="s">
        <v>75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1:13" x14ac:dyDescent="0.2">
      <c r="A35" s="78" t="s">
        <v>5</v>
      </c>
      <c r="B35" s="69">
        <v>150000</v>
      </c>
      <c r="C35" s="69">
        <v>150000</v>
      </c>
      <c r="D35" s="69">
        <v>150000</v>
      </c>
      <c r="E35" s="69">
        <v>150000</v>
      </c>
      <c r="F35" s="69">
        <v>150000</v>
      </c>
      <c r="G35" s="69">
        <v>150000</v>
      </c>
      <c r="H35" s="69">
        <v>150000</v>
      </c>
      <c r="I35" s="69">
        <v>150000</v>
      </c>
      <c r="J35" s="69">
        <v>150000</v>
      </c>
      <c r="K35" s="69">
        <v>150000</v>
      </c>
      <c r="L35" s="69">
        <v>150000</v>
      </c>
      <c r="M35" s="69">
        <v>150000</v>
      </c>
    </row>
    <row r="36" spans="1:13" x14ac:dyDescent="0.2">
      <c r="A36" s="78" t="s">
        <v>6</v>
      </c>
      <c r="B36" s="70">
        <f t="shared" ref="B36:M36" si="4">SUM(B27:B35)</f>
        <v>315350</v>
      </c>
      <c r="C36" s="70">
        <f t="shared" si="4"/>
        <v>465350</v>
      </c>
      <c r="D36" s="70">
        <f t="shared" si="4"/>
        <v>615350</v>
      </c>
      <c r="E36" s="70">
        <f t="shared" si="4"/>
        <v>765350</v>
      </c>
      <c r="F36" s="70">
        <f t="shared" si="4"/>
        <v>915350</v>
      </c>
      <c r="G36" s="70">
        <f t="shared" si="4"/>
        <v>1065350</v>
      </c>
      <c r="H36" s="70">
        <f t="shared" si="4"/>
        <v>1215350</v>
      </c>
      <c r="I36" s="70">
        <f t="shared" si="4"/>
        <v>1365350</v>
      </c>
      <c r="J36" s="70">
        <f t="shared" si="4"/>
        <v>1515350</v>
      </c>
      <c r="K36" s="70">
        <f t="shared" si="4"/>
        <v>1665350</v>
      </c>
      <c r="L36" s="70">
        <f t="shared" si="4"/>
        <v>1815350</v>
      </c>
      <c r="M36" s="70">
        <f t="shared" si="4"/>
        <v>1965350</v>
      </c>
    </row>
    <row r="37" spans="1:13" ht="13.5" thickBot="1" x14ac:dyDescent="0.25">
      <c r="A37" s="78" t="s">
        <v>7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</row>
    <row r="38" spans="1:13" ht="13.5" thickBot="1" x14ac:dyDescent="0.25">
      <c r="A38" s="78" t="s">
        <v>111</v>
      </c>
      <c r="B38" s="75">
        <f t="shared" ref="B38:M38" si="5">B36-B37</f>
        <v>315350</v>
      </c>
      <c r="C38" s="76">
        <f t="shared" si="5"/>
        <v>465350</v>
      </c>
      <c r="D38" s="76">
        <f t="shared" si="5"/>
        <v>615350</v>
      </c>
      <c r="E38" s="76">
        <f t="shared" si="5"/>
        <v>765350</v>
      </c>
      <c r="F38" s="76">
        <f t="shared" si="5"/>
        <v>915350</v>
      </c>
      <c r="G38" s="76">
        <f t="shared" si="5"/>
        <v>1065350</v>
      </c>
      <c r="H38" s="76">
        <f t="shared" si="5"/>
        <v>1215350</v>
      </c>
      <c r="I38" s="76">
        <f t="shared" si="5"/>
        <v>1365350</v>
      </c>
      <c r="J38" s="76">
        <f t="shared" si="5"/>
        <v>1515350</v>
      </c>
      <c r="K38" s="76">
        <f t="shared" si="5"/>
        <v>1665350</v>
      </c>
      <c r="L38" s="76">
        <f t="shared" si="5"/>
        <v>1815350</v>
      </c>
      <c r="M38" s="77">
        <f t="shared" si="5"/>
        <v>1965350</v>
      </c>
    </row>
    <row r="39" spans="1:13" x14ac:dyDescent="0.2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 t="s">
        <v>493</v>
      </c>
    </row>
    <row r="40" spans="1:13" x14ac:dyDescent="0.2">
      <c r="M40" t="s">
        <v>494</v>
      </c>
    </row>
    <row r="41" spans="1:13" ht="15" x14ac:dyDescent="0.2">
      <c r="A41" s="40" t="s">
        <v>164</v>
      </c>
      <c r="M41" t="s">
        <v>495</v>
      </c>
    </row>
    <row r="46" spans="1:13" x14ac:dyDescent="0.2">
      <c r="A46" s="50" t="s">
        <v>0</v>
      </c>
      <c r="B46" s="50" t="s">
        <v>1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</row>
    <row r="47" spans="1:13" x14ac:dyDescent="0.2">
      <c r="A47" s="78"/>
      <c r="B47" s="79">
        <v>45292</v>
      </c>
      <c r="C47" s="79">
        <v>45323</v>
      </c>
      <c r="D47" s="79">
        <v>45352</v>
      </c>
      <c r="E47" s="79">
        <v>45383</v>
      </c>
      <c r="F47" s="79">
        <v>45413</v>
      </c>
      <c r="G47" s="79">
        <v>45444</v>
      </c>
      <c r="H47" s="79">
        <v>45474</v>
      </c>
      <c r="I47" s="79">
        <v>45505</v>
      </c>
      <c r="J47" s="79">
        <v>45536</v>
      </c>
      <c r="K47" s="79">
        <v>45566</v>
      </c>
      <c r="L47" s="79">
        <v>45597</v>
      </c>
      <c r="M47" s="79">
        <v>45627</v>
      </c>
    </row>
    <row r="48" spans="1:13" x14ac:dyDescent="0.2">
      <c r="A48" s="78" t="s">
        <v>110</v>
      </c>
      <c r="B48" s="42">
        <v>351200</v>
      </c>
      <c r="C48" s="42">
        <f t="shared" ref="C48:M48" si="6">B59</f>
        <v>401200</v>
      </c>
      <c r="D48" s="42">
        <f t="shared" si="6"/>
        <v>65350</v>
      </c>
      <c r="E48" s="42">
        <f t="shared" si="6"/>
        <v>135350</v>
      </c>
      <c r="F48" s="42">
        <f t="shared" si="6"/>
        <v>205350</v>
      </c>
      <c r="G48" s="42">
        <f t="shared" si="6"/>
        <v>275350</v>
      </c>
      <c r="H48" s="42">
        <f t="shared" si="6"/>
        <v>345350</v>
      </c>
      <c r="I48" s="42">
        <f t="shared" si="6"/>
        <v>415350</v>
      </c>
      <c r="J48" s="42">
        <f t="shared" si="6"/>
        <v>485350</v>
      </c>
      <c r="K48" s="42">
        <f t="shared" si="6"/>
        <v>555350</v>
      </c>
      <c r="L48" s="42">
        <f t="shared" si="6"/>
        <v>625350</v>
      </c>
      <c r="M48" s="42">
        <f t="shared" si="6"/>
        <v>695350</v>
      </c>
    </row>
    <row r="49" spans="1:13" x14ac:dyDescent="0.2">
      <c r="A49" s="78" t="s">
        <v>76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>
        <v>0</v>
      </c>
      <c r="M49" s="42">
        <v>0</v>
      </c>
    </row>
    <row r="50" spans="1:13" x14ac:dyDescent="0.2">
      <c r="A50" s="78" t="s">
        <v>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150"/>
      <c r="M50" s="42"/>
    </row>
    <row r="51" spans="1:13" x14ac:dyDescent="0.2">
      <c r="A51" s="78" t="s">
        <v>4</v>
      </c>
      <c r="B51" s="42"/>
      <c r="C51" s="42"/>
      <c r="D51" s="42"/>
      <c r="E51" s="42"/>
      <c r="F51" s="42"/>
      <c r="G51" s="42"/>
      <c r="H51" s="42"/>
      <c r="I51" s="42"/>
      <c r="J51" s="42"/>
      <c r="K51" s="150"/>
      <c r="L51" s="42"/>
      <c r="M51" s="42"/>
    </row>
    <row r="52" spans="1:13" x14ac:dyDescent="0.2">
      <c r="A52" s="78" t="s">
        <v>9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2">
      <c r="A53" s="78" t="s">
        <v>73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x14ac:dyDescent="0.2">
      <c r="A54" s="78" t="s">
        <v>191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1:13" x14ac:dyDescent="0.2">
      <c r="A55" s="78" t="s">
        <v>75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1:13" x14ac:dyDescent="0.2">
      <c r="A56" s="78" t="s">
        <v>5</v>
      </c>
      <c r="B56" s="42">
        <v>50000</v>
      </c>
      <c r="C56" s="42">
        <v>50000</v>
      </c>
      <c r="D56" s="42">
        <v>70000</v>
      </c>
      <c r="E56" s="42">
        <v>70000</v>
      </c>
      <c r="F56" s="42">
        <v>70000</v>
      </c>
      <c r="G56" s="42">
        <v>70000</v>
      </c>
      <c r="H56" s="42">
        <v>70000</v>
      </c>
      <c r="I56" s="42">
        <v>70000</v>
      </c>
      <c r="J56" s="42">
        <v>70000</v>
      </c>
      <c r="K56" s="42">
        <v>70000</v>
      </c>
      <c r="L56" s="42">
        <v>70000</v>
      </c>
      <c r="M56" s="42">
        <v>70000</v>
      </c>
    </row>
    <row r="57" spans="1:13" x14ac:dyDescent="0.2">
      <c r="A57" s="78" t="s">
        <v>6</v>
      </c>
      <c r="B57" s="43">
        <f t="shared" ref="B57:M57" si="7">SUM(B48:B56)</f>
        <v>401200</v>
      </c>
      <c r="C57" s="43">
        <f t="shared" si="7"/>
        <v>451200</v>
      </c>
      <c r="D57" s="43">
        <f t="shared" si="7"/>
        <v>135350</v>
      </c>
      <c r="E57" s="43">
        <f t="shared" si="7"/>
        <v>205350</v>
      </c>
      <c r="F57" s="43">
        <f t="shared" si="7"/>
        <v>275350</v>
      </c>
      <c r="G57" s="43">
        <f t="shared" si="7"/>
        <v>345350</v>
      </c>
      <c r="H57" s="43">
        <f t="shared" si="7"/>
        <v>415350</v>
      </c>
      <c r="I57" s="43">
        <f t="shared" si="7"/>
        <v>485350</v>
      </c>
      <c r="J57" s="43">
        <f t="shared" si="7"/>
        <v>555350</v>
      </c>
      <c r="K57" s="43">
        <f t="shared" si="7"/>
        <v>625350</v>
      </c>
      <c r="L57" s="43">
        <f t="shared" si="7"/>
        <v>695350</v>
      </c>
      <c r="M57" s="43">
        <f t="shared" si="7"/>
        <v>765350</v>
      </c>
    </row>
    <row r="58" spans="1:13" x14ac:dyDescent="0.2">
      <c r="A58" s="78" t="s">
        <v>7</v>
      </c>
      <c r="B58" s="44"/>
      <c r="C58" s="44">
        <f>200000+80000+105850</f>
        <v>385850</v>
      </c>
      <c r="D58" s="44"/>
      <c r="E58" s="44"/>
      <c r="F58" s="44"/>
      <c r="G58" s="44"/>
      <c r="H58" s="44"/>
      <c r="I58" s="44"/>
      <c r="J58" s="44"/>
      <c r="K58" s="44"/>
      <c r="L58" s="44"/>
      <c r="M58" s="44">
        <v>600000</v>
      </c>
    </row>
    <row r="59" spans="1:13" x14ac:dyDescent="0.2">
      <c r="A59" s="78" t="s">
        <v>111</v>
      </c>
      <c r="B59" s="43">
        <f t="shared" ref="B59:M59" si="8">B57-B58</f>
        <v>401200</v>
      </c>
      <c r="C59" s="43">
        <f t="shared" si="8"/>
        <v>65350</v>
      </c>
      <c r="D59" s="43">
        <f t="shared" si="8"/>
        <v>135350</v>
      </c>
      <c r="E59" s="43">
        <f t="shared" si="8"/>
        <v>205350</v>
      </c>
      <c r="F59" s="43">
        <f t="shared" si="8"/>
        <v>275350</v>
      </c>
      <c r="G59" s="43">
        <f t="shared" si="8"/>
        <v>345350</v>
      </c>
      <c r="H59" s="43">
        <f t="shared" si="8"/>
        <v>415350</v>
      </c>
      <c r="I59" s="43">
        <f t="shared" si="8"/>
        <v>485350</v>
      </c>
      <c r="J59" s="43">
        <f t="shared" si="8"/>
        <v>555350</v>
      </c>
      <c r="K59" s="43">
        <f t="shared" si="8"/>
        <v>625350</v>
      </c>
      <c r="L59" s="43">
        <f t="shared" si="8"/>
        <v>695350</v>
      </c>
      <c r="M59" s="43">
        <f t="shared" si="8"/>
        <v>165350</v>
      </c>
    </row>
    <row r="60" spans="1:13" x14ac:dyDescent="0.2">
      <c r="G60" t="s">
        <v>431</v>
      </c>
    </row>
    <row r="64" spans="1:13" ht="15.75" x14ac:dyDescent="0.25">
      <c r="A64" s="31" t="s">
        <v>0</v>
      </c>
      <c r="B64" s="31" t="s">
        <v>1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ht="15.75" x14ac:dyDescent="0.25">
      <c r="A65" s="8"/>
      <c r="B65" s="15">
        <v>40544</v>
      </c>
      <c r="C65" s="15">
        <v>40575</v>
      </c>
      <c r="D65" s="15">
        <v>40603</v>
      </c>
      <c r="E65" s="15">
        <v>40634</v>
      </c>
      <c r="F65" s="15">
        <v>40664</v>
      </c>
      <c r="G65" s="15">
        <v>40695</v>
      </c>
      <c r="H65" s="15">
        <v>40725</v>
      </c>
      <c r="I65" s="15">
        <v>40756</v>
      </c>
      <c r="J65" s="15">
        <v>40787</v>
      </c>
      <c r="K65" s="15">
        <v>40817</v>
      </c>
      <c r="L65" s="15">
        <v>40848</v>
      </c>
      <c r="M65" s="15">
        <v>40878</v>
      </c>
    </row>
    <row r="66" spans="1:13" ht="15" x14ac:dyDescent="0.2">
      <c r="A66" s="8" t="s">
        <v>110</v>
      </c>
      <c r="B66" s="22">
        <v>4045.82</v>
      </c>
      <c r="C66" s="22">
        <f t="shared" ref="C66:M66" si="9">B77</f>
        <v>4445.82</v>
      </c>
      <c r="D66" s="22">
        <f t="shared" si="9"/>
        <v>4845.82</v>
      </c>
      <c r="E66" s="22">
        <f t="shared" si="9"/>
        <v>5245.82</v>
      </c>
      <c r="F66" s="22">
        <f t="shared" si="9"/>
        <v>5645.82</v>
      </c>
      <c r="G66" s="22"/>
      <c r="H66" s="22">
        <f t="shared" si="9"/>
        <v>0</v>
      </c>
      <c r="I66" s="22">
        <f t="shared" si="9"/>
        <v>0</v>
      </c>
      <c r="J66" s="22">
        <f t="shared" si="9"/>
        <v>-17.160000000000082</v>
      </c>
      <c r="K66" s="22">
        <f t="shared" si="9"/>
        <v>382.83999999999992</v>
      </c>
      <c r="L66" s="22">
        <f t="shared" si="9"/>
        <v>0</v>
      </c>
      <c r="M66" s="22">
        <f t="shared" si="9"/>
        <v>837.88</v>
      </c>
    </row>
    <row r="67" spans="1:13" ht="15" x14ac:dyDescent="0.2">
      <c r="A67" s="8" t="s">
        <v>76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>
        <v>0</v>
      </c>
      <c r="M67" s="22">
        <v>0</v>
      </c>
    </row>
    <row r="68" spans="1:13" ht="15" x14ac:dyDescent="0.2">
      <c r="A68" s="8" t="s">
        <v>3</v>
      </c>
      <c r="B68" s="22"/>
      <c r="C68" s="22"/>
      <c r="D68" s="22"/>
      <c r="E68" s="22"/>
      <c r="F68" s="22"/>
      <c r="G68" s="22">
        <v>153.97999999999999</v>
      </c>
      <c r="H68" s="22">
        <v>426.82</v>
      </c>
      <c r="I68" s="22">
        <v>117.6</v>
      </c>
      <c r="J68" s="22"/>
      <c r="K68" s="22"/>
      <c r="L68" s="41">
        <v>221.2</v>
      </c>
      <c r="M68" s="22">
        <v>120.3</v>
      </c>
    </row>
    <row r="69" spans="1:13" ht="15" x14ac:dyDescent="0.2">
      <c r="A69" s="8" t="s">
        <v>4</v>
      </c>
      <c r="B69" s="22"/>
      <c r="C69" s="22"/>
      <c r="D69" s="22"/>
      <c r="E69" s="22"/>
      <c r="F69" s="22"/>
      <c r="G69" s="22">
        <v>303.18</v>
      </c>
      <c r="H69" s="22">
        <v>418.29</v>
      </c>
      <c r="I69" s="22">
        <v>115.24</v>
      </c>
      <c r="J69" s="22"/>
      <c r="K69" s="41"/>
      <c r="L69" s="22">
        <v>216.68</v>
      </c>
      <c r="M69" s="22">
        <v>117.89</v>
      </c>
    </row>
    <row r="70" spans="1:13" ht="15" x14ac:dyDescent="0.2">
      <c r="A70" s="8" t="s">
        <v>9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 ht="15" x14ac:dyDescent="0.2">
      <c r="A71" s="8" t="s">
        <v>73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ht="15" x14ac:dyDescent="0.2">
      <c r="A72" s="8" t="s">
        <v>191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ht="15" x14ac:dyDescent="0.2">
      <c r="A73" s="8" t="s">
        <v>75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ht="15" x14ac:dyDescent="0.2">
      <c r="A74" s="8" t="s">
        <v>5</v>
      </c>
      <c r="B74" s="22">
        <v>400</v>
      </c>
      <c r="C74" s="22">
        <v>400</v>
      </c>
      <c r="D74" s="22">
        <v>400</v>
      </c>
      <c r="E74" s="22">
        <v>400</v>
      </c>
      <c r="F74" s="22">
        <v>400</v>
      </c>
      <c r="G74" s="22">
        <v>400</v>
      </c>
      <c r="H74" s="22">
        <v>400</v>
      </c>
      <c r="I74" s="22">
        <v>400</v>
      </c>
      <c r="J74" s="22">
        <v>400</v>
      </c>
      <c r="K74" s="22">
        <v>400</v>
      </c>
      <c r="L74" s="22">
        <v>400</v>
      </c>
      <c r="M74" s="22">
        <v>400</v>
      </c>
    </row>
    <row r="75" spans="1:13" ht="15" x14ac:dyDescent="0.2">
      <c r="A75" s="8" t="s">
        <v>6</v>
      </c>
      <c r="B75" s="16">
        <f t="shared" ref="B75:M75" si="10">SUM(B66:B74)</f>
        <v>4445.82</v>
      </c>
      <c r="C75" s="16">
        <f t="shared" si="10"/>
        <v>4845.82</v>
      </c>
      <c r="D75" s="16">
        <f t="shared" si="10"/>
        <v>5245.82</v>
      </c>
      <c r="E75" s="16">
        <f t="shared" si="10"/>
        <v>5645.82</v>
      </c>
      <c r="F75" s="16">
        <f t="shared" si="10"/>
        <v>6045.82</v>
      </c>
      <c r="G75" s="16">
        <f t="shared" si="10"/>
        <v>857.16</v>
      </c>
      <c r="H75" s="16">
        <f t="shared" si="10"/>
        <v>1245.1100000000001</v>
      </c>
      <c r="I75" s="16">
        <f t="shared" si="10"/>
        <v>632.83999999999992</v>
      </c>
      <c r="J75" s="16">
        <f t="shared" si="10"/>
        <v>382.83999999999992</v>
      </c>
      <c r="K75" s="16">
        <f t="shared" si="10"/>
        <v>782.83999999999992</v>
      </c>
      <c r="L75" s="16">
        <f t="shared" si="10"/>
        <v>837.88</v>
      </c>
      <c r="M75" s="16">
        <f t="shared" si="10"/>
        <v>1476.07</v>
      </c>
    </row>
    <row r="76" spans="1:13" ht="15" x14ac:dyDescent="0.2">
      <c r="A76" s="8" t="s">
        <v>7</v>
      </c>
      <c r="B76" s="23"/>
      <c r="C76" s="23"/>
      <c r="D76" s="23"/>
      <c r="E76" s="23"/>
      <c r="F76" s="23">
        <f>3000+1000</f>
        <v>4000</v>
      </c>
      <c r="G76" s="23">
        <v>857.16</v>
      </c>
      <c r="H76" s="23">
        <v>1245.1099999999999</v>
      </c>
      <c r="I76" s="23">
        <v>650</v>
      </c>
      <c r="J76" s="23"/>
      <c r="K76" s="23">
        <v>782.84</v>
      </c>
      <c r="L76" s="23"/>
      <c r="M76" s="23">
        <v>1480</v>
      </c>
    </row>
    <row r="77" spans="1:13" ht="15" x14ac:dyDescent="0.2">
      <c r="A77" s="8" t="s">
        <v>111</v>
      </c>
      <c r="B77" s="16">
        <f t="shared" ref="B77:M77" si="11">B75-B76</f>
        <v>4445.82</v>
      </c>
      <c r="C77" s="16">
        <f t="shared" si="11"/>
        <v>4845.82</v>
      </c>
      <c r="D77" s="16">
        <f t="shared" si="11"/>
        <v>5245.82</v>
      </c>
      <c r="E77" s="16">
        <f t="shared" si="11"/>
        <v>5645.82</v>
      </c>
      <c r="F77" s="16">
        <f t="shared" si="11"/>
        <v>2045.8199999999997</v>
      </c>
      <c r="G77" s="16">
        <f t="shared" si="11"/>
        <v>0</v>
      </c>
      <c r="H77" s="16">
        <f t="shared" si="11"/>
        <v>0</v>
      </c>
      <c r="I77" s="16">
        <f t="shared" si="11"/>
        <v>-17.160000000000082</v>
      </c>
      <c r="J77" s="16">
        <f t="shared" si="11"/>
        <v>382.83999999999992</v>
      </c>
      <c r="K77" s="16">
        <f t="shared" si="11"/>
        <v>0</v>
      </c>
      <c r="L77" s="16">
        <f t="shared" si="11"/>
        <v>837.88</v>
      </c>
      <c r="M77" s="16">
        <f t="shared" si="11"/>
        <v>-3.9300000000000637</v>
      </c>
    </row>
  </sheetData>
  <mergeCells count="1">
    <mergeCell ref="B4:G4"/>
  </mergeCells>
  <phoneticPr fontId="4" type="noConversion"/>
  <pageMargins left="0.75" right="0.75" top="1" bottom="1" header="0" footer="0"/>
  <pageSetup paperSize="9" orientation="portrait" r:id="rId1"/>
  <headerFooter alignWithMargins="0"/>
  <ignoredErrors>
    <ignoredError sqref="B36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5"/>
  <dimension ref="A7:N42"/>
  <sheetViews>
    <sheetView topLeftCell="A25" workbookViewId="0">
      <selection activeCell="F39" sqref="F39"/>
    </sheetView>
  </sheetViews>
  <sheetFormatPr baseColWidth="10" defaultRowHeight="12.75" x14ac:dyDescent="0.2"/>
  <cols>
    <col min="1" max="1" width="33.28515625" customWidth="1"/>
    <col min="6" max="7" width="12.140625" bestFit="1" customWidth="1"/>
    <col min="10" max="10" width="12.28515625" customWidth="1"/>
    <col min="13" max="13" width="12.140625" bestFit="1" customWidth="1"/>
  </cols>
  <sheetData>
    <row r="7" spans="1:13" x14ac:dyDescent="0.2">
      <c r="A7" t="s">
        <v>435</v>
      </c>
    </row>
    <row r="10" spans="1:13" x14ac:dyDescent="0.2">
      <c r="A10" s="50" t="s">
        <v>0</v>
      </c>
      <c r="B10" s="50" t="s">
        <v>1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</row>
    <row r="11" spans="1:13" x14ac:dyDescent="0.2">
      <c r="A11" s="65"/>
      <c r="B11" s="68">
        <v>45658</v>
      </c>
      <c r="C11" s="68">
        <v>45689</v>
      </c>
      <c r="D11" s="68">
        <v>45717</v>
      </c>
      <c r="E11" s="68">
        <v>45748</v>
      </c>
      <c r="F11" s="68">
        <v>45778</v>
      </c>
      <c r="G11" s="68">
        <v>45809</v>
      </c>
      <c r="H11" s="68">
        <v>45839</v>
      </c>
      <c r="I11" s="68">
        <v>45870</v>
      </c>
      <c r="J11" s="68">
        <v>45901</v>
      </c>
      <c r="K11" s="68">
        <v>45931</v>
      </c>
      <c r="L11" s="68">
        <v>45962</v>
      </c>
      <c r="M11" s="68">
        <v>45992</v>
      </c>
    </row>
    <row r="12" spans="1:13" x14ac:dyDescent="0.2">
      <c r="A12" s="65" t="s">
        <v>110</v>
      </c>
      <c r="B12" s="69">
        <v>312500</v>
      </c>
      <c r="C12" s="69">
        <f t="shared" ref="C12:M12" si="0">B23</f>
        <v>470200</v>
      </c>
      <c r="D12" s="69">
        <f t="shared" si="0"/>
        <v>50158</v>
      </c>
      <c r="E12" s="69">
        <f t="shared" si="0"/>
        <v>203758</v>
      </c>
      <c r="F12" s="69">
        <f t="shared" si="0"/>
        <v>306338</v>
      </c>
      <c r="G12" s="69">
        <f t="shared" si="0"/>
        <v>112403</v>
      </c>
      <c r="H12" s="69">
        <f t="shared" si="0"/>
        <v>156403</v>
      </c>
      <c r="I12" s="69">
        <f t="shared" si="0"/>
        <v>41403</v>
      </c>
      <c r="J12" s="69">
        <f t="shared" si="0"/>
        <v>226403</v>
      </c>
      <c r="K12" s="69">
        <f t="shared" si="0"/>
        <v>0</v>
      </c>
      <c r="L12" s="69">
        <f t="shared" si="0"/>
        <v>292000</v>
      </c>
      <c r="M12" s="69">
        <f t="shared" si="0"/>
        <v>585200</v>
      </c>
    </row>
    <row r="13" spans="1:13" x14ac:dyDescent="0.2">
      <c r="A13" s="65" t="s">
        <v>76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3</v>
      </c>
      <c r="B14" s="69">
        <v>42700</v>
      </c>
      <c r="C14" s="69">
        <v>25100</v>
      </c>
      <c r="D14" s="69">
        <v>44500</v>
      </c>
      <c r="E14" s="69"/>
      <c r="F14" s="69">
        <v>120000</v>
      </c>
      <c r="G14" s="69">
        <v>120000</v>
      </c>
      <c r="H14" s="69">
        <v>0</v>
      </c>
      <c r="I14" s="69">
        <v>0</v>
      </c>
      <c r="J14" s="69">
        <v>168000</v>
      </c>
      <c r="K14" s="69">
        <v>84000</v>
      </c>
      <c r="L14" s="198">
        <v>78200</v>
      </c>
      <c r="M14" s="69">
        <v>55000</v>
      </c>
    </row>
    <row r="15" spans="1:13" x14ac:dyDescent="0.2">
      <c r="A15" s="65" t="s">
        <v>4</v>
      </c>
      <c r="B15" s="69">
        <v>15000</v>
      </c>
      <c r="C15" s="69">
        <v>3286</v>
      </c>
      <c r="D15" s="69">
        <v>9100</v>
      </c>
      <c r="E15" s="69">
        <v>2580</v>
      </c>
      <c r="F15" s="69">
        <v>5000</v>
      </c>
      <c r="G15" s="69">
        <v>4000</v>
      </c>
      <c r="H15" s="69">
        <v>35000</v>
      </c>
      <c r="I15" s="69">
        <v>35000</v>
      </c>
      <c r="J15" s="69">
        <v>45000</v>
      </c>
      <c r="K15" s="198">
        <v>28000</v>
      </c>
      <c r="L15" s="69">
        <v>35000</v>
      </c>
      <c r="M15" s="69">
        <v>40000</v>
      </c>
    </row>
    <row r="16" spans="1:13" x14ac:dyDescent="0.2">
      <c r="A16" s="65" t="s">
        <v>9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14" x14ac:dyDescent="0.2">
      <c r="A17" s="65" t="s">
        <v>73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</row>
    <row r="18" spans="1:14" x14ac:dyDescent="0.2">
      <c r="A18" s="65" t="s">
        <v>191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</row>
    <row r="19" spans="1:14" x14ac:dyDescent="0.2">
      <c r="A19" s="65" t="s">
        <v>75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t="s">
        <v>261</v>
      </c>
    </row>
    <row r="20" spans="1:14" x14ac:dyDescent="0.2">
      <c r="A20" s="65" t="s">
        <v>5</v>
      </c>
      <c r="B20" s="69">
        <v>100000</v>
      </c>
      <c r="C20" s="69">
        <v>100000</v>
      </c>
      <c r="D20" s="69">
        <v>100000</v>
      </c>
      <c r="E20" s="69">
        <v>100000</v>
      </c>
      <c r="F20" s="69">
        <v>110000</v>
      </c>
      <c r="G20" s="69">
        <v>120000</v>
      </c>
      <c r="H20" s="69">
        <v>150000</v>
      </c>
      <c r="I20" s="69">
        <v>150000</v>
      </c>
      <c r="J20" s="69">
        <v>150000</v>
      </c>
      <c r="K20" s="69">
        <v>180000</v>
      </c>
      <c r="L20" s="69">
        <v>180000</v>
      </c>
      <c r="M20" s="69">
        <v>180000</v>
      </c>
    </row>
    <row r="21" spans="1:14" x14ac:dyDescent="0.2">
      <c r="A21" s="65" t="s">
        <v>6</v>
      </c>
      <c r="B21" s="70">
        <f t="shared" ref="B21:M21" si="1">SUM(B12:B20)</f>
        <v>470200</v>
      </c>
      <c r="C21" s="70">
        <f t="shared" si="1"/>
        <v>598586</v>
      </c>
      <c r="D21" s="70">
        <f t="shared" si="1"/>
        <v>203758</v>
      </c>
      <c r="E21" s="70">
        <f t="shared" si="1"/>
        <v>306338</v>
      </c>
      <c r="F21" s="70">
        <f t="shared" si="1"/>
        <v>541338</v>
      </c>
      <c r="G21" s="70">
        <f t="shared" si="1"/>
        <v>356403</v>
      </c>
      <c r="H21" s="70">
        <f t="shared" si="1"/>
        <v>341403</v>
      </c>
      <c r="I21" s="70">
        <f t="shared" si="1"/>
        <v>226403</v>
      </c>
      <c r="J21" s="70">
        <f t="shared" si="1"/>
        <v>589403</v>
      </c>
      <c r="K21" s="70">
        <f t="shared" si="1"/>
        <v>292000</v>
      </c>
      <c r="L21" s="70">
        <f t="shared" si="1"/>
        <v>585200</v>
      </c>
      <c r="M21" s="70">
        <f t="shared" si="1"/>
        <v>860200</v>
      </c>
    </row>
    <row r="22" spans="1:14" x14ac:dyDescent="0.2">
      <c r="A22" s="65" t="s">
        <v>7</v>
      </c>
      <c r="B22" s="71"/>
      <c r="C22" s="71">
        <v>548428</v>
      </c>
      <c r="D22" s="71"/>
      <c r="E22" s="71"/>
      <c r="F22" s="71">
        <v>428935</v>
      </c>
      <c r="G22" s="71">
        <v>200000</v>
      </c>
      <c r="H22" s="71">
        <v>300000</v>
      </c>
      <c r="I22" s="71"/>
      <c r="J22" s="71">
        <v>589403</v>
      </c>
      <c r="K22" s="71"/>
      <c r="L22" s="71"/>
      <c r="M22" s="71">
        <v>1040116</v>
      </c>
      <c r="N22" t="s">
        <v>555</v>
      </c>
    </row>
    <row r="23" spans="1:14" x14ac:dyDescent="0.2">
      <c r="A23" s="65" t="s">
        <v>111</v>
      </c>
      <c r="B23" s="70">
        <f t="shared" ref="B23:M23" si="2">B21-B22</f>
        <v>470200</v>
      </c>
      <c r="C23" s="70">
        <f t="shared" si="2"/>
        <v>50158</v>
      </c>
      <c r="D23" s="70">
        <f t="shared" si="2"/>
        <v>203758</v>
      </c>
      <c r="E23" s="70">
        <f t="shared" si="2"/>
        <v>306338</v>
      </c>
      <c r="F23" s="70">
        <f t="shared" si="2"/>
        <v>112403</v>
      </c>
      <c r="G23" s="70">
        <f t="shared" si="2"/>
        <v>156403</v>
      </c>
      <c r="H23" s="70">
        <f t="shared" si="2"/>
        <v>41403</v>
      </c>
      <c r="I23" s="70">
        <f t="shared" si="2"/>
        <v>226403</v>
      </c>
      <c r="J23" s="70">
        <f t="shared" si="2"/>
        <v>0</v>
      </c>
      <c r="K23" s="70">
        <f t="shared" si="2"/>
        <v>292000</v>
      </c>
      <c r="L23" s="70">
        <f t="shared" si="2"/>
        <v>585200</v>
      </c>
      <c r="M23" s="70">
        <f t="shared" si="2"/>
        <v>-179916</v>
      </c>
    </row>
    <row r="24" spans="1:14" x14ac:dyDescent="0.2">
      <c r="A24" s="65"/>
      <c r="B24" s="65"/>
      <c r="C24" s="65" t="s">
        <v>721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4" x14ac:dyDescent="0.2">
      <c r="A25" s="65"/>
      <c r="B25" s="65"/>
      <c r="C25" s="65"/>
      <c r="D25" s="65"/>
      <c r="E25" s="65" t="s">
        <v>524</v>
      </c>
      <c r="F25" s="65">
        <v>32860</v>
      </c>
      <c r="G25" s="65"/>
      <c r="H25" s="65"/>
      <c r="I25" s="65"/>
      <c r="J25" s="65"/>
      <c r="K25" s="65"/>
      <c r="L25" s="65"/>
      <c r="M25" s="65"/>
    </row>
    <row r="26" spans="1:14" x14ac:dyDescent="0.2">
      <c r="A26" s="65"/>
      <c r="B26" s="65"/>
      <c r="C26" s="65"/>
      <c r="D26" s="65"/>
      <c r="E26" s="65" t="s">
        <v>525</v>
      </c>
      <c r="F26" s="65">
        <v>1000</v>
      </c>
      <c r="G26" s="65"/>
      <c r="H26" s="65"/>
      <c r="I26" s="65"/>
      <c r="J26" s="65"/>
      <c r="K26" s="65"/>
      <c r="L26" s="65"/>
      <c r="M26" s="65"/>
    </row>
    <row r="27" spans="1:14" x14ac:dyDescent="0.2">
      <c r="A27" s="67" t="s">
        <v>0</v>
      </c>
      <c r="B27" s="67" t="s">
        <v>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</row>
    <row r="28" spans="1:14" x14ac:dyDescent="0.2">
      <c r="A28" s="65"/>
      <c r="B28" s="68">
        <v>46023</v>
      </c>
      <c r="C28" s="68">
        <v>46054</v>
      </c>
      <c r="D28" s="68">
        <v>46082</v>
      </c>
      <c r="E28" s="68">
        <v>46113</v>
      </c>
      <c r="F28" s="68">
        <v>46143</v>
      </c>
      <c r="G28" s="68">
        <v>46174</v>
      </c>
      <c r="H28" s="68">
        <v>46204</v>
      </c>
      <c r="I28" s="68">
        <v>46235</v>
      </c>
      <c r="J28" s="68">
        <v>46266</v>
      </c>
      <c r="K28" s="68">
        <v>46296</v>
      </c>
      <c r="L28" s="68">
        <v>46327</v>
      </c>
      <c r="M28" s="68">
        <v>46357</v>
      </c>
    </row>
    <row r="29" spans="1:14" x14ac:dyDescent="0.2">
      <c r="A29" s="65" t="s">
        <v>110</v>
      </c>
      <c r="B29" s="69">
        <v>-179916</v>
      </c>
      <c r="C29" s="69">
        <f t="shared" ref="C29:M29" si="3">B40</f>
        <v>199084</v>
      </c>
      <c r="D29" s="69">
        <f t="shared" si="3"/>
        <v>101084</v>
      </c>
      <c r="E29" s="69">
        <f t="shared" si="3"/>
        <v>0</v>
      </c>
      <c r="F29" s="69">
        <f t="shared" si="3"/>
        <v>308400</v>
      </c>
      <c r="G29" s="69">
        <f t="shared" si="3"/>
        <v>586100</v>
      </c>
      <c r="H29" s="69">
        <f t="shared" si="3"/>
        <v>586100</v>
      </c>
      <c r="I29" s="69">
        <f t="shared" si="3"/>
        <v>586100</v>
      </c>
      <c r="J29" s="69">
        <f t="shared" si="3"/>
        <v>586100</v>
      </c>
      <c r="K29" s="69">
        <f t="shared" si="3"/>
        <v>586100</v>
      </c>
      <c r="L29" s="69">
        <f t="shared" si="3"/>
        <v>586100</v>
      </c>
      <c r="M29" s="69">
        <f t="shared" si="3"/>
        <v>586100</v>
      </c>
    </row>
    <row r="30" spans="1:14" x14ac:dyDescent="0.2">
      <c r="A30" s="65" t="s">
        <v>76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4" x14ac:dyDescent="0.2">
      <c r="A31" s="65" t="s">
        <v>3</v>
      </c>
      <c r="B31" s="69">
        <v>162000</v>
      </c>
      <c r="C31" s="69"/>
      <c r="D31" s="69">
        <v>160200</v>
      </c>
      <c r="E31" s="69">
        <v>80400</v>
      </c>
      <c r="F31" s="69">
        <v>35700</v>
      </c>
      <c r="G31" s="69"/>
      <c r="H31" s="69"/>
      <c r="I31" s="69"/>
      <c r="J31" s="69"/>
      <c r="K31" s="69"/>
      <c r="L31" s="198"/>
      <c r="M31" s="69"/>
    </row>
    <row r="32" spans="1:14" x14ac:dyDescent="0.2">
      <c r="A32" s="65" t="s">
        <v>4</v>
      </c>
      <c r="B32" s="69">
        <v>17000</v>
      </c>
      <c r="C32" s="69">
        <v>22000</v>
      </c>
      <c r="D32" s="69">
        <v>21000</v>
      </c>
      <c r="E32" s="69">
        <v>38000</v>
      </c>
      <c r="F32" s="69">
        <v>42000</v>
      </c>
      <c r="G32" s="69"/>
      <c r="H32" s="69"/>
      <c r="I32" s="69"/>
      <c r="J32" s="69"/>
      <c r="K32" s="198"/>
      <c r="L32" s="69"/>
      <c r="M32" s="69"/>
    </row>
    <row r="33" spans="1:13" x14ac:dyDescent="0.2">
      <c r="A33" s="65" t="s">
        <v>9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 x14ac:dyDescent="0.2">
      <c r="A34" s="65" t="s">
        <v>73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1:13" x14ac:dyDescent="0.2">
      <c r="A35" s="65" t="s">
        <v>191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</row>
    <row r="36" spans="1:13" x14ac:dyDescent="0.2">
      <c r="A36" s="65" t="s">
        <v>75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</row>
    <row r="37" spans="1:13" x14ac:dyDescent="0.2">
      <c r="A37" s="65" t="s">
        <v>5</v>
      </c>
      <c r="B37" s="69">
        <v>200000</v>
      </c>
      <c r="C37" s="69">
        <v>180000</v>
      </c>
      <c r="D37" s="69">
        <v>190000</v>
      </c>
      <c r="E37" s="69">
        <v>190000</v>
      </c>
      <c r="F37" s="69">
        <v>200000</v>
      </c>
      <c r="G37" s="69"/>
      <c r="H37" s="69"/>
      <c r="I37" s="69"/>
      <c r="J37" s="69"/>
      <c r="K37" s="69"/>
      <c r="L37" s="69"/>
      <c r="M37" s="69"/>
    </row>
    <row r="38" spans="1:13" x14ac:dyDescent="0.2">
      <c r="A38" s="65" t="s">
        <v>6</v>
      </c>
      <c r="B38" s="69">
        <f>SUM(B29:B37)</f>
        <v>199084</v>
      </c>
      <c r="C38" s="69">
        <f t="shared" ref="C38:M38" si="4">SUM(C29:C37)</f>
        <v>401084</v>
      </c>
      <c r="D38" s="69">
        <f t="shared" si="4"/>
        <v>472284</v>
      </c>
      <c r="E38" s="69">
        <f t="shared" si="4"/>
        <v>308400</v>
      </c>
      <c r="F38" s="69">
        <f t="shared" si="4"/>
        <v>586100</v>
      </c>
      <c r="G38" s="69">
        <f t="shared" si="4"/>
        <v>586100</v>
      </c>
      <c r="H38" s="69">
        <f t="shared" si="4"/>
        <v>586100</v>
      </c>
      <c r="I38" s="69">
        <f t="shared" si="4"/>
        <v>586100</v>
      </c>
      <c r="J38" s="69">
        <f t="shared" si="4"/>
        <v>586100</v>
      </c>
      <c r="K38" s="69">
        <f t="shared" si="4"/>
        <v>586100</v>
      </c>
      <c r="L38" s="69">
        <f t="shared" si="4"/>
        <v>586100</v>
      </c>
      <c r="M38" s="69">
        <f t="shared" si="4"/>
        <v>586100</v>
      </c>
    </row>
    <row r="39" spans="1:13" x14ac:dyDescent="0.2">
      <c r="A39" s="65" t="s">
        <v>7</v>
      </c>
      <c r="B39" s="71"/>
      <c r="C39" s="71">
        <v>300000</v>
      </c>
      <c r="D39" s="71">
        <v>472284</v>
      </c>
      <c r="E39" s="71"/>
      <c r="F39" s="71"/>
      <c r="G39" s="71"/>
      <c r="H39" s="71"/>
      <c r="I39" s="71"/>
      <c r="J39" s="71"/>
      <c r="K39" s="71"/>
      <c r="L39" s="71"/>
      <c r="M39" s="71"/>
    </row>
    <row r="40" spans="1:13" x14ac:dyDescent="0.2">
      <c r="A40" s="65" t="s">
        <v>111</v>
      </c>
      <c r="B40" s="70">
        <f t="shared" ref="B40:M40" si="5">B38-B39</f>
        <v>199084</v>
      </c>
      <c r="C40" s="70">
        <f t="shared" si="5"/>
        <v>101084</v>
      </c>
      <c r="D40" s="70">
        <f t="shared" si="5"/>
        <v>0</v>
      </c>
      <c r="E40" s="70">
        <f t="shared" si="5"/>
        <v>308400</v>
      </c>
      <c r="F40" s="70">
        <f>F38-F39</f>
        <v>586100</v>
      </c>
      <c r="G40" s="70">
        <f t="shared" si="5"/>
        <v>586100</v>
      </c>
      <c r="H40" s="70">
        <f t="shared" si="5"/>
        <v>586100</v>
      </c>
      <c r="I40" s="70">
        <f t="shared" si="5"/>
        <v>586100</v>
      </c>
      <c r="J40" s="70">
        <f t="shared" si="5"/>
        <v>586100</v>
      </c>
      <c r="K40" s="70">
        <f t="shared" si="5"/>
        <v>586100</v>
      </c>
      <c r="L40" s="70">
        <f t="shared" si="5"/>
        <v>586100</v>
      </c>
      <c r="M40" s="70">
        <f t="shared" si="5"/>
        <v>586100</v>
      </c>
    </row>
    <row r="41" spans="1:13" x14ac:dyDescent="0.2">
      <c r="C41" t="s">
        <v>453</v>
      </c>
      <c r="L41" s="128">
        <v>44879</v>
      </c>
    </row>
    <row r="42" spans="1:13" x14ac:dyDescent="0.2">
      <c r="G42" t="s">
        <v>579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6"/>
  <dimension ref="A4:N38"/>
  <sheetViews>
    <sheetView workbookViewId="0">
      <selection activeCell="F17" sqref="F17"/>
    </sheetView>
  </sheetViews>
  <sheetFormatPr baseColWidth="10" defaultRowHeight="12.75" x14ac:dyDescent="0.2"/>
  <cols>
    <col min="1" max="1" width="27.140625" customWidth="1"/>
    <col min="2" max="2" width="12.7109375" customWidth="1"/>
    <col min="3" max="3" width="13" customWidth="1"/>
    <col min="4" max="4" width="12.85546875" customWidth="1"/>
    <col min="5" max="5" width="12.28515625" customWidth="1"/>
    <col min="6" max="6" width="13.7109375" customWidth="1"/>
    <col min="7" max="7" width="12" customWidth="1"/>
    <col min="8" max="8" width="12.140625" customWidth="1"/>
    <col min="9" max="9" width="11.7109375" bestFit="1" customWidth="1"/>
    <col min="10" max="10" width="13.28515625" customWidth="1"/>
    <col min="11" max="11" width="11.85546875" customWidth="1"/>
    <col min="12" max="12" width="12.140625" customWidth="1"/>
    <col min="13" max="13" width="11.7109375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3" x14ac:dyDescent="0.2">
      <c r="A6" s="78" t="s">
        <v>110</v>
      </c>
      <c r="B6" s="42">
        <v>289910</v>
      </c>
      <c r="C6" s="42">
        <f>B17</f>
        <v>-3720</v>
      </c>
      <c r="D6" s="42">
        <f>C17</f>
        <v>344950</v>
      </c>
      <c r="E6" s="42">
        <f>D17</f>
        <v>-180</v>
      </c>
      <c r="F6" s="42">
        <f>E17</f>
        <v>-159450</v>
      </c>
      <c r="G6" s="42">
        <f t="shared" ref="G6:M6" si="0">F17</f>
        <v>-2720</v>
      </c>
      <c r="H6" s="42">
        <f t="shared" si="0"/>
        <v>-2720</v>
      </c>
      <c r="I6" s="42">
        <f t="shared" si="0"/>
        <v>-2720</v>
      </c>
      <c r="J6" s="42">
        <f t="shared" si="0"/>
        <v>-2720</v>
      </c>
      <c r="K6" s="42">
        <f t="shared" si="0"/>
        <v>-2720</v>
      </c>
      <c r="L6" s="42">
        <f t="shared" si="0"/>
        <v>-2720</v>
      </c>
      <c r="M6" s="42">
        <f t="shared" si="0"/>
        <v>-2720</v>
      </c>
    </row>
    <row r="7" spans="1:13" x14ac:dyDescent="0.2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109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109"/>
      <c r="L9" s="42"/>
      <c r="M9" s="42"/>
    </row>
    <row r="10" spans="1:13" x14ac:dyDescent="0.2">
      <c r="A10" s="78" t="s">
        <v>782</v>
      </c>
      <c r="B10" s="42"/>
      <c r="C10" s="42">
        <v>42300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587</v>
      </c>
      <c r="B11" s="42">
        <v>86370</v>
      </c>
      <c r="C11" s="42">
        <v>86370</v>
      </c>
      <c r="D11" s="42">
        <v>86370</v>
      </c>
      <c r="E11" s="42">
        <v>86730</v>
      </c>
      <c r="F11" s="42">
        <v>86730</v>
      </c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773</v>
      </c>
      <c r="B12" s="42">
        <v>20000</v>
      </c>
      <c r="C12" s="42">
        <v>20000</v>
      </c>
      <c r="D12" s="42">
        <v>20000</v>
      </c>
      <c r="E12" s="42">
        <v>20000</v>
      </c>
      <c r="F12" s="42">
        <v>20000</v>
      </c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449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200000</v>
      </c>
      <c r="C14" s="42">
        <v>200000</v>
      </c>
      <c r="D14" s="42">
        <v>200000</v>
      </c>
      <c r="E14" s="42">
        <v>220000</v>
      </c>
      <c r="F14" s="42">
        <v>250000</v>
      </c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3">
        <f>SUM(B6:B14)</f>
        <v>596280</v>
      </c>
      <c r="C15" s="43">
        <f t="shared" ref="C15:M15" si="1">SUM(C6:C14)</f>
        <v>344950</v>
      </c>
      <c r="D15" s="43">
        <f t="shared" si="1"/>
        <v>651320</v>
      </c>
      <c r="E15" s="43">
        <f t="shared" si="1"/>
        <v>326550</v>
      </c>
      <c r="F15" s="43">
        <f t="shared" si="1"/>
        <v>197280</v>
      </c>
      <c r="G15" s="43">
        <f t="shared" si="1"/>
        <v>-2720</v>
      </c>
      <c r="H15" s="43">
        <f t="shared" si="1"/>
        <v>-2720</v>
      </c>
      <c r="I15" s="43">
        <f t="shared" si="1"/>
        <v>-2720</v>
      </c>
      <c r="J15" s="43">
        <f t="shared" si="1"/>
        <v>-2720</v>
      </c>
      <c r="K15" s="43">
        <f t="shared" si="1"/>
        <v>-2720</v>
      </c>
      <c r="L15" s="43">
        <f t="shared" si="1"/>
        <v>-2720</v>
      </c>
      <c r="M15" s="43">
        <f t="shared" si="1"/>
        <v>-2720</v>
      </c>
    </row>
    <row r="16" spans="1:13" x14ac:dyDescent="0.2">
      <c r="A16" s="78" t="s">
        <v>7</v>
      </c>
      <c r="B16" s="44">
        <v>600000</v>
      </c>
      <c r="C16" s="44"/>
      <c r="D16" s="44">
        <v>651500</v>
      </c>
      <c r="E16" s="44">
        <v>486000</v>
      </c>
      <c r="F16" s="44">
        <v>200000</v>
      </c>
      <c r="G16" s="44"/>
      <c r="H16" s="44"/>
      <c r="I16" s="44"/>
      <c r="J16" s="44"/>
      <c r="K16" s="153"/>
      <c r="L16" s="44"/>
      <c r="M16" s="44"/>
    </row>
    <row r="17" spans="1:14" x14ac:dyDescent="0.2">
      <c r="A17" s="78" t="s">
        <v>111</v>
      </c>
      <c r="B17" s="43">
        <f>B15-B16</f>
        <v>-3720</v>
      </c>
      <c r="C17" s="43">
        <f>C15-C16</f>
        <v>344950</v>
      </c>
      <c r="D17" s="43">
        <f t="shared" ref="D17:M17" si="2">D15-D16</f>
        <v>-180</v>
      </c>
      <c r="E17" s="43">
        <f t="shared" si="2"/>
        <v>-159450</v>
      </c>
      <c r="F17" s="43">
        <f t="shared" si="2"/>
        <v>-2720</v>
      </c>
      <c r="G17" s="43">
        <f t="shared" si="2"/>
        <v>-2720</v>
      </c>
      <c r="H17" s="43">
        <f t="shared" si="2"/>
        <v>-2720</v>
      </c>
      <c r="I17" s="43">
        <f t="shared" si="2"/>
        <v>-2720</v>
      </c>
      <c r="J17" s="43">
        <f t="shared" si="2"/>
        <v>-2720</v>
      </c>
      <c r="K17" s="43">
        <f t="shared" si="2"/>
        <v>-2720</v>
      </c>
      <c r="L17" s="43">
        <f t="shared" si="2"/>
        <v>-2720</v>
      </c>
      <c r="M17" s="43">
        <f t="shared" si="2"/>
        <v>-2720</v>
      </c>
    </row>
    <row r="18" spans="1:14" x14ac:dyDescent="0.2">
      <c r="K18" s="124"/>
    </row>
    <row r="20" spans="1:14" ht="15.75" x14ac:dyDescent="0.25">
      <c r="A20" s="31" t="s">
        <v>0</v>
      </c>
      <c r="B20" s="31" t="s">
        <v>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4" x14ac:dyDescent="0.2">
      <c r="A21" s="78"/>
      <c r="B21" s="79">
        <v>45658</v>
      </c>
      <c r="C21" s="79">
        <v>45689</v>
      </c>
      <c r="D21" s="79">
        <v>45717</v>
      </c>
      <c r="E21" s="79">
        <v>45748</v>
      </c>
      <c r="F21" s="79">
        <v>45778</v>
      </c>
      <c r="G21" s="79">
        <v>45809</v>
      </c>
      <c r="H21" s="79">
        <v>45839</v>
      </c>
      <c r="I21" s="79">
        <v>45870</v>
      </c>
      <c r="J21" s="79">
        <v>45901</v>
      </c>
      <c r="K21" s="79">
        <v>45931</v>
      </c>
      <c r="L21" s="79">
        <v>45962</v>
      </c>
      <c r="M21" s="79">
        <v>45992</v>
      </c>
    </row>
    <row r="22" spans="1:14" x14ac:dyDescent="0.2">
      <c r="A22" s="78" t="s">
        <v>110</v>
      </c>
      <c r="B22" s="42">
        <v>-9824</v>
      </c>
      <c r="C22" s="42">
        <f>B33</f>
        <v>164376</v>
      </c>
      <c r="D22" s="42">
        <f t="shared" ref="D22:M22" si="3">C33</f>
        <v>169876</v>
      </c>
      <c r="E22" s="42">
        <f t="shared" si="3"/>
        <v>10</v>
      </c>
      <c r="F22" s="42">
        <f t="shared" si="3"/>
        <v>-74890</v>
      </c>
      <c r="G22" s="42">
        <f t="shared" si="3"/>
        <v>150210</v>
      </c>
      <c r="H22" s="42">
        <f t="shared" si="3"/>
        <v>5310</v>
      </c>
      <c r="I22" s="42">
        <f t="shared" si="3"/>
        <v>-39590</v>
      </c>
      <c r="J22" s="42">
        <f t="shared" si="3"/>
        <v>-490</v>
      </c>
      <c r="K22" s="42">
        <f t="shared" si="3"/>
        <v>274610</v>
      </c>
      <c r="L22" s="42">
        <f t="shared" si="3"/>
        <v>-290</v>
      </c>
      <c r="M22" s="42">
        <f t="shared" si="3"/>
        <v>-15190</v>
      </c>
      <c r="N22" s="42"/>
    </row>
    <row r="23" spans="1:14" x14ac:dyDescent="0.2">
      <c r="A23" s="7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4" x14ac:dyDescent="0.2">
      <c r="A24" s="78" t="s">
        <v>3</v>
      </c>
      <c r="B24" s="42"/>
      <c r="C24" s="42">
        <v>184000</v>
      </c>
      <c r="D24" s="42">
        <v>22800</v>
      </c>
      <c r="E24" s="42"/>
      <c r="F24" s="42"/>
      <c r="G24" s="42"/>
      <c r="H24" s="42"/>
      <c r="I24" s="42"/>
      <c r="J24" s="42"/>
      <c r="K24" s="42"/>
      <c r="L24" s="42"/>
      <c r="M24" s="42"/>
    </row>
    <row r="25" spans="1:14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4" x14ac:dyDescent="0.2">
      <c r="A26" s="78" t="s">
        <v>514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x14ac:dyDescent="0.2">
      <c r="A27" s="78" t="s">
        <v>726</v>
      </c>
      <c r="B27" s="42"/>
      <c r="C27" s="42"/>
      <c r="D27" s="42"/>
      <c r="E27" s="42">
        <v>39100</v>
      </c>
      <c r="F27" s="42">
        <v>39100</v>
      </c>
      <c r="G27" s="42">
        <v>39100</v>
      </c>
      <c r="H27" s="42">
        <v>39100</v>
      </c>
      <c r="I27" s="42">
        <v>49100</v>
      </c>
      <c r="J27" s="42">
        <v>49100</v>
      </c>
      <c r="K27" s="42">
        <v>49100</v>
      </c>
      <c r="L27" s="42">
        <v>49100</v>
      </c>
      <c r="M27" s="42">
        <v>49100</v>
      </c>
    </row>
    <row r="28" spans="1:14" x14ac:dyDescent="0.2">
      <c r="A28" s="78" t="s">
        <v>599</v>
      </c>
      <c r="B28" s="42">
        <v>54200</v>
      </c>
      <c r="C28" s="42">
        <v>66000</v>
      </c>
      <c r="D28" s="42">
        <v>66000</v>
      </c>
      <c r="E28" s="42">
        <v>66000</v>
      </c>
      <c r="F28" s="42">
        <v>66000</v>
      </c>
      <c r="G28" s="42">
        <v>66000</v>
      </c>
      <c r="H28" s="42">
        <v>66000</v>
      </c>
      <c r="I28" s="42">
        <v>76000</v>
      </c>
      <c r="J28" s="42">
        <v>76000</v>
      </c>
      <c r="K28" s="42">
        <v>76000</v>
      </c>
      <c r="L28" s="42">
        <v>76000</v>
      </c>
      <c r="M28" s="42">
        <v>76000</v>
      </c>
    </row>
    <row r="29" spans="1:14" x14ac:dyDescent="0.2">
      <c r="A29" s="78" t="s">
        <v>600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4" x14ac:dyDescent="0.2">
      <c r="A30" s="78" t="s">
        <v>5</v>
      </c>
      <c r="B30" s="42">
        <v>120000</v>
      </c>
      <c r="C30" s="42">
        <v>120000</v>
      </c>
      <c r="D30" s="42">
        <v>120000</v>
      </c>
      <c r="E30" s="42">
        <v>120000</v>
      </c>
      <c r="F30" s="42">
        <v>120000</v>
      </c>
      <c r="G30" s="42">
        <v>150000</v>
      </c>
      <c r="H30" s="42">
        <v>150000</v>
      </c>
      <c r="I30" s="42">
        <v>150000</v>
      </c>
      <c r="J30" s="42">
        <v>150000</v>
      </c>
      <c r="K30" s="42">
        <v>150000</v>
      </c>
      <c r="L30" s="42">
        <v>160000</v>
      </c>
      <c r="M30" s="42">
        <v>180000</v>
      </c>
    </row>
    <row r="31" spans="1:14" x14ac:dyDescent="0.2">
      <c r="A31" s="78" t="s">
        <v>6</v>
      </c>
      <c r="B31" s="43">
        <f>SUM(B22:B30)</f>
        <v>164376</v>
      </c>
      <c r="C31" s="43">
        <f t="shared" ref="C31:M31" si="4">SUM(C22:C30)</f>
        <v>534376</v>
      </c>
      <c r="D31" s="43">
        <f t="shared" si="4"/>
        <v>378676</v>
      </c>
      <c r="E31" s="43">
        <f t="shared" si="4"/>
        <v>225110</v>
      </c>
      <c r="F31" s="43">
        <f t="shared" si="4"/>
        <v>150210</v>
      </c>
      <c r="G31" s="43">
        <f t="shared" si="4"/>
        <v>405310</v>
      </c>
      <c r="H31" s="43">
        <f t="shared" si="4"/>
        <v>260410</v>
      </c>
      <c r="I31" s="43">
        <f t="shared" si="4"/>
        <v>235510</v>
      </c>
      <c r="J31" s="43">
        <f t="shared" si="4"/>
        <v>274610</v>
      </c>
      <c r="K31" s="43">
        <f t="shared" si="4"/>
        <v>549710</v>
      </c>
      <c r="L31" s="43">
        <f t="shared" si="4"/>
        <v>284810</v>
      </c>
      <c r="M31" s="43">
        <f t="shared" si="4"/>
        <v>289910</v>
      </c>
    </row>
    <row r="32" spans="1:14" x14ac:dyDescent="0.2">
      <c r="A32" s="78" t="s">
        <v>7</v>
      </c>
      <c r="B32" s="44"/>
      <c r="C32" s="44">
        <v>364500</v>
      </c>
      <c r="D32" s="44">
        <f>200000+178666</f>
        <v>378666</v>
      </c>
      <c r="E32" s="44">
        <v>300000</v>
      </c>
      <c r="F32" s="44"/>
      <c r="G32" s="153">
        <v>400000</v>
      </c>
      <c r="H32" s="44">
        <v>300000</v>
      </c>
      <c r="I32" s="44">
        <v>236000</v>
      </c>
      <c r="J32" s="44"/>
      <c r="K32" s="44">
        <v>550000</v>
      </c>
      <c r="L32" s="44">
        <v>300000</v>
      </c>
      <c r="M32" s="44"/>
    </row>
    <row r="33" spans="1:13" x14ac:dyDescent="0.2">
      <c r="A33" s="78" t="s">
        <v>111</v>
      </c>
      <c r="B33" s="43">
        <f>B31-B32</f>
        <v>164376</v>
      </c>
      <c r="C33" s="43">
        <f>C31-C32</f>
        <v>169876</v>
      </c>
      <c r="D33" s="43">
        <f t="shared" ref="D33:M33" si="5">D31-D32</f>
        <v>10</v>
      </c>
      <c r="E33" s="43">
        <f t="shared" si="5"/>
        <v>-74890</v>
      </c>
      <c r="F33" s="43">
        <f t="shared" si="5"/>
        <v>150210</v>
      </c>
      <c r="G33" s="43">
        <f t="shared" si="5"/>
        <v>5310</v>
      </c>
      <c r="H33" s="43">
        <f t="shared" si="5"/>
        <v>-39590</v>
      </c>
      <c r="I33" s="43">
        <f t="shared" si="5"/>
        <v>-490</v>
      </c>
      <c r="J33" s="43">
        <f t="shared" si="5"/>
        <v>274610</v>
      </c>
      <c r="K33" s="43">
        <f t="shared" si="5"/>
        <v>-290</v>
      </c>
      <c r="L33" s="43">
        <f t="shared" si="5"/>
        <v>-15190</v>
      </c>
      <c r="M33" s="43">
        <f t="shared" si="5"/>
        <v>289910</v>
      </c>
    </row>
    <row r="34" spans="1:13" x14ac:dyDescent="0.2">
      <c r="K34" s="128">
        <v>45232</v>
      </c>
    </row>
    <row r="36" spans="1:13" x14ac:dyDescent="0.2">
      <c r="G36" s="154" t="s">
        <v>430</v>
      </c>
      <c r="I36" s="177">
        <v>331300</v>
      </c>
    </row>
    <row r="37" spans="1:13" x14ac:dyDescent="0.2">
      <c r="H37" t="s">
        <v>537</v>
      </c>
      <c r="I37" s="177">
        <v>331958.90999999997</v>
      </c>
      <c r="K37">
        <v>7510258</v>
      </c>
    </row>
    <row r="38" spans="1:13" x14ac:dyDescent="0.2">
      <c r="I38" s="177">
        <f>I36-I37</f>
        <v>-658.90999999997439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7"/>
  <dimension ref="B3:N48"/>
  <sheetViews>
    <sheetView topLeftCell="B34" workbookViewId="0">
      <selection activeCell="B35" sqref="B35:N48"/>
    </sheetView>
  </sheetViews>
  <sheetFormatPr baseColWidth="10" defaultRowHeight="12.75" x14ac:dyDescent="0.2"/>
  <cols>
    <col min="1" max="1" width="6" customWidth="1"/>
    <col min="2" max="2" width="34.140625" customWidth="1"/>
  </cols>
  <sheetData>
    <row r="3" spans="2:14" ht="15.75" x14ac:dyDescent="0.25">
      <c r="B3" s="31" t="s">
        <v>0</v>
      </c>
      <c r="C3" s="31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x14ac:dyDescent="0.2">
      <c r="B4" s="78"/>
      <c r="C4" s="79">
        <v>44197</v>
      </c>
      <c r="D4" s="79">
        <v>44228</v>
      </c>
      <c r="E4" s="79">
        <v>44256</v>
      </c>
      <c r="F4" s="79">
        <v>44287</v>
      </c>
      <c r="G4" s="79">
        <v>44317</v>
      </c>
      <c r="H4" s="79">
        <v>44348</v>
      </c>
      <c r="I4" s="79">
        <v>44378</v>
      </c>
      <c r="J4" s="79">
        <v>44409</v>
      </c>
      <c r="K4" s="79">
        <v>44440</v>
      </c>
      <c r="L4" s="79">
        <v>44470</v>
      </c>
      <c r="M4" s="79">
        <v>44501</v>
      </c>
      <c r="N4" s="79">
        <v>44531</v>
      </c>
    </row>
    <row r="5" spans="2:14" x14ac:dyDescent="0.2">
      <c r="B5" s="78" t="s">
        <v>110</v>
      </c>
      <c r="C5" s="42">
        <v>4000</v>
      </c>
      <c r="D5" s="42">
        <f>C16</f>
        <v>6000</v>
      </c>
      <c r="E5" s="42">
        <f t="shared" ref="E5:N5" si="0">D16</f>
        <v>8000</v>
      </c>
      <c r="F5" s="42">
        <f t="shared" si="0"/>
        <v>0</v>
      </c>
      <c r="G5" s="42">
        <f t="shared" si="0"/>
        <v>2000</v>
      </c>
      <c r="H5" s="42">
        <f t="shared" si="0"/>
        <v>0</v>
      </c>
      <c r="I5" s="42">
        <f t="shared" si="0"/>
        <v>3000</v>
      </c>
      <c r="J5" s="42">
        <f t="shared" si="0"/>
        <v>6000</v>
      </c>
      <c r="K5" s="42">
        <f t="shared" si="0"/>
        <v>9000</v>
      </c>
      <c r="L5" s="42">
        <f t="shared" si="0"/>
        <v>12000</v>
      </c>
      <c r="M5" s="42">
        <f t="shared" si="0"/>
        <v>15000</v>
      </c>
      <c r="N5" s="42">
        <f t="shared" si="0"/>
        <v>18000</v>
      </c>
    </row>
    <row r="6" spans="2:14" x14ac:dyDescent="0.2">
      <c r="B6" s="78" t="s">
        <v>76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2:14" x14ac:dyDescent="0.2">
      <c r="B7" s="78" t="s">
        <v>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109"/>
      <c r="N7" s="42"/>
    </row>
    <row r="8" spans="2:14" x14ac:dyDescent="0.2">
      <c r="B8" s="78" t="s">
        <v>4</v>
      </c>
      <c r="C8" s="42"/>
      <c r="D8" s="42"/>
      <c r="E8" s="42"/>
      <c r="F8" s="42"/>
      <c r="G8" s="42"/>
      <c r="H8" s="42"/>
      <c r="I8" s="42"/>
      <c r="J8" s="42"/>
      <c r="K8" s="42"/>
      <c r="L8" s="109"/>
      <c r="M8" s="42"/>
      <c r="N8" s="42"/>
    </row>
    <row r="9" spans="2:14" x14ac:dyDescent="0.2">
      <c r="B9" s="78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73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">
      <c r="B11" s="78" t="s">
        <v>316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75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5</v>
      </c>
      <c r="C13" s="42">
        <v>2000</v>
      </c>
      <c r="D13" s="42">
        <v>2000</v>
      </c>
      <c r="E13" s="42">
        <v>2000</v>
      </c>
      <c r="F13" s="42">
        <v>2000</v>
      </c>
      <c r="G13" s="42">
        <v>2000</v>
      </c>
      <c r="H13" s="42">
        <v>3000</v>
      </c>
      <c r="I13" s="42">
        <v>3000</v>
      </c>
      <c r="J13" s="42">
        <v>3000</v>
      </c>
      <c r="K13" s="42">
        <v>3000</v>
      </c>
      <c r="L13" s="42">
        <v>3000</v>
      </c>
      <c r="M13" s="42">
        <v>3000</v>
      </c>
      <c r="N13" s="42">
        <v>4000</v>
      </c>
    </row>
    <row r="14" spans="2:14" x14ac:dyDescent="0.2">
      <c r="B14" s="78" t="s">
        <v>6</v>
      </c>
      <c r="C14" s="43">
        <f>SUM(C5:C13)</f>
        <v>6000</v>
      </c>
      <c r="D14" s="43">
        <f t="shared" ref="D14:N14" si="1">SUM(D5:D13)</f>
        <v>8000</v>
      </c>
      <c r="E14" s="43">
        <f t="shared" si="1"/>
        <v>10000</v>
      </c>
      <c r="F14" s="43">
        <f t="shared" si="1"/>
        <v>2000</v>
      </c>
      <c r="G14" s="43">
        <f t="shared" si="1"/>
        <v>4000</v>
      </c>
      <c r="H14" s="43">
        <f t="shared" si="1"/>
        <v>3000</v>
      </c>
      <c r="I14" s="43">
        <f t="shared" si="1"/>
        <v>6000</v>
      </c>
      <c r="J14" s="43">
        <f t="shared" si="1"/>
        <v>9000</v>
      </c>
      <c r="K14" s="43">
        <f t="shared" si="1"/>
        <v>12000</v>
      </c>
      <c r="L14" s="43">
        <f t="shared" si="1"/>
        <v>15000</v>
      </c>
      <c r="M14" s="43">
        <f t="shared" si="1"/>
        <v>18000</v>
      </c>
      <c r="N14" s="43">
        <f t="shared" si="1"/>
        <v>22000</v>
      </c>
    </row>
    <row r="15" spans="2:14" x14ac:dyDescent="0.2">
      <c r="B15" s="78" t="s">
        <v>7</v>
      </c>
      <c r="C15" s="44"/>
      <c r="D15" s="44"/>
      <c r="E15" s="44">
        <v>10000</v>
      </c>
      <c r="F15" s="44"/>
      <c r="G15" s="44">
        <v>4000</v>
      </c>
      <c r="H15" s="44"/>
      <c r="I15" s="44"/>
      <c r="J15" s="44"/>
      <c r="K15" s="44"/>
      <c r="L15" s="44"/>
      <c r="M15" s="44"/>
      <c r="N15" s="44">
        <f>8000+8000</f>
        <v>16000</v>
      </c>
    </row>
    <row r="16" spans="2:14" x14ac:dyDescent="0.2">
      <c r="B16" s="78" t="s">
        <v>111</v>
      </c>
      <c r="C16" s="43">
        <f>C14-C15</f>
        <v>6000</v>
      </c>
      <c r="D16" s="43">
        <f>D14-D15</f>
        <v>8000</v>
      </c>
      <c r="E16" s="43">
        <f t="shared" ref="E16:N16" si="2">E14-E15</f>
        <v>0</v>
      </c>
      <c r="F16" s="43">
        <f t="shared" si="2"/>
        <v>2000</v>
      </c>
      <c r="G16" s="43">
        <f t="shared" si="2"/>
        <v>0</v>
      </c>
      <c r="H16" s="43">
        <f t="shared" si="2"/>
        <v>3000</v>
      </c>
      <c r="I16" s="43">
        <f t="shared" si="2"/>
        <v>6000</v>
      </c>
      <c r="J16" s="43">
        <f t="shared" si="2"/>
        <v>9000</v>
      </c>
      <c r="K16" s="43">
        <f t="shared" si="2"/>
        <v>12000</v>
      </c>
      <c r="L16" s="43">
        <f t="shared" si="2"/>
        <v>15000</v>
      </c>
      <c r="M16" s="43">
        <f t="shared" si="2"/>
        <v>18000</v>
      </c>
      <c r="N16" s="43">
        <f t="shared" si="2"/>
        <v>6000</v>
      </c>
    </row>
    <row r="19" spans="2:14" ht="15.75" x14ac:dyDescent="0.25">
      <c r="B19" s="31" t="s">
        <v>0</v>
      </c>
      <c r="C19" s="31" t="s">
        <v>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x14ac:dyDescent="0.2">
      <c r="B20" s="78"/>
      <c r="C20" s="79">
        <v>44562</v>
      </c>
      <c r="D20" s="79">
        <v>44593</v>
      </c>
      <c r="E20" s="79">
        <v>44621</v>
      </c>
      <c r="F20" s="79">
        <v>44652</v>
      </c>
      <c r="G20" s="79">
        <v>44682</v>
      </c>
      <c r="H20" s="79">
        <v>44713</v>
      </c>
      <c r="I20" s="79">
        <v>44743</v>
      </c>
      <c r="J20" s="79">
        <v>44774</v>
      </c>
      <c r="K20" s="79">
        <v>44805</v>
      </c>
      <c r="L20" s="79">
        <v>44835</v>
      </c>
      <c r="M20" s="79">
        <v>44866</v>
      </c>
      <c r="N20" s="79">
        <v>44896</v>
      </c>
    </row>
    <row r="21" spans="2:14" x14ac:dyDescent="0.2">
      <c r="B21" s="78" t="s">
        <v>110</v>
      </c>
      <c r="C21" s="42">
        <v>6000</v>
      </c>
      <c r="D21" s="42">
        <f>C32</f>
        <v>21000</v>
      </c>
      <c r="E21" s="42">
        <f t="shared" ref="E21:N21" si="3">D32</f>
        <v>36000</v>
      </c>
      <c r="F21" s="42">
        <f t="shared" si="3"/>
        <v>51000</v>
      </c>
      <c r="G21" s="42">
        <f t="shared" si="3"/>
        <v>66000</v>
      </c>
      <c r="H21" s="42">
        <f t="shared" si="3"/>
        <v>81000</v>
      </c>
      <c r="I21" s="42">
        <f t="shared" si="3"/>
        <v>96000</v>
      </c>
      <c r="J21" s="42">
        <f t="shared" si="3"/>
        <v>111000</v>
      </c>
      <c r="K21" s="42">
        <f t="shared" si="3"/>
        <v>126000</v>
      </c>
      <c r="L21" s="42">
        <f t="shared" si="3"/>
        <v>141000</v>
      </c>
      <c r="M21" s="42">
        <f t="shared" si="3"/>
        <v>156000</v>
      </c>
      <c r="N21" s="42">
        <f t="shared" si="3"/>
        <v>171000</v>
      </c>
    </row>
    <row r="22" spans="2:14" x14ac:dyDescent="0.2">
      <c r="B22" s="78" t="s">
        <v>76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2:14" x14ac:dyDescent="0.2">
      <c r="B23" s="78" t="s">
        <v>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109"/>
      <c r="N23" s="42"/>
    </row>
    <row r="24" spans="2:14" x14ac:dyDescent="0.2">
      <c r="B24" s="78" t="s">
        <v>4</v>
      </c>
      <c r="C24" s="42"/>
      <c r="D24" s="42"/>
      <c r="E24" s="42"/>
      <c r="F24" s="42"/>
      <c r="G24" s="42"/>
      <c r="H24" s="42"/>
      <c r="I24" s="42"/>
      <c r="J24" s="42"/>
      <c r="K24" s="42"/>
      <c r="L24" s="109"/>
      <c r="M24" s="42"/>
      <c r="N24" s="42"/>
    </row>
    <row r="25" spans="2:14" x14ac:dyDescent="0.2">
      <c r="B25" s="78" t="s">
        <v>9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316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75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5</v>
      </c>
      <c r="C29" s="42">
        <v>15000</v>
      </c>
      <c r="D29" s="42">
        <v>15000</v>
      </c>
      <c r="E29" s="42">
        <v>15000</v>
      </c>
      <c r="F29" s="42">
        <v>15000</v>
      </c>
      <c r="G29" s="42">
        <v>15000</v>
      </c>
      <c r="H29" s="42">
        <v>15000</v>
      </c>
      <c r="I29" s="42">
        <v>15000</v>
      </c>
      <c r="J29" s="42">
        <v>15000</v>
      </c>
      <c r="K29" s="42">
        <v>15000</v>
      </c>
      <c r="L29" s="42">
        <v>15000</v>
      </c>
      <c r="M29" s="42">
        <v>15000</v>
      </c>
      <c r="N29" s="42">
        <v>15000</v>
      </c>
    </row>
    <row r="30" spans="2:14" x14ac:dyDescent="0.2">
      <c r="B30" s="78" t="s">
        <v>6</v>
      </c>
      <c r="C30" s="43">
        <f>SUM(C21:C29)</f>
        <v>21000</v>
      </c>
      <c r="D30" s="43">
        <f t="shared" ref="D30:N30" si="4">SUM(D21:D29)</f>
        <v>36000</v>
      </c>
      <c r="E30" s="43">
        <f t="shared" si="4"/>
        <v>51000</v>
      </c>
      <c r="F30" s="43">
        <f t="shared" si="4"/>
        <v>66000</v>
      </c>
      <c r="G30" s="43">
        <f t="shared" si="4"/>
        <v>81000</v>
      </c>
      <c r="H30" s="43">
        <f t="shared" si="4"/>
        <v>96000</v>
      </c>
      <c r="I30" s="43">
        <f t="shared" si="4"/>
        <v>111000</v>
      </c>
      <c r="J30" s="43">
        <f t="shared" si="4"/>
        <v>126000</v>
      </c>
      <c r="K30" s="43">
        <f t="shared" si="4"/>
        <v>141000</v>
      </c>
      <c r="L30" s="43">
        <f t="shared" si="4"/>
        <v>156000</v>
      </c>
      <c r="M30" s="43">
        <f t="shared" si="4"/>
        <v>171000</v>
      </c>
      <c r="N30" s="43">
        <f t="shared" si="4"/>
        <v>186000</v>
      </c>
    </row>
    <row r="31" spans="2:14" x14ac:dyDescent="0.2">
      <c r="B31" s="78" t="s">
        <v>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2:14" x14ac:dyDescent="0.2">
      <c r="B32" s="78" t="s">
        <v>111</v>
      </c>
      <c r="C32" s="43">
        <f>C30-C31</f>
        <v>21000</v>
      </c>
      <c r="D32" s="43">
        <f>D30-D31</f>
        <v>36000</v>
      </c>
      <c r="E32" s="43">
        <f t="shared" ref="E32:N32" si="5">E30-E31</f>
        <v>51000</v>
      </c>
      <c r="F32" s="43">
        <f t="shared" si="5"/>
        <v>66000</v>
      </c>
      <c r="G32" s="43">
        <f t="shared" si="5"/>
        <v>81000</v>
      </c>
      <c r="H32" s="43">
        <f t="shared" si="5"/>
        <v>96000</v>
      </c>
      <c r="I32" s="43">
        <f t="shared" si="5"/>
        <v>111000</v>
      </c>
      <c r="J32" s="43">
        <f t="shared" si="5"/>
        <v>126000</v>
      </c>
      <c r="K32" s="43">
        <f t="shared" si="5"/>
        <v>141000</v>
      </c>
      <c r="L32" s="43">
        <f t="shared" si="5"/>
        <v>156000</v>
      </c>
      <c r="M32" s="43">
        <f t="shared" si="5"/>
        <v>171000</v>
      </c>
      <c r="N32" s="43">
        <f t="shared" si="5"/>
        <v>186000</v>
      </c>
    </row>
    <row r="35" spans="2:14" ht="15.75" x14ac:dyDescent="0.25">
      <c r="B35" s="31" t="s">
        <v>0</v>
      </c>
      <c r="C35" s="31" t="s"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2:14" x14ac:dyDescent="0.2">
      <c r="B36" s="78"/>
      <c r="C36" s="79">
        <v>44927</v>
      </c>
      <c r="D36" s="79">
        <v>44958</v>
      </c>
      <c r="E36" s="79">
        <v>44986</v>
      </c>
      <c r="F36" s="79">
        <v>45017</v>
      </c>
      <c r="G36" s="79">
        <v>45047</v>
      </c>
      <c r="H36" s="79">
        <v>45078</v>
      </c>
      <c r="I36" s="79">
        <v>45108</v>
      </c>
      <c r="J36" s="79">
        <v>45139</v>
      </c>
      <c r="K36" s="79">
        <v>45170</v>
      </c>
      <c r="L36" s="79">
        <v>45200</v>
      </c>
      <c r="M36" s="79">
        <v>45231</v>
      </c>
      <c r="N36" s="79">
        <v>45261</v>
      </c>
    </row>
    <row r="37" spans="2:14" x14ac:dyDescent="0.2">
      <c r="B37" s="78" t="s">
        <v>110</v>
      </c>
      <c r="C37" s="42">
        <v>186000</v>
      </c>
      <c r="D37" s="42">
        <f t="shared" ref="D37:N37" si="6">C48</f>
        <v>201000</v>
      </c>
      <c r="E37" s="42">
        <f t="shared" si="6"/>
        <v>216000</v>
      </c>
      <c r="F37" s="42">
        <f t="shared" si="6"/>
        <v>231000</v>
      </c>
      <c r="G37" s="42">
        <f t="shared" si="6"/>
        <v>246000</v>
      </c>
      <c r="H37" s="42">
        <f t="shared" si="6"/>
        <v>261000</v>
      </c>
      <c r="I37" s="42">
        <f t="shared" si="6"/>
        <v>280000</v>
      </c>
      <c r="J37" s="42">
        <f t="shared" si="6"/>
        <v>300000</v>
      </c>
      <c r="K37" s="42">
        <f t="shared" si="6"/>
        <v>320000</v>
      </c>
      <c r="L37" s="42">
        <f t="shared" si="6"/>
        <v>340000</v>
      </c>
      <c r="M37" s="42">
        <f t="shared" si="6"/>
        <v>260000</v>
      </c>
      <c r="N37" s="42">
        <f t="shared" si="6"/>
        <v>260000</v>
      </c>
    </row>
    <row r="38" spans="2:14" x14ac:dyDescent="0.2">
      <c r="B38" s="78" t="s">
        <v>76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2:14" x14ac:dyDescent="0.2">
      <c r="B39" s="78" t="s">
        <v>3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109"/>
      <c r="N39" s="42"/>
    </row>
    <row r="40" spans="2:14" x14ac:dyDescent="0.2">
      <c r="B40" s="78" t="s">
        <v>4</v>
      </c>
      <c r="C40" s="42"/>
      <c r="D40" s="42"/>
      <c r="E40" s="42"/>
      <c r="F40" s="42"/>
      <c r="G40" s="42"/>
      <c r="H40" s="42"/>
      <c r="I40" s="42"/>
      <c r="J40" s="42"/>
      <c r="K40" s="42"/>
      <c r="L40" s="109"/>
      <c r="M40" s="42"/>
      <c r="N40" s="42"/>
    </row>
    <row r="41" spans="2:14" x14ac:dyDescent="0.2">
      <c r="B41" s="78" t="s">
        <v>9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2:14" x14ac:dyDescent="0.2">
      <c r="B42" s="78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2:14" x14ac:dyDescent="0.2">
      <c r="B43" s="78" t="s">
        <v>316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2:14" x14ac:dyDescent="0.2">
      <c r="B44" s="78" t="s">
        <v>75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spans="2:14" x14ac:dyDescent="0.2">
      <c r="B45" s="78" t="s">
        <v>5</v>
      </c>
      <c r="C45" s="42">
        <v>15000</v>
      </c>
      <c r="D45" s="42">
        <v>15000</v>
      </c>
      <c r="E45" s="42">
        <v>15000</v>
      </c>
      <c r="F45" s="42">
        <v>15000</v>
      </c>
      <c r="G45" s="42">
        <v>15000</v>
      </c>
      <c r="H45" s="42">
        <v>19000</v>
      </c>
      <c r="I45" s="42">
        <v>20000</v>
      </c>
      <c r="J45" s="42">
        <v>20000</v>
      </c>
      <c r="K45" s="42">
        <v>20000</v>
      </c>
      <c r="L45" s="42">
        <v>20000</v>
      </c>
      <c r="M45" s="42"/>
      <c r="N45" s="42"/>
    </row>
    <row r="46" spans="2:14" x14ac:dyDescent="0.2">
      <c r="B46" s="78" t="s">
        <v>6</v>
      </c>
      <c r="C46" s="43">
        <f>SUM(C37:C45)</f>
        <v>201000</v>
      </c>
      <c r="D46" s="43">
        <f t="shared" ref="D46:N46" si="7">SUM(D37:D45)</f>
        <v>216000</v>
      </c>
      <c r="E46" s="43">
        <f t="shared" si="7"/>
        <v>231000</v>
      </c>
      <c r="F46" s="43">
        <f t="shared" si="7"/>
        <v>246000</v>
      </c>
      <c r="G46" s="43">
        <f t="shared" si="7"/>
        <v>261000</v>
      </c>
      <c r="H46" s="43">
        <f t="shared" si="7"/>
        <v>280000</v>
      </c>
      <c r="I46" s="43">
        <f t="shared" si="7"/>
        <v>300000</v>
      </c>
      <c r="J46" s="43">
        <f t="shared" si="7"/>
        <v>320000</v>
      </c>
      <c r="K46" s="43">
        <f t="shared" si="7"/>
        <v>340000</v>
      </c>
      <c r="L46" s="43">
        <f t="shared" si="7"/>
        <v>360000</v>
      </c>
      <c r="M46" s="43">
        <f t="shared" si="7"/>
        <v>260000</v>
      </c>
      <c r="N46" s="43">
        <f t="shared" si="7"/>
        <v>260000</v>
      </c>
    </row>
    <row r="47" spans="2:14" x14ac:dyDescent="0.2">
      <c r="B47" s="78" t="s">
        <v>7</v>
      </c>
      <c r="C47" s="44"/>
      <c r="D47" s="44"/>
      <c r="E47" s="44"/>
      <c r="F47" s="44"/>
      <c r="G47" s="44"/>
      <c r="H47" s="44"/>
      <c r="I47" s="44"/>
      <c r="J47" s="44"/>
      <c r="K47" s="44"/>
      <c r="L47" s="44">
        <v>100000</v>
      </c>
      <c r="M47" s="44"/>
      <c r="N47" s="44"/>
    </row>
    <row r="48" spans="2:14" x14ac:dyDescent="0.2">
      <c r="B48" s="78" t="s">
        <v>111</v>
      </c>
      <c r="C48" s="43">
        <f>C46-C47</f>
        <v>201000</v>
      </c>
      <c r="D48" s="43">
        <f>D46-D47</f>
        <v>216000</v>
      </c>
      <c r="E48" s="43">
        <f t="shared" ref="E48:N48" si="8">E46-E47</f>
        <v>231000</v>
      </c>
      <c r="F48" s="43">
        <f t="shared" si="8"/>
        <v>246000</v>
      </c>
      <c r="G48" s="43">
        <f t="shared" si="8"/>
        <v>261000</v>
      </c>
      <c r="H48" s="43">
        <f t="shared" si="8"/>
        <v>280000</v>
      </c>
      <c r="I48" s="43">
        <f t="shared" si="8"/>
        <v>300000</v>
      </c>
      <c r="J48" s="43">
        <f t="shared" si="8"/>
        <v>320000</v>
      </c>
      <c r="K48" s="43">
        <f t="shared" si="8"/>
        <v>340000</v>
      </c>
      <c r="L48" s="43">
        <f t="shared" si="8"/>
        <v>260000</v>
      </c>
      <c r="M48" s="43">
        <f t="shared" si="8"/>
        <v>260000</v>
      </c>
      <c r="N48" s="43">
        <f t="shared" si="8"/>
        <v>260000</v>
      </c>
    </row>
  </sheetData>
  <phoneticPr fontId="4" type="noConversion"/>
  <pageMargins left="0.75" right="0.75" top="1" bottom="1" header="0" footer="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2"/>
  <dimension ref="A3:M32"/>
  <sheetViews>
    <sheetView topLeftCell="A13" workbookViewId="0">
      <selection activeCell="F32" sqref="F32"/>
    </sheetView>
  </sheetViews>
  <sheetFormatPr baseColWidth="10" defaultRowHeight="12.75" x14ac:dyDescent="0.2"/>
  <cols>
    <col min="1" max="1" width="43.42578125" customWidth="1"/>
    <col min="12" max="12" width="17.5703125" bestFit="1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x14ac:dyDescent="0.2">
      <c r="A5" s="78" t="s">
        <v>110</v>
      </c>
      <c r="B5" s="42"/>
      <c r="C5" s="42">
        <f t="shared" ref="C5:M5" si="0">B16</f>
        <v>0</v>
      </c>
      <c r="D5" s="42">
        <f t="shared" si="0"/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109">
        <v>196000</v>
      </c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109"/>
      <c r="L8" s="42">
        <v>31500</v>
      </c>
      <c r="M8" s="42">
        <v>27550</v>
      </c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316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763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>
        <v>217210</v>
      </c>
      <c r="M12" s="42">
        <v>8700</v>
      </c>
    </row>
    <row r="13" spans="1:13" x14ac:dyDescent="0.2">
      <c r="A13" s="78" t="s">
        <v>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>
        <v>80000</v>
      </c>
      <c r="M13" s="42">
        <v>50000</v>
      </c>
    </row>
    <row r="14" spans="1:13" x14ac:dyDescent="0.2">
      <c r="A14" s="78" t="s">
        <v>6</v>
      </c>
      <c r="B14" s="43">
        <f>SUM(B5:B13)</f>
        <v>0</v>
      </c>
      <c r="C14" s="43">
        <f t="shared" ref="C14:M14" si="1">SUM(C5:C13)</f>
        <v>0</v>
      </c>
      <c r="D14" s="43">
        <f t="shared" si="1"/>
        <v>0</v>
      </c>
      <c r="E14" s="43">
        <f t="shared" si="1"/>
        <v>0</v>
      </c>
      <c r="F14" s="43">
        <f t="shared" si="1"/>
        <v>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524710</v>
      </c>
      <c r="M14" s="43">
        <f t="shared" si="1"/>
        <v>86250</v>
      </c>
    </row>
    <row r="15" spans="1:13" x14ac:dyDescent="0.2">
      <c r="A15" s="78" t="s">
        <v>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>
        <f>280000+44710+200000</f>
        <v>524710</v>
      </c>
      <c r="M15" s="44">
        <v>145000</v>
      </c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0</v>
      </c>
      <c r="E16" s="43">
        <f t="shared" si="2"/>
        <v>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>L14-L15</f>
        <v>0</v>
      </c>
      <c r="M16" s="43">
        <f t="shared" si="2"/>
        <v>-58750</v>
      </c>
    </row>
    <row r="19" spans="1:13" ht="15.75" x14ac:dyDescent="0.25">
      <c r="A19" s="31" t="s">
        <v>0</v>
      </c>
      <c r="B19" s="31" t="s">
        <v>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">
      <c r="A20" s="78"/>
      <c r="B20" s="79">
        <v>46023</v>
      </c>
      <c r="C20" s="79">
        <v>46054</v>
      </c>
      <c r="D20" s="79">
        <v>46082</v>
      </c>
      <c r="E20" s="79">
        <v>46113</v>
      </c>
      <c r="F20" s="79">
        <v>46143</v>
      </c>
      <c r="G20" s="79">
        <v>46174</v>
      </c>
      <c r="H20" s="79">
        <v>46204</v>
      </c>
      <c r="I20" s="79">
        <v>46235</v>
      </c>
      <c r="J20" s="79">
        <v>46266</v>
      </c>
      <c r="K20" s="79">
        <v>46296</v>
      </c>
      <c r="L20" s="79">
        <v>46327</v>
      </c>
      <c r="M20" s="79">
        <v>46357</v>
      </c>
    </row>
    <row r="21" spans="1:13" x14ac:dyDescent="0.2">
      <c r="A21" s="78" t="s">
        <v>110</v>
      </c>
      <c r="B21" s="42">
        <v>-58750</v>
      </c>
      <c r="C21" s="42">
        <f t="shared" ref="C21:M21" si="3">B32</f>
        <v>0</v>
      </c>
      <c r="D21" s="42">
        <f t="shared" si="3"/>
        <v>0</v>
      </c>
      <c r="E21" s="42">
        <f t="shared" si="3"/>
        <v>80000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0</v>
      </c>
      <c r="M21" s="42">
        <f t="shared" si="3"/>
        <v>0</v>
      </c>
    </row>
    <row r="22" spans="1:13" x14ac:dyDescent="0.2">
      <c r="A22" s="78" t="s">
        <v>76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>
        <v>18000</v>
      </c>
      <c r="G23" s="42"/>
      <c r="H23" s="42"/>
      <c r="I23" s="42"/>
      <c r="J23" s="42"/>
      <c r="K23" s="42"/>
      <c r="L23" s="109"/>
      <c r="M23" s="42"/>
    </row>
    <row r="24" spans="1:13" x14ac:dyDescent="0.2">
      <c r="A24" s="78" t="s">
        <v>4</v>
      </c>
      <c r="B24" s="42">
        <v>30000</v>
      </c>
      <c r="C24" s="42">
        <v>30000</v>
      </c>
      <c r="D24" s="42">
        <v>30000</v>
      </c>
      <c r="E24" s="42">
        <v>30000</v>
      </c>
      <c r="F24" s="42">
        <v>30000</v>
      </c>
      <c r="G24" s="42"/>
      <c r="H24" s="42"/>
      <c r="I24" s="42"/>
      <c r="J24" s="42"/>
      <c r="K24" s="109"/>
      <c r="L24" s="42"/>
      <c r="M24" s="42"/>
    </row>
    <row r="25" spans="1:13" x14ac:dyDescent="0.2">
      <c r="A25" s="78" t="s">
        <v>9</v>
      </c>
      <c r="B25" s="42">
        <v>65000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791</v>
      </c>
      <c r="B27" s="42"/>
      <c r="C27" s="42"/>
      <c r="D27" s="42"/>
      <c r="E27" s="42"/>
      <c r="F27" s="42">
        <v>21000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763</v>
      </c>
      <c r="B28" s="42"/>
      <c r="C28" s="42">
        <v>50000</v>
      </c>
      <c r="D28" s="42"/>
      <c r="E28" s="42">
        <v>72000</v>
      </c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50000</v>
      </c>
      <c r="C29" s="42">
        <v>50000</v>
      </c>
      <c r="D29" s="42">
        <v>50000</v>
      </c>
      <c r="E29" s="42">
        <v>60000</v>
      </c>
      <c r="F29" s="42">
        <v>60000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>SUM(B21:B29)</f>
        <v>86250</v>
      </c>
      <c r="C30" s="43">
        <f t="shared" ref="C30:M30" si="4">SUM(C21:C29)</f>
        <v>130000</v>
      </c>
      <c r="D30" s="43">
        <f t="shared" si="4"/>
        <v>80000</v>
      </c>
      <c r="E30" s="43">
        <f t="shared" si="4"/>
        <v>242000</v>
      </c>
      <c r="F30" s="43">
        <f t="shared" si="4"/>
        <v>129000</v>
      </c>
      <c r="G30" s="43">
        <f t="shared" si="4"/>
        <v>0</v>
      </c>
      <c r="H30" s="43">
        <f t="shared" si="4"/>
        <v>0</v>
      </c>
      <c r="I30" s="43">
        <f t="shared" si="4"/>
        <v>0</v>
      </c>
      <c r="J30" s="43">
        <f t="shared" si="4"/>
        <v>0</v>
      </c>
      <c r="K30" s="43">
        <f t="shared" si="4"/>
        <v>0</v>
      </c>
      <c r="L30" s="43">
        <f t="shared" si="4"/>
        <v>0</v>
      </c>
      <c r="M30" s="43">
        <f t="shared" si="4"/>
        <v>0</v>
      </c>
    </row>
    <row r="31" spans="1:13" x14ac:dyDescent="0.2">
      <c r="A31" s="78" t="s">
        <v>7</v>
      </c>
      <c r="B31" s="44">
        <v>86250</v>
      </c>
      <c r="C31" s="44">
        <v>130000</v>
      </c>
      <c r="D31" s="44"/>
      <c r="E31" s="44">
        <v>242000</v>
      </c>
      <c r="F31" s="44">
        <v>129000</v>
      </c>
      <c r="G31" s="44"/>
      <c r="H31" s="44"/>
      <c r="I31" s="44"/>
      <c r="J31" s="44"/>
      <c r="K31" s="44"/>
      <c r="L31" s="44"/>
      <c r="M31" s="44"/>
    </row>
    <row r="32" spans="1:13" x14ac:dyDescent="0.2">
      <c r="A32" s="78" t="s">
        <v>111</v>
      </c>
      <c r="B32" s="43">
        <f>B30-B31</f>
        <v>0</v>
      </c>
      <c r="C32" s="43">
        <f>C30-C31</f>
        <v>0</v>
      </c>
      <c r="D32" s="43">
        <f t="shared" ref="D32:K32" si="5">D30-D31</f>
        <v>80000</v>
      </c>
      <c r="E32" s="43">
        <f t="shared" si="5"/>
        <v>0</v>
      </c>
      <c r="F32" s="43">
        <f t="shared" si="5"/>
        <v>0</v>
      </c>
      <c r="G32" s="43">
        <f t="shared" si="5"/>
        <v>0</v>
      </c>
      <c r="H32" s="43">
        <f t="shared" si="5"/>
        <v>0</v>
      </c>
      <c r="I32" s="43">
        <f t="shared" si="5"/>
        <v>0</v>
      </c>
      <c r="J32" s="43">
        <f t="shared" si="5"/>
        <v>0</v>
      </c>
      <c r="K32" s="43">
        <f t="shared" si="5"/>
        <v>0</v>
      </c>
      <c r="L32" s="43">
        <f>L30-L31</f>
        <v>0</v>
      </c>
      <c r="M32" s="43">
        <f>M30-M31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2"/>
  <dimension ref="A3:M33"/>
  <sheetViews>
    <sheetView workbookViewId="0">
      <selection activeCell="F16" sqref="F16"/>
    </sheetView>
  </sheetViews>
  <sheetFormatPr baseColWidth="10" defaultRowHeight="12.75" x14ac:dyDescent="0.2"/>
  <cols>
    <col min="1" max="1" width="26.42578125" customWidth="1"/>
  </cols>
  <sheetData>
    <row r="3" spans="1:13" x14ac:dyDescent="0.2">
      <c r="A3" s="50" t="s">
        <v>0</v>
      </c>
      <c r="B3" s="50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x14ac:dyDescent="0.2">
      <c r="A4" s="78"/>
      <c r="B4" s="79">
        <v>46023</v>
      </c>
      <c r="C4" s="79">
        <v>46054</v>
      </c>
      <c r="D4" s="79">
        <v>46082</v>
      </c>
      <c r="E4" s="79">
        <v>46113</v>
      </c>
      <c r="F4" s="79">
        <v>46143</v>
      </c>
      <c r="G4" s="79">
        <v>46174</v>
      </c>
      <c r="H4" s="79">
        <v>46204</v>
      </c>
      <c r="I4" s="79">
        <v>46235</v>
      </c>
      <c r="J4" s="79">
        <v>46266</v>
      </c>
      <c r="K4" s="79">
        <v>46296</v>
      </c>
      <c r="L4" s="79">
        <v>46327</v>
      </c>
      <c r="M4" s="79">
        <v>46357</v>
      </c>
    </row>
    <row r="5" spans="1:13" x14ac:dyDescent="0.2">
      <c r="A5" s="78" t="s">
        <v>110</v>
      </c>
      <c r="B5" s="42">
        <v>-10000</v>
      </c>
      <c r="C5" s="42">
        <f>B16</f>
        <v>120000</v>
      </c>
      <c r="D5" s="42">
        <f t="shared" ref="D5:J5" si="0">C16</f>
        <v>0</v>
      </c>
      <c r="E5" s="42">
        <f t="shared" si="0"/>
        <v>0</v>
      </c>
      <c r="F5" s="42">
        <f t="shared" si="0"/>
        <v>130000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>J16</f>
        <v>0</v>
      </c>
      <c r="L5" s="42">
        <f>K16</f>
        <v>0</v>
      </c>
      <c r="M5" s="42">
        <f>L16</f>
        <v>0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344</v>
      </c>
      <c r="B12" s="42">
        <v>20000</v>
      </c>
      <c r="C12" s="42">
        <v>20000</v>
      </c>
      <c r="D12" s="42">
        <v>20000</v>
      </c>
      <c r="E12" s="42">
        <v>20000</v>
      </c>
      <c r="F12" s="42">
        <v>20000</v>
      </c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110000</v>
      </c>
      <c r="C13" s="42">
        <v>110000</v>
      </c>
      <c r="D13" s="42">
        <v>110000</v>
      </c>
      <c r="E13" s="42">
        <v>110000</v>
      </c>
      <c r="F13" s="42">
        <v>110000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120000</v>
      </c>
      <c r="C14" s="43">
        <f t="shared" ref="C14:M14" si="1">SUM(C5:C13)</f>
        <v>250000</v>
      </c>
      <c r="D14" s="43">
        <f t="shared" si="1"/>
        <v>130000</v>
      </c>
      <c r="E14" s="43">
        <f t="shared" si="1"/>
        <v>130000</v>
      </c>
      <c r="F14" s="43">
        <f t="shared" si="1"/>
        <v>260000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x14ac:dyDescent="0.2">
      <c r="A15" s="78" t="s">
        <v>7</v>
      </c>
      <c r="B15" s="44"/>
      <c r="C15" s="44">
        <v>250000</v>
      </c>
      <c r="D15" s="44">
        <v>130000</v>
      </c>
      <c r="E15" s="44"/>
      <c r="F15" s="44">
        <v>260000</v>
      </c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120000</v>
      </c>
      <c r="C16" s="43">
        <f>C14-C15</f>
        <v>0</v>
      </c>
      <c r="D16" s="43">
        <f t="shared" ref="D16:M16" si="2">D14-D15</f>
        <v>0</v>
      </c>
      <c r="E16" s="43">
        <f t="shared" si="2"/>
        <v>130000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</row>
    <row r="19" spans="1:13" x14ac:dyDescent="0.2">
      <c r="A19" s="50" t="s">
        <v>0</v>
      </c>
      <c r="B19" s="50" t="s">
        <v>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9">
        <v>45658</v>
      </c>
      <c r="C20" s="79">
        <v>45689</v>
      </c>
      <c r="D20" s="79">
        <v>45717</v>
      </c>
      <c r="E20" s="79">
        <v>45748</v>
      </c>
      <c r="F20" s="79">
        <v>45778</v>
      </c>
      <c r="G20" s="79">
        <v>45809</v>
      </c>
      <c r="H20" s="79">
        <v>45839</v>
      </c>
      <c r="I20" s="79">
        <v>45870</v>
      </c>
      <c r="J20" s="79">
        <v>45901</v>
      </c>
      <c r="K20" s="79">
        <v>45931</v>
      </c>
      <c r="L20" s="79">
        <v>45962</v>
      </c>
      <c r="M20" s="79">
        <v>45992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70000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110000</v>
      </c>
      <c r="M21" s="42">
        <f t="shared" si="3"/>
        <v>0</v>
      </c>
    </row>
    <row r="22" spans="1:13" x14ac:dyDescent="0.2">
      <c r="A22" s="78" t="s">
        <v>76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>
        <v>45000</v>
      </c>
      <c r="F27" s="42">
        <v>15000</v>
      </c>
      <c r="G27" s="42">
        <v>15000</v>
      </c>
      <c r="H27" s="42">
        <v>15000</v>
      </c>
      <c r="I27" s="42">
        <v>20000</v>
      </c>
      <c r="J27" s="42">
        <v>20000</v>
      </c>
      <c r="K27" s="42">
        <v>20000</v>
      </c>
      <c r="L27" s="42">
        <v>20000</v>
      </c>
      <c r="M27" s="42">
        <v>20000</v>
      </c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70000</v>
      </c>
      <c r="C29" s="42">
        <v>70000</v>
      </c>
      <c r="D29" s="42">
        <v>70000</v>
      </c>
      <c r="E29" s="42">
        <v>70000</v>
      </c>
      <c r="F29" s="42">
        <v>70000</v>
      </c>
      <c r="G29" s="42">
        <v>75000</v>
      </c>
      <c r="H29" s="42">
        <v>75000</v>
      </c>
      <c r="I29" s="42">
        <v>80000</v>
      </c>
      <c r="J29" s="42">
        <v>80000</v>
      </c>
      <c r="K29" s="42">
        <v>90000</v>
      </c>
      <c r="L29" s="42">
        <v>90000</v>
      </c>
      <c r="M29" s="42">
        <v>90000</v>
      </c>
    </row>
    <row r="30" spans="1:13" x14ac:dyDescent="0.2">
      <c r="A30" s="78" t="s">
        <v>6</v>
      </c>
      <c r="B30" s="43">
        <f>SUM(B21:B29)</f>
        <v>70000</v>
      </c>
      <c r="C30" s="43">
        <f t="shared" ref="C30:M30" si="4">SUM(C21:C29)</f>
        <v>70000</v>
      </c>
      <c r="D30" s="43">
        <f t="shared" si="4"/>
        <v>140000</v>
      </c>
      <c r="E30" s="43">
        <f t="shared" si="4"/>
        <v>115000</v>
      </c>
      <c r="F30" s="43">
        <f t="shared" si="4"/>
        <v>85000</v>
      </c>
      <c r="G30" s="43">
        <f t="shared" si="4"/>
        <v>90000</v>
      </c>
      <c r="H30" s="43">
        <f t="shared" si="4"/>
        <v>90000</v>
      </c>
      <c r="I30" s="43">
        <f t="shared" si="4"/>
        <v>100000</v>
      </c>
      <c r="J30" s="43">
        <f t="shared" si="4"/>
        <v>100000</v>
      </c>
      <c r="K30" s="43">
        <f t="shared" si="4"/>
        <v>110000</v>
      </c>
      <c r="L30" s="43">
        <f t="shared" si="4"/>
        <v>220000</v>
      </c>
      <c r="M30" s="43">
        <f t="shared" si="4"/>
        <v>110000</v>
      </c>
    </row>
    <row r="31" spans="1:13" x14ac:dyDescent="0.2">
      <c r="A31" s="78" t="s">
        <v>7</v>
      </c>
      <c r="B31" s="44">
        <v>70000</v>
      </c>
      <c r="C31" s="44"/>
      <c r="D31" s="44">
        <v>140000</v>
      </c>
      <c r="E31" s="44">
        <v>115000</v>
      </c>
      <c r="F31" s="44">
        <v>85000</v>
      </c>
      <c r="G31" s="44">
        <v>90000</v>
      </c>
      <c r="H31" s="44">
        <v>90000</v>
      </c>
      <c r="I31" s="44">
        <v>100000</v>
      </c>
      <c r="J31" s="44">
        <v>100000</v>
      </c>
      <c r="K31" s="44"/>
      <c r="L31" s="44">
        <v>220000</v>
      </c>
      <c r="M31" s="44">
        <v>120000</v>
      </c>
    </row>
    <row r="32" spans="1:13" x14ac:dyDescent="0.2">
      <c r="A32" s="78" t="s">
        <v>111</v>
      </c>
      <c r="B32" s="43">
        <f>B30-B31</f>
        <v>0</v>
      </c>
      <c r="C32" s="43">
        <f>C30-C31</f>
        <v>70000</v>
      </c>
      <c r="D32" s="43">
        <f t="shared" ref="D32:M32" si="5">D30-D31</f>
        <v>0</v>
      </c>
      <c r="E32" s="43">
        <f t="shared" si="5"/>
        <v>0</v>
      </c>
      <c r="F32" s="43">
        <f t="shared" si="5"/>
        <v>0</v>
      </c>
      <c r="G32" s="43">
        <f t="shared" si="5"/>
        <v>0</v>
      </c>
      <c r="H32" s="43">
        <f t="shared" si="5"/>
        <v>0</v>
      </c>
      <c r="I32" s="43">
        <f t="shared" si="5"/>
        <v>0</v>
      </c>
      <c r="J32" s="43">
        <f t="shared" si="5"/>
        <v>0</v>
      </c>
      <c r="K32" s="43">
        <f t="shared" si="5"/>
        <v>110000</v>
      </c>
      <c r="L32" s="43">
        <f t="shared" si="5"/>
        <v>0</v>
      </c>
      <c r="M32" s="43">
        <f t="shared" si="5"/>
        <v>-10000</v>
      </c>
    </row>
    <row r="33" spans="12:12" x14ac:dyDescent="0.2">
      <c r="L33" s="179">
        <v>46010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8"/>
  <dimension ref="A3:M132"/>
  <sheetViews>
    <sheetView topLeftCell="A7" workbookViewId="0">
      <selection activeCell="B15" sqref="B15"/>
    </sheetView>
  </sheetViews>
  <sheetFormatPr baseColWidth="10" defaultRowHeight="12.75" x14ac:dyDescent="0.2"/>
  <cols>
    <col min="1" max="1" width="25.7109375" customWidth="1"/>
    <col min="2" max="2" width="12.85546875" bestFit="1" customWidth="1"/>
    <col min="5" max="5" width="12.5703125" customWidth="1"/>
    <col min="6" max="7" width="13" customWidth="1"/>
    <col min="8" max="8" width="12.85546875" customWidth="1"/>
    <col min="9" max="9" width="13.42578125" customWidth="1"/>
    <col min="10" max="10" width="12.5703125" customWidth="1"/>
    <col min="11" max="11" width="12.85546875" customWidth="1"/>
    <col min="12" max="12" width="12.7109375" customWidth="1"/>
    <col min="13" max="13" width="13.140625" customWidth="1"/>
  </cols>
  <sheetData>
    <row r="3" spans="1:13" ht="20.25" x14ac:dyDescent="0.3">
      <c r="A3" s="11" t="s">
        <v>11</v>
      </c>
      <c r="B3" s="216" t="s">
        <v>291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50" t="s">
        <v>0</v>
      </c>
      <c r="B5" s="50" t="s">
        <v>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13" x14ac:dyDescent="0.2">
      <c r="A6" s="78"/>
      <c r="B6" s="79">
        <v>45658</v>
      </c>
      <c r="C6" s="79">
        <v>45689</v>
      </c>
      <c r="D6" s="79">
        <v>45717</v>
      </c>
      <c r="E6" s="79">
        <v>45748</v>
      </c>
      <c r="F6" s="79">
        <v>45778</v>
      </c>
      <c r="G6" s="79">
        <v>45809</v>
      </c>
      <c r="H6" s="79">
        <v>45839</v>
      </c>
      <c r="I6" s="79">
        <v>45870</v>
      </c>
      <c r="J6" s="79">
        <v>45901</v>
      </c>
      <c r="K6" s="79">
        <v>45931</v>
      </c>
      <c r="L6" s="79">
        <v>45962</v>
      </c>
      <c r="M6" s="79">
        <v>45992</v>
      </c>
    </row>
    <row r="7" spans="1:13" x14ac:dyDescent="0.2">
      <c r="A7" s="78" t="s">
        <v>110</v>
      </c>
      <c r="B7" s="42"/>
      <c r="C7" s="42">
        <f>B18</f>
        <v>250000</v>
      </c>
      <c r="D7" s="42">
        <f t="shared" ref="D7:J7" si="0">C18</f>
        <v>500000</v>
      </c>
      <c r="E7" s="42">
        <f t="shared" si="0"/>
        <v>750000</v>
      </c>
      <c r="F7" s="42">
        <f t="shared" si="0"/>
        <v>1000000</v>
      </c>
      <c r="G7" s="42">
        <f t="shared" si="0"/>
        <v>1250000</v>
      </c>
      <c r="H7" s="42">
        <f t="shared" si="0"/>
        <v>1500000</v>
      </c>
      <c r="I7" s="42">
        <f t="shared" si="0"/>
        <v>1750000</v>
      </c>
      <c r="J7" s="42">
        <f t="shared" si="0"/>
        <v>2000000</v>
      </c>
      <c r="K7" s="42">
        <f>J18</f>
        <v>2250000</v>
      </c>
      <c r="L7" s="42">
        <f>K18</f>
        <v>2500000</v>
      </c>
      <c r="M7" s="42">
        <f>L18</f>
        <v>2750000</v>
      </c>
    </row>
    <row r="8" spans="1:13" x14ac:dyDescent="0.2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250000</v>
      </c>
      <c r="C15" s="42">
        <v>250000</v>
      </c>
      <c r="D15" s="42">
        <v>250000</v>
      </c>
      <c r="E15" s="42">
        <v>250000</v>
      </c>
      <c r="F15" s="42">
        <v>250000</v>
      </c>
      <c r="G15" s="42">
        <v>250000</v>
      </c>
      <c r="H15" s="42">
        <v>250000</v>
      </c>
      <c r="I15" s="42">
        <v>250000</v>
      </c>
      <c r="J15" s="42">
        <v>250000</v>
      </c>
      <c r="K15" s="42">
        <v>250000</v>
      </c>
      <c r="L15" s="42">
        <v>250000</v>
      </c>
      <c r="M15" s="42">
        <v>250000</v>
      </c>
    </row>
    <row r="16" spans="1:13" x14ac:dyDescent="0.2">
      <c r="A16" s="78" t="s">
        <v>6</v>
      </c>
      <c r="B16" s="43">
        <f>SUM(B7:B15)</f>
        <v>250000</v>
      </c>
      <c r="C16" s="43">
        <f t="shared" ref="C16:M16" si="1">SUM(C7:C15)</f>
        <v>500000</v>
      </c>
      <c r="D16" s="43">
        <f t="shared" si="1"/>
        <v>750000</v>
      </c>
      <c r="E16" s="43">
        <f t="shared" si="1"/>
        <v>1000000</v>
      </c>
      <c r="F16" s="43">
        <f t="shared" si="1"/>
        <v>1250000</v>
      </c>
      <c r="G16" s="43">
        <f t="shared" si="1"/>
        <v>1500000</v>
      </c>
      <c r="H16" s="43">
        <f t="shared" si="1"/>
        <v>1750000</v>
      </c>
      <c r="I16" s="43">
        <f t="shared" si="1"/>
        <v>2000000</v>
      </c>
      <c r="J16" s="43">
        <f t="shared" si="1"/>
        <v>2250000</v>
      </c>
      <c r="K16" s="43">
        <f t="shared" si="1"/>
        <v>2500000</v>
      </c>
      <c r="L16" s="43">
        <f t="shared" si="1"/>
        <v>2750000</v>
      </c>
      <c r="M16" s="43">
        <f t="shared" si="1"/>
        <v>3000000</v>
      </c>
    </row>
    <row r="17" spans="1:13" x14ac:dyDescent="0.2">
      <c r="A17" s="78" t="s">
        <v>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 spans="1:13" x14ac:dyDescent="0.2">
      <c r="A18" s="78" t="s">
        <v>111</v>
      </c>
      <c r="B18" s="43">
        <f>B16-B17</f>
        <v>250000</v>
      </c>
      <c r="C18" s="43">
        <f>C16-C17</f>
        <v>500000</v>
      </c>
      <c r="D18" s="43">
        <f t="shared" ref="D18:M18" si="2">D16-D17</f>
        <v>750000</v>
      </c>
      <c r="E18" s="43">
        <f t="shared" si="2"/>
        <v>1000000</v>
      </c>
      <c r="F18" s="43">
        <f t="shared" si="2"/>
        <v>1250000</v>
      </c>
      <c r="G18" s="43">
        <f t="shared" si="2"/>
        <v>1500000</v>
      </c>
      <c r="H18" s="43">
        <f t="shared" si="2"/>
        <v>1750000</v>
      </c>
      <c r="I18" s="43">
        <f t="shared" si="2"/>
        <v>2000000</v>
      </c>
      <c r="J18" s="43">
        <f t="shared" si="2"/>
        <v>2250000</v>
      </c>
      <c r="K18" s="43">
        <f t="shared" si="2"/>
        <v>2500000</v>
      </c>
      <c r="L18" s="43">
        <f t="shared" si="2"/>
        <v>2750000</v>
      </c>
      <c r="M18" s="43">
        <f t="shared" si="2"/>
        <v>3000000</v>
      </c>
    </row>
    <row r="22" spans="1:13" x14ac:dyDescent="0.2">
      <c r="A22" s="50" t="s">
        <v>0</v>
      </c>
      <c r="B22" s="50" t="s">
        <v>1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9">
        <v>45292</v>
      </c>
      <c r="C23" s="79">
        <v>45323</v>
      </c>
      <c r="D23" s="79">
        <v>45352</v>
      </c>
      <c r="E23" s="79">
        <v>45383</v>
      </c>
      <c r="F23" s="79">
        <v>45413</v>
      </c>
      <c r="G23" s="79">
        <v>45444</v>
      </c>
      <c r="H23" s="79">
        <v>45474</v>
      </c>
      <c r="I23" s="79">
        <v>45505</v>
      </c>
      <c r="J23" s="79">
        <v>45536</v>
      </c>
      <c r="K23" s="79">
        <v>45566</v>
      </c>
      <c r="L23" s="79">
        <v>45597</v>
      </c>
      <c r="M23" s="79">
        <v>45627</v>
      </c>
    </row>
    <row r="24" spans="1:13" x14ac:dyDescent="0.2">
      <c r="A24" s="78" t="s">
        <v>110</v>
      </c>
      <c r="B24" s="42"/>
      <c r="C24" s="42">
        <f t="shared" ref="C24:M24" si="3">B35</f>
        <v>120000</v>
      </c>
      <c r="D24" s="42">
        <f t="shared" si="3"/>
        <v>240000</v>
      </c>
      <c r="E24" s="42">
        <f t="shared" si="3"/>
        <v>360000</v>
      </c>
      <c r="F24" s="42">
        <f t="shared" si="3"/>
        <v>480000</v>
      </c>
      <c r="G24" s="42">
        <f t="shared" si="3"/>
        <v>600000</v>
      </c>
      <c r="H24" s="42">
        <f t="shared" si="3"/>
        <v>720000</v>
      </c>
      <c r="I24" s="42">
        <f t="shared" si="3"/>
        <v>840000</v>
      </c>
      <c r="J24" s="42">
        <f t="shared" si="3"/>
        <v>960000</v>
      </c>
      <c r="K24" s="42">
        <f t="shared" si="3"/>
        <v>1080000</v>
      </c>
      <c r="L24" s="42">
        <f t="shared" si="3"/>
        <v>1200000</v>
      </c>
      <c r="M24" s="42">
        <f t="shared" si="3"/>
        <v>1320000</v>
      </c>
    </row>
    <row r="25" spans="1:13" x14ac:dyDescent="0.2">
      <c r="A25" s="78" t="s">
        <v>76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120000</v>
      </c>
      <c r="C32" s="42">
        <v>120000</v>
      </c>
      <c r="D32" s="42">
        <v>120000</v>
      </c>
      <c r="E32" s="42">
        <v>120000</v>
      </c>
      <c r="F32" s="42">
        <v>120000</v>
      </c>
      <c r="G32" s="42">
        <v>120000</v>
      </c>
      <c r="H32" s="42">
        <v>120000</v>
      </c>
      <c r="I32" s="42">
        <v>120000</v>
      </c>
      <c r="J32" s="42">
        <v>120000</v>
      </c>
      <c r="K32" s="42">
        <v>120000</v>
      </c>
      <c r="L32" s="42">
        <v>120000</v>
      </c>
      <c r="M32" s="42">
        <v>120000</v>
      </c>
    </row>
    <row r="33" spans="1:13" x14ac:dyDescent="0.2">
      <c r="A33" s="78" t="s">
        <v>6</v>
      </c>
      <c r="B33" s="43">
        <f>SUM(B24:B32)</f>
        <v>120000</v>
      </c>
      <c r="C33" s="43">
        <f t="shared" ref="C33:M33" si="4">SUM(C24:C32)</f>
        <v>240000</v>
      </c>
      <c r="D33" s="43">
        <f t="shared" si="4"/>
        <v>360000</v>
      </c>
      <c r="E33" s="43">
        <f t="shared" si="4"/>
        <v>480000</v>
      </c>
      <c r="F33" s="43">
        <f t="shared" si="4"/>
        <v>600000</v>
      </c>
      <c r="G33" s="43">
        <f t="shared" si="4"/>
        <v>720000</v>
      </c>
      <c r="H33" s="43">
        <f t="shared" si="4"/>
        <v>840000</v>
      </c>
      <c r="I33" s="43">
        <f t="shared" si="4"/>
        <v>960000</v>
      </c>
      <c r="J33" s="43">
        <f t="shared" si="4"/>
        <v>1080000</v>
      </c>
      <c r="K33" s="43">
        <f t="shared" si="4"/>
        <v>1200000</v>
      </c>
      <c r="L33" s="43">
        <f t="shared" si="4"/>
        <v>1320000</v>
      </c>
      <c r="M33" s="43">
        <f t="shared" si="4"/>
        <v>1440000</v>
      </c>
    </row>
    <row r="34" spans="1:13" x14ac:dyDescent="0.2">
      <c r="A34" s="78" t="s">
        <v>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>
        <v>1440000</v>
      </c>
    </row>
    <row r="35" spans="1:13" x14ac:dyDescent="0.2">
      <c r="A35" s="78" t="s">
        <v>111</v>
      </c>
      <c r="B35" s="43">
        <f>B33-B34</f>
        <v>120000</v>
      </c>
      <c r="C35" s="43">
        <f>C33-C34</f>
        <v>240000</v>
      </c>
      <c r="D35" s="43">
        <f t="shared" ref="D35:M35" si="5">D33-D34</f>
        <v>360000</v>
      </c>
      <c r="E35" s="43">
        <f t="shared" si="5"/>
        <v>480000</v>
      </c>
      <c r="F35" s="43">
        <f t="shared" si="5"/>
        <v>600000</v>
      </c>
      <c r="G35" s="43">
        <f t="shared" si="5"/>
        <v>720000</v>
      </c>
      <c r="H35" s="43">
        <f t="shared" si="5"/>
        <v>840000</v>
      </c>
      <c r="I35" s="43">
        <f t="shared" si="5"/>
        <v>960000</v>
      </c>
      <c r="J35" s="43">
        <f t="shared" si="5"/>
        <v>1080000</v>
      </c>
      <c r="K35" s="43">
        <f t="shared" si="5"/>
        <v>1200000</v>
      </c>
      <c r="L35" s="43">
        <f t="shared" si="5"/>
        <v>1320000</v>
      </c>
      <c r="M35" s="43">
        <f t="shared" si="5"/>
        <v>0</v>
      </c>
    </row>
    <row r="39" spans="1:13" x14ac:dyDescent="0.2">
      <c r="A39" s="50" t="s">
        <v>0</v>
      </c>
      <c r="B39" s="50" t="s">
        <v>1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x14ac:dyDescent="0.2">
      <c r="A40" s="78"/>
      <c r="B40" s="79">
        <v>42370</v>
      </c>
      <c r="C40" s="79">
        <v>42401</v>
      </c>
      <c r="D40" s="79">
        <v>42430</v>
      </c>
      <c r="E40" s="79">
        <v>42461</v>
      </c>
      <c r="F40" s="79">
        <v>42491</v>
      </c>
      <c r="G40" s="79">
        <v>42522</v>
      </c>
      <c r="H40" s="79">
        <v>42552</v>
      </c>
      <c r="I40" s="79">
        <v>42583</v>
      </c>
      <c r="J40" s="79">
        <v>42614</v>
      </c>
      <c r="K40" s="79">
        <v>42644</v>
      </c>
      <c r="L40" s="79">
        <v>42675</v>
      </c>
      <c r="M40" s="79">
        <v>42705</v>
      </c>
    </row>
    <row r="41" spans="1:13" x14ac:dyDescent="0.2">
      <c r="A41" s="78" t="s">
        <v>110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76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9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73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74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75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6</v>
      </c>
      <c r="B50" s="43">
        <f>SUM(B41:B49)</f>
        <v>0</v>
      </c>
      <c r="C50" s="43">
        <f t="shared" ref="C50:M50" si="6">SUM(C41:C49)</f>
        <v>0</v>
      </c>
      <c r="D50" s="43">
        <f t="shared" si="6"/>
        <v>0</v>
      </c>
      <c r="E50" s="43">
        <f t="shared" si="6"/>
        <v>0</v>
      </c>
      <c r="F50" s="43">
        <f t="shared" si="6"/>
        <v>0</v>
      </c>
      <c r="G50" s="43">
        <f t="shared" si="6"/>
        <v>0</v>
      </c>
      <c r="H50" s="43">
        <f t="shared" si="6"/>
        <v>0</v>
      </c>
      <c r="I50" s="43">
        <f t="shared" si="6"/>
        <v>0</v>
      </c>
      <c r="J50" s="43">
        <f t="shared" si="6"/>
        <v>0</v>
      </c>
      <c r="K50" s="43">
        <f t="shared" si="6"/>
        <v>0</v>
      </c>
      <c r="L50" s="43">
        <f t="shared" si="6"/>
        <v>0</v>
      </c>
      <c r="M50" s="43">
        <f t="shared" si="6"/>
        <v>0</v>
      </c>
    </row>
    <row r="51" spans="1:13" x14ac:dyDescent="0.2">
      <c r="A51" s="78" t="s">
        <v>7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1:13" x14ac:dyDescent="0.2">
      <c r="A52" s="78" t="s">
        <v>111</v>
      </c>
      <c r="B52" s="43">
        <f>B50-B51</f>
        <v>0</v>
      </c>
      <c r="C52" s="43">
        <f>C50-C51</f>
        <v>0</v>
      </c>
      <c r="D52" s="43">
        <f t="shared" ref="D52:M52" si="7">D50-D51</f>
        <v>0</v>
      </c>
      <c r="E52" s="43">
        <f t="shared" si="7"/>
        <v>0</v>
      </c>
      <c r="F52" s="43">
        <f t="shared" si="7"/>
        <v>0</v>
      </c>
      <c r="G52" s="43">
        <f t="shared" si="7"/>
        <v>0</v>
      </c>
      <c r="H52" s="43">
        <f t="shared" si="7"/>
        <v>0</v>
      </c>
      <c r="I52" s="43">
        <f t="shared" si="7"/>
        <v>0</v>
      </c>
      <c r="J52" s="43">
        <f t="shared" si="7"/>
        <v>0</v>
      </c>
      <c r="K52" s="43">
        <f t="shared" si="7"/>
        <v>0</v>
      </c>
      <c r="L52" s="43">
        <f t="shared" si="7"/>
        <v>0</v>
      </c>
      <c r="M52" s="43">
        <f t="shared" si="7"/>
        <v>0</v>
      </c>
    </row>
    <row r="57" spans="1:13" x14ac:dyDescent="0.2">
      <c r="A57" s="50" t="s">
        <v>0</v>
      </c>
      <c r="B57" s="50" t="s">
        <v>1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</row>
    <row r="58" spans="1:13" x14ac:dyDescent="0.2">
      <c r="A58" s="78"/>
      <c r="B58" s="79">
        <v>42736</v>
      </c>
      <c r="C58" s="79">
        <v>42767</v>
      </c>
      <c r="D58" s="79">
        <v>42795</v>
      </c>
      <c r="E58" s="79">
        <v>42826</v>
      </c>
      <c r="F58" s="79">
        <v>42856</v>
      </c>
      <c r="G58" s="79">
        <v>42887</v>
      </c>
      <c r="H58" s="79">
        <v>42917</v>
      </c>
      <c r="I58" s="79">
        <v>42948</v>
      </c>
      <c r="J58" s="79">
        <v>42979</v>
      </c>
      <c r="K58" s="79">
        <v>43009</v>
      </c>
      <c r="L58" s="79">
        <v>43040</v>
      </c>
      <c r="M58" s="79">
        <v>43070</v>
      </c>
    </row>
    <row r="59" spans="1:13" x14ac:dyDescent="0.2">
      <c r="A59" s="78" t="s">
        <v>110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2">
      <c r="A60" s="78" t="s">
        <v>76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2">
      <c r="A61" s="78" t="s">
        <v>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pans="1:13" x14ac:dyDescent="0.2">
      <c r="A62" s="78" t="s">
        <v>4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2">
      <c r="A63" s="78" t="s">
        <v>9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x14ac:dyDescent="0.2">
      <c r="A64" s="78" t="s">
        <v>73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</row>
    <row r="65" spans="1:13" x14ac:dyDescent="0.2">
      <c r="A65" s="78" t="s">
        <v>74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</row>
    <row r="66" spans="1:13" x14ac:dyDescent="0.2">
      <c r="A66" s="78" t="s">
        <v>75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</row>
    <row r="67" spans="1:13" x14ac:dyDescent="0.2">
      <c r="A67" s="78" t="s">
        <v>5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x14ac:dyDescent="0.2">
      <c r="A68" s="78" t="s">
        <v>6</v>
      </c>
      <c r="B68" s="43">
        <f>SUM(B59:B67)</f>
        <v>0</v>
      </c>
      <c r="C68" s="43">
        <f t="shared" ref="C68:M68" si="8">SUM(C59:C67)</f>
        <v>0</v>
      </c>
      <c r="D68" s="43">
        <f t="shared" si="8"/>
        <v>0</v>
      </c>
      <c r="E68" s="43">
        <f t="shared" si="8"/>
        <v>0</v>
      </c>
      <c r="F68" s="43">
        <f t="shared" si="8"/>
        <v>0</v>
      </c>
      <c r="G68" s="43">
        <f t="shared" si="8"/>
        <v>0</v>
      </c>
      <c r="H68" s="43">
        <f t="shared" si="8"/>
        <v>0</v>
      </c>
      <c r="I68" s="43">
        <f t="shared" si="8"/>
        <v>0</v>
      </c>
      <c r="J68" s="43">
        <f t="shared" si="8"/>
        <v>0</v>
      </c>
      <c r="K68" s="43">
        <f t="shared" si="8"/>
        <v>0</v>
      </c>
      <c r="L68" s="43">
        <f t="shared" si="8"/>
        <v>0</v>
      </c>
      <c r="M68" s="43">
        <f t="shared" si="8"/>
        <v>0</v>
      </c>
    </row>
    <row r="69" spans="1:13" x14ac:dyDescent="0.2">
      <c r="A69" s="78" t="s">
        <v>7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</row>
    <row r="70" spans="1:13" x14ac:dyDescent="0.2">
      <c r="A70" s="78" t="s">
        <v>111</v>
      </c>
      <c r="B70" s="43">
        <f>B68-B69</f>
        <v>0</v>
      </c>
      <c r="C70" s="43">
        <f>C68-C69</f>
        <v>0</v>
      </c>
      <c r="D70" s="43">
        <f t="shared" ref="D70:M70" si="9">D68-D69</f>
        <v>0</v>
      </c>
      <c r="E70" s="43">
        <f t="shared" si="9"/>
        <v>0</v>
      </c>
      <c r="F70" s="43">
        <f t="shared" si="9"/>
        <v>0</v>
      </c>
      <c r="G70" s="43">
        <f t="shared" si="9"/>
        <v>0</v>
      </c>
      <c r="H70" s="43">
        <f t="shared" si="9"/>
        <v>0</v>
      </c>
      <c r="I70" s="43">
        <f t="shared" si="9"/>
        <v>0</v>
      </c>
      <c r="J70" s="43">
        <f t="shared" si="9"/>
        <v>0</v>
      </c>
      <c r="K70" s="43">
        <f t="shared" si="9"/>
        <v>0</v>
      </c>
      <c r="L70" s="43">
        <f t="shared" si="9"/>
        <v>0</v>
      </c>
      <c r="M70" s="43">
        <f t="shared" si="9"/>
        <v>0</v>
      </c>
    </row>
    <row r="74" spans="1:13" x14ac:dyDescent="0.2">
      <c r="A74" s="50" t="s">
        <v>0</v>
      </c>
      <c r="B74" s="50" t="s">
        <v>1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spans="1:13" x14ac:dyDescent="0.2">
      <c r="A75" s="78"/>
      <c r="B75" s="79">
        <v>43101</v>
      </c>
      <c r="C75" s="79">
        <v>43132</v>
      </c>
      <c r="D75" s="79">
        <v>43160</v>
      </c>
      <c r="E75" s="79">
        <v>43191</v>
      </c>
      <c r="F75" s="79">
        <v>43221</v>
      </c>
      <c r="G75" s="79">
        <v>43252</v>
      </c>
      <c r="H75" s="79">
        <v>43282</v>
      </c>
      <c r="I75" s="79">
        <v>43313</v>
      </c>
      <c r="J75" s="79">
        <v>43344</v>
      </c>
      <c r="K75" s="79">
        <v>43374</v>
      </c>
      <c r="L75" s="79">
        <v>43405</v>
      </c>
      <c r="M75" s="79">
        <v>43435</v>
      </c>
    </row>
    <row r="76" spans="1:13" x14ac:dyDescent="0.2">
      <c r="A76" s="78" t="s">
        <v>110</v>
      </c>
      <c r="B76" s="42">
        <v>68800</v>
      </c>
      <c r="C76" s="42">
        <f t="shared" ref="C76:M76" si="10">B87</f>
        <v>80800</v>
      </c>
      <c r="D76" s="42">
        <f t="shared" si="10"/>
        <v>92800</v>
      </c>
      <c r="E76" s="42">
        <f t="shared" si="10"/>
        <v>104800</v>
      </c>
      <c r="F76" s="42">
        <f t="shared" si="10"/>
        <v>116800</v>
      </c>
      <c r="G76" s="42">
        <f t="shared" si="10"/>
        <v>128800</v>
      </c>
      <c r="H76" s="42">
        <f t="shared" si="10"/>
        <v>140800</v>
      </c>
      <c r="I76" s="42">
        <f t="shared" si="10"/>
        <v>152800</v>
      </c>
      <c r="J76" s="42">
        <f t="shared" si="10"/>
        <v>164800</v>
      </c>
      <c r="K76" s="42">
        <f t="shared" si="10"/>
        <v>176800</v>
      </c>
      <c r="L76" s="42">
        <f t="shared" si="10"/>
        <v>188800</v>
      </c>
      <c r="M76" s="42">
        <f t="shared" si="10"/>
        <v>200800</v>
      </c>
    </row>
    <row r="77" spans="1:13" x14ac:dyDescent="0.2">
      <c r="A77" s="78" t="s">
        <v>76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spans="1:13" x14ac:dyDescent="0.2">
      <c r="A78" s="78" t="s">
        <v>3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x14ac:dyDescent="0.2">
      <c r="A79" s="78" t="s">
        <v>4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</row>
    <row r="80" spans="1:13" x14ac:dyDescent="0.2">
      <c r="A80" s="78" t="s">
        <v>9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spans="1:13" x14ac:dyDescent="0.2">
      <c r="A81" s="78" t="s">
        <v>73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spans="1:13" x14ac:dyDescent="0.2">
      <c r="A82" s="78" t="s">
        <v>74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</row>
    <row r="83" spans="1:13" x14ac:dyDescent="0.2">
      <c r="A83" s="78" t="s">
        <v>75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</row>
    <row r="84" spans="1:13" x14ac:dyDescent="0.2">
      <c r="A84" s="78" t="s">
        <v>5</v>
      </c>
      <c r="B84" s="42">
        <v>12000</v>
      </c>
      <c r="C84" s="42">
        <v>12000</v>
      </c>
      <c r="D84" s="42">
        <v>12000</v>
      </c>
      <c r="E84" s="42">
        <v>12000</v>
      </c>
      <c r="F84" s="42">
        <v>12000</v>
      </c>
      <c r="G84" s="42">
        <v>12000</v>
      </c>
      <c r="H84" s="42">
        <v>12000</v>
      </c>
      <c r="I84" s="42">
        <v>12000</v>
      </c>
      <c r="J84" s="42">
        <v>12000</v>
      </c>
      <c r="K84" s="42">
        <v>12000</v>
      </c>
      <c r="L84" s="42">
        <v>12000</v>
      </c>
      <c r="M84" s="42">
        <v>12000</v>
      </c>
    </row>
    <row r="85" spans="1:13" x14ac:dyDescent="0.2">
      <c r="A85" s="78" t="s">
        <v>6</v>
      </c>
      <c r="B85" s="43">
        <f>SUM(B76:B84)</f>
        <v>80800</v>
      </c>
      <c r="C85" s="43">
        <f t="shared" ref="C85:M85" si="11">SUM(C76:C84)</f>
        <v>92800</v>
      </c>
      <c r="D85" s="43">
        <f t="shared" si="11"/>
        <v>104800</v>
      </c>
      <c r="E85" s="43">
        <f t="shared" si="11"/>
        <v>116800</v>
      </c>
      <c r="F85" s="43">
        <f t="shared" si="11"/>
        <v>128800</v>
      </c>
      <c r="G85" s="43">
        <f t="shared" si="11"/>
        <v>140800</v>
      </c>
      <c r="H85" s="43">
        <f t="shared" si="11"/>
        <v>152800</v>
      </c>
      <c r="I85" s="43">
        <f t="shared" si="11"/>
        <v>164800</v>
      </c>
      <c r="J85" s="43">
        <f t="shared" si="11"/>
        <v>176800</v>
      </c>
      <c r="K85" s="43">
        <f t="shared" si="11"/>
        <v>188800</v>
      </c>
      <c r="L85" s="43">
        <f t="shared" si="11"/>
        <v>200800</v>
      </c>
      <c r="M85" s="43">
        <f t="shared" si="11"/>
        <v>212800</v>
      </c>
    </row>
    <row r="86" spans="1:13" x14ac:dyDescent="0.2">
      <c r="A86" s="78" t="s">
        <v>7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1:13" x14ac:dyDescent="0.2">
      <c r="A87" s="78" t="s">
        <v>111</v>
      </c>
      <c r="B87" s="43">
        <f>B85-B86</f>
        <v>80800</v>
      </c>
      <c r="C87" s="43">
        <f>C85-C86</f>
        <v>92800</v>
      </c>
      <c r="D87" s="43">
        <f t="shared" ref="D87:M87" si="12">D85-D86</f>
        <v>104800</v>
      </c>
      <c r="E87" s="43">
        <f t="shared" si="12"/>
        <v>116800</v>
      </c>
      <c r="F87" s="43">
        <f t="shared" si="12"/>
        <v>128800</v>
      </c>
      <c r="G87" s="43">
        <f t="shared" si="12"/>
        <v>140800</v>
      </c>
      <c r="H87" s="43">
        <f t="shared" si="12"/>
        <v>152800</v>
      </c>
      <c r="I87" s="43">
        <f t="shared" si="12"/>
        <v>164800</v>
      </c>
      <c r="J87" s="43">
        <f t="shared" si="12"/>
        <v>176800</v>
      </c>
      <c r="K87" s="43">
        <f t="shared" si="12"/>
        <v>188800</v>
      </c>
      <c r="L87" s="43">
        <f t="shared" si="12"/>
        <v>200800</v>
      </c>
      <c r="M87" s="43">
        <f t="shared" si="12"/>
        <v>212800</v>
      </c>
    </row>
    <row r="92" spans="1:13" x14ac:dyDescent="0.2">
      <c r="A92" s="50" t="s">
        <v>0</v>
      </c>
      <c r="B92" s="50" t="s">
        <v>1</v>
      </c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</row>
    <row r="93" spans="1:13" x14ac:dyDescent="0.2">
      <c r="A93" s="78"/>
      <c r="B93" s="79">
        <v>43466</v>
      </c>
      <c r="C93" s="79">
        <v>43497</v>
      </c>
      <c r="D93" s="79">
        <v>43525</v>
      </c>
      <c r="E93" s="79">
        <v>43556</v>
      </c>
      <c r="F93" s="79">
        <v>43586</v>
      </c>
      <c r="G93" s="79">
        <v>43617</v>
      </c>
      <c r="H93" s="79">
        <v>43647</v>
      </c>
      <c r="I93" s="79">
        <v>43678</v>
      </c>
      <c r="J93" s="79">
        <v>43709</v>
      </c>
      <c r="K93" s="79">
        <v>43739</v>
      </c>
      <c r="L93" s="79">
        <v>43770</v>
      </c>
      <c r="M93" s="79">
        <v>43800</v>
      </c>
    </row>
    <row r="94" spans="1:13" x14ac:dyDescent="0.2">
      <c r="A94" s="78" t="s">
        <v>110</v>
      </c>
      <c r="B94" s="42">
        <v>188800</v>
      </c>
      <c r="C94" s="42">
        <f t="shared" ref="C94:M94" si="13">B105</f>
        <v>200800</v>
      </c>
      <c r="D94" s="42">
        <f t="shared" si="13"/>
        <v>212800</v>
      </c>
      <c r="E94" s="42">
        <f t="shared" si="13"/>
        <v>224800</v>
      </c>
      <c r="F94" s="42">
        <f t="shared" si="13"/>
        <v>236800</v>
      </c>
      <c r="G94" s="42">
        <f t="shared" si="13"/>
        <v>248800</v>
      </c>
      <c r="H94" s="42">
        <f t="shared" si="13"/>
        <v>260800</v>
      </c>
      <c r="I94" s="42">
        <f t="shared" si="13"/>
        <v>272800</v>
      </c>
      <c r="J94" s="42">
        <f t="shared" si="13"/>
        <v>284800</v>
      </c>
      <c r="K94" s="42">
        <f t="shared" si="13"/>
        <v>296800</v>
      </c>
      <c r="L94" s="42">
        <f t="shared" si="13"/>
        <v>308800</v>
      </c>
      <c r="M94" s="42">
        <f t="shared" si="13"/>
        <v>320800</v>
      </c>
    </row>
    <row r="95" spans="1:13" x14ac:dyDescent="0.2">
      <c r="A95" s="78" t="s">
        <v>76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x14ac:dyDescent="0.2">
      <c r="A96" s="78" t="s">
        <v>3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7" spans="1:13" x14ac:dyDescent="0.2">
      <c r="A97" s="78" t="s">
        <v>4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</row>
    <row r="98" spans="1:13" x14ac:dyDescent="0.2">
      <c r="A98" s="78" t="s">
        <v>9</v>
      </c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</row>
    <row r="99" spans="1:13" x14ac:dyDescent="0.2">
      <c r="A99" s="78" t="s">
        <v>73</v>
      </c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</row>
    <row r="100" spans="1:13" x14ac:dyDescent="0.2">
      <c r="A100" s="78" t="s">
        <v>74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13" x14ac:dyDescent="0.2">
      <c r="A101" s="78" t="s">
        <v>75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</row>
    <row r="102" spans="1:13" x14ac:dyDescent="0.2">
      <c r="A102" s="78" t="s">
        <v>5</v>
      </c>
      <c r="B102" s="42">
        <v>12000</v>
      </c>
      <c r="C102" s="42">
        <v>12000</v>
      </c>
      <c r="D102" s="42">
        <v>12000</v>
      </c>
      <c r="E102" s="42">
        <v>12000</v>
      </c>
      <c r="F102" s="42">
        <v>12000</v>
      </c>
      <c r="G102" s="42">
        <v>12000</v>
      </c>
      <c r="H102" s="42">
        <v>12000</v>
      </c>
      <c r="I102" s="42">
        <v>12000</v>
      </c>
      <c r="J102" s="42">
        <v>12000</v>
      </c>
      <c r="K102" s="42">
        <v>12000</v>
      </c>
      <c r="L102" s="42">
        <v>12000</v>
      </c>
      <c r="M102" s="42">
        <v>12000</v>
      </c>
    </row>
    <row r="103" spans="1:13" x14ac:dyDescent="0.2">
      <c r="A103" s="78" t="s">
        <v>6</v>
      </c>
      <c r="B103" s="43">
        <f>SUM(B94:B102)</f>
        <v>200800</v>
      </c>
      <c r="C103" s="43">
        <f t="shared" ref="C103:M103" si="14">SUM(C94:C102)</f>
        <v>212800</v>
      </c>
      <c r="D103" s="43">
        <f t="shared" si="14"/>
        <v>224800</v>
      </c>
      <c r="E103" s="43">
        <f t="shared" si="14"/>
        <v>236800</v>
      </c>
      <c r="F103" s="43">
        <f t="shared" si="14"/>
        <v>248800</v>
      </c>
      <c r="G103" s="43">
        <f t="shared" si="14"/>
        <v>260800</v>
      </c>
      <c r="H103" s="43">
        <f t="shared" si="14"/>
        <v>272800</v>
      </c>
      <c r="I103" s="43">
        <f t="shared" si="14"/>
        <v>284800</v>
      </c>
      <c r="J103" s="43">
        <f t="shared" si="14"/>
        <v>296800</v>
      </c>
      <c r="K103" s="43">
        <f t="shared" si="14"/>
        <v>308800</v>
      </c>
      <c r="L103" s="43">
        <f t="shared" si="14"/>
        <v>320800</v>
      </c>
      <c r="M103" s="43">
        <f t="shared" si="14"/>
        <v>332800</v>
      </c>
    </row>
    <row r="104" spans="1:13" x14ac:dyDescent="0.2">
      <c r="A104" s="78" t="s">
        <v>7</v>
      </c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</row>
    <row r="105" spans="1:13" x14ac:dyDescent="0.2">
      <c r="A105" s="78" t="s">
        <v>111</v>
      </c>
      <c r="B105" s="43">
        <f>B103-B104</f>
        <v>200800</v>
      </c>
      <c r="C105" s="43">
        <f>C103-C104</f>
        <v>212800</v>
      </c>
      <c r="D105" s="43">
        <f t="shared" ref="D105:M105" si="15">D103-D104</f>
        <v>224800</v>
      </c>
      <c r="E105" s="43">
        <f t="shared" si="15"/>
        <v>236800</v>
      </c>
      <c r="F105" s="43">
        <f t="shared" si="15"/>
        <v>248800</v>
      </c>
      <c r="G105" s="43">
        <f t="shared" si="15"/>
        <v>260800</v>
      </c>
      <c r="H105" s="43">
        <f t="shared" si="15"/>
        <v>272800</v>
      </c>
      <c r="I105" s="43">
        <f t="shared" si="15"/>
        <v>284800</v>
      </c>
      <c r="J105" s="43">
        <f t="shared" si="15"/>
        <v>296800</v>
      </c>
      <c r="K105" s="43">
        <f t="shared" si="15"/>
        <v>308800</v>
      </c>
      <c r="L105" s="43">
        <f t="shared" si="15"/>
        <v>320800</v>
      </c>
      <c r="M105" s="43">
        <f t="shared" si="15"/>
        <v>332800</v>
      </c>
    </row>
    <row r="108" spans="1:13" x14ac:dyDescent="0.2">
      <c r="A108" s="50" t="s">
        <v>0</v>
      </c>
      <c r="B108" s="50" t="s">
        <v>1</v>
      </c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</row>
    <row r="109" spans="1:13" x14ac:dyDescent="0.2">
      <c r="A109" s="78"/>
      <c r="B109" s="79">
        <v>43831</v>
      </c>
      <c r="C109" s="79">
        <v>43862</v>
      </c>
      <c r="D109" s="79">
        <v>43891</v>
      </c>
      <c r="E109" s="79">
        <v>43922</v>
      </c>
      <c r="F109" s="79">
        <v>43952</v>
      </c>
      <c r="G109" s="79">
        <v>43983</v>
      </c>
      <c r="H109" s="79">
        <v>44013</v>
      </c>
      <c r="I109" s="79">
        <v>44044</v>
      </c>
      <c r="J109" s="79">
        <v>44075</v>
      </c>
      <c r="K109" s="79">
        <v>44105</v>
      </c>
      <c r="L109" s="79">
        <v>44136</v>
      </c>
      <c r="M109" s="79">
        <v>44166</v>
      </c>
    </row>
    <row r="110" spans="1:13" x14ac:dyDescent="0.2">
      <c r="A110" s="78" t="s">
        <v>110</v>
      </c>
      <c r="B110" s="42">
        <v>332000</v>
      </c>
      <c r="C110" s="42">
        <f t="shared" ref="C110:M110" si="16">B121</f>
        <v>344000</v>
      </c>
      <c r="D110" s="42">
        <f t="shared" si="16"/>
        <v>356000</v>
      </c>
      <c r="E110" s="42">
        <f t="shared" si="16"/>
        <v>368000</v>
      </c>
      <c r="F110" s="42">
        <f t="shared" si="16"/>
        <v>380000</v>
      </c>
      <c r="G110" s="42">
        <f t="shared" si="16"/>
        <v>392000</v>
      </c>
      <c r="H110" s="42">
        <f t="shared" si="16"/>
        <v>404000</v>
      </c>
      <c r="I110" s="42">
        <f t="shared" si="16"/>
        <v>416000</v>
      </c>
      <c r="J110" s="42">
        <f t="shared" si="16"/>
        <v>428000</v>
      </c>
      <c r="K110" s="42">
        <f t="shared" si="16"/>
        <v>440000</v>
      </c>
      <c r="L110" s="42">
        <f t="shared" si="16"/>
        <v>452000</v>
      </c>
      <c r="M110" s="42">
        <f t="shared" si="16"/>
        <v>464000</v>
      </c>
    </row>
    <row r="111" spans="1:13" x14ac:dyDescent="0.2">
      <c r="A111" s="78" t="s">
        <v>76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</row>
    <row r="112" spans="1:13" x14ac:dyDescent="0.2">
      <c r="A112" s="78" t="s">
        <v>3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</row>
    <row r="113" spans="1:13" x14ac:dyDescent="0.2">
      <c r="A113" s="78" t="s">
        <v>4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</row>
    <row r="114" spans="1:13" x14ac:dyDescent="0.2">
      <c r="A114" s="78" t="s">
        <v>9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</row>
    <row r="115" spans="1:13" x14ac:dyDescent="0.2">
      <c r="A115" s="78" t="s">
        <v>73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</row>
    <row r="116" spans="1:13" x14ac:dyDescent="0.2">
      <c r="A116" s="78" t="s">
        <v>74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</row>
    <row r="117" spans="1:13" x14ac:dyDescent="0.2">
      <c r="A117" s="78" t="s">
        <v>75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>
        <v>4000</v>
      </c>
    </row>
    <row r="118" spans="1:13" x14ac:dyDescent="0.2">
      <c r="A118" s="78" t="s">
        <v>5</v>
      </c>
      <c r="B118" s="42">
        <v>12000</v>
      </c>
      <c r="C118" s="42">
        <v>12000</v>
      </c>
      <c r="D118" s="42">
        <v>12000</v>
      </c>
      <c r="E118" s="42">
        <v>12000</v>
      </c>
      <c r="F118" s="42">
        <v>12000</v>
      </c>
      <c r="G118" s="42">
        <v>12000</v>
      </c>
      <c r="H118" s="42">
        <v>12000</v>
      </c>
      <c r="I118" s="42">
        <v>12000</v>
      </c>
      <c r="J118" s="42">
        <v>12000</v>
      </c>
      <c r="K118" s="42">
        <v>12000</v>
      </c>
      <c r="L118" s="42">
        <v>12000</v>
      </c>
      <c r="M118" s="42">
        <v>12000</v>
      </c>
    </row>
    <row r="119" spans="1:13" x14ac:dyDescent="0.2">
      <c r="A119" s="78" t="s">
        <v>6</v>
      </c>
      <c r="B119" s="43">
        <f>SUM(B110:B118)</f>
        <v>344000</v>
      </c>
      <c r="C119" s="43">
        <f t="shared" ref="C119:M119" si="17">SUM(C110:C118)</f>
        <v>356000</v>
      </c>
      <c r="D119" s="43">
        <f t="shared" si="17"/>
        <v>368000</v>
      </c>
      <c r="E119" s="43">
        <f t="shared" si="17"/>
        <v>380000</v>
      </c>
      <c r="F119" s="43">
        <f t="shared" si="17"/>
        <v>392000</v>
      </c>
      <c r="G119" s="43">
        <f t="shared" si="17"/>
        <v>404000</v>
      </c>
      <c r="H119" s="43">
        <f t="shared" si="17"/>
        <v>416000</v>
      </c>
      <c r="I119" s="43">
        <f t="shared" si="17"/>
        <v>428000</v>
      </c>
      <c r="J119" s="43">
        <f t="shared" si="17"/>
        <v>440000</v>
      </c>
      <c r="K119" s="43">
        <f t="shared" si="17"/>
        <v>452000</v>
      </c>
      <c r="L119" s="43">
        <f t="shared" si="17"/>
        <v>464000</v>
      </c>
      <c r="M119" s="43">
        <f t="shared" si="17"/>
        <v>480000</v>
      </c>
    </row>
    <row r="120" spans="1:13" x14ac:dyDescent="0.2">
      <c r="A120" s="78" t="s">
        <v>7</v>
      </c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>
        <v>480000</v>
      </c>
    </row>
    <row r="121" spans="1:13" x14ac:dyDescent="0.2">
      <c r="A121" s="78" t="s">
        <v>111</v>
      </c>
      <c r="B121" s="43">
        <f>B119-B120</f>
        <v>344000</v>
      </c>
      <c r="C121" s="43">
        <f>C119-C120</f>
        <v>356000</v>
      </c>
      <c r="D121" s="43">
        <f t="shared" ref="D121:M121" si="18">D119-D120</f>
        <v>368000</v>
      </c>
      <c r="E121" s="43">
        <f t="shared" si="18"/>
        <v>380000</v>
      </c>
      <c r="F121" s="43">
        <f t="shared" si="18"/>
        <v>392000</v>
      </c>
      <c r="G121" s="43">
        <f t="shared" si="18"/>
        <v>404000</v>
      </c>
      <c r="H121" s="43">
        <f t="shared" si="18"/>
        <v>416000</v>
      </c>
      <c r="I121" s="43">
        <f t="shared" si="18"/>
        <v>428000</v>
      </c>
      <c r="J121" s="43">
        <f t="shared" si="18"/>
        <v>440000</v>
      </c>
      <c r="K121" s="43">
        <f t="shared" si="18"/>
        <v>452000</v>
      </c>
      <c r="L121" s="43">
        <f t="shared" si="18"/>
        <v>464000</v>
      </c>
      <c r="M121" s="43">
        <f t="shared" si="18"/>
        <v>0</v>
      </c>
    </row>
    <row r="129" spans="2:3" x14ac:dyDescent="0.2">
      <c r="B129" t="s">
        <v>670</v>
      </c>
      <c r="C129" t="s">
        <v>671</v>
      </c>
    </row>
    <row r="130" spans="2:3" x14ac:dyDescent="0.2">
      <c r="B130">
        <v>1041</v>
      </c>
    </row>
    <row r="131" spans="2:3" x14ac:dyDescent="0.2">
      <c r="B131">
        <v>10760</v>
      </c>
    </row>
    <row r="132" spans="2:3" x14ac:dyDescent="0.2">
      <c r="B132">
        <v>10811</v>
      </c>
    </row>
  </sheetData>
  <mergeCells count="1">
    <mergeCell ref="B3:G3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9"/>
  <dimension ref="A2:M118"/>
  <sheetViews>
    <sheetView workbookViewId="0">
      <selection activeCell="F16" sqref="F16"/>
    </sheetView>
  </sheetViews>
  <sheetFormatPr baseColWidth="10" defaultRowHeight="12.75" x14ac:dyDescent="0.2"/>
  <cols>
    <col min="1" max="1" width="27.85546875" customWidth="1"/>
    <col min="2" max="2" width="12.85546875" bestFit="1" customWidth="1"/>
    <col min="3" max="3" width="12.85546875" customWidth="1"/>
    <col min="4" max="6" width="13.28515625" customWidth="1"/>
    <col min="7" max="7" width="14.85546875" customWidth="1"/>
    <col min="8" max="8" width="13.7109375" customWidth="1"/>
    <col min="9" max="9" width="14.5703125" customWidth="1"/>
    <col min="10" max="10" width="13.7109375" customWidth="1"/>
    <col min="11" max="11" width="12.7109375" customWidth="1"/>
    <col min="12" max="12" width="13.5703125" customWidth="1"/>
    <col min="13" max="13" width="14.140625" customWidth="1"/>
  </cols>
  <sheetData>
    <row r="2" spans="1:13" ht="20.25" x14ac:dyDescent="0.3">
      <c r="A2" s="11" t="s">
        <v>11</v>
      </c>
      <c r="B2" s="216" t="s">
        <v>290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2">
      <c r="A5" s="7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3" x14ac:dyDescent="0.2">
      <c r="A6" s="78" t="s">
        <v>110</v>
      </c>
      <c r="B6" s="42">
        <v>4000000</v>
      </c>
      <c r="C6" s="42">
        <f>B17</f>
        <v>4200000</v>
      </c>
      <c r="D6" s="42">
        <f t="shared" ref="D6:J6" si="0">C17</f>
        <v>4400000</v>
      </c>
      <c r="E6" s="42">
        <f t="shared" si="0"/>
        <v>4600000</v>
      </c>
      <c r="F6" s="42">
        <f t="shared" si="0"/>
        <v>4800000</v>
      </c>
      <c r="G6" s="42">
        <f t="shared" si="0"/>
        <v>5000000</v>
      </c>
      <c r="H6" s="42">
        <f t="shared" si="0"/>
        <v>5000000</v>
      </c>
      <c r="I6" s="42">
        <f t="shared" si="0"/>
        <v>5000000</v>
      </c>
      <c r="J6" s="42">
        <f t="shared" si="0"/>
        <v>5000000</v>
      </c>
      <c r="K6" s="42">
        <f>J17</f>
        <v>5000000</v>
      </c>
      <c r="L6" s="42">
        <f>K17</f>
        <v>5000000</v>
      </c>
      <c r="M6" s="42">
        <f>L17</f>
        <v>5000000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318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200000</v>
      </c>
      <c r="C14" s="42">
        <v>200000</v>
      </c>
      <c r="D14" s="42">
        <v>200000</v>
      </c>
      <c r="E14" s="42">
        <v>200000</v>
      </c>
      <c r="F14" s="42">
        <v>200000</v>
      </c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3">
        <f>SUM(B6:B14)</f>
        <v>4200000</v>
      </c>
      <c r="C15" s="43">
        <f t="shared" ref="C15:M15" si="1">SUM(C6:C14)</f>
        <v>4400000</v>
      </c>
      <c r="D15" s="43">
        <f t="shared" si="1"/>
        <v>4600000</v>
      </c>
      <c r="E15" s="43">
        <f t="shared" si="1"/>
        <v>4800000</v>
      </c>
      <c r="F15" s="43">
        <f t="shared" si="1"/>
        <v>5000000</v>
      </c>
      <c r="G15" s="43">
        <f t="shared" si="1"/>
        <v>5000000</v>
      </c>
      <c r="H15" s="43">
        <f t="shared" si="1"/>
        <v>5000000</v>
      </c>
      <c r="I15" s="43">
        <f t="shared" si="1"/>
        <v>5000000</v>
      </c>
      <c r="J15" s="43">
        <f t="shared" si="1"/>
        <v>5000000</v>
      </c>
      <c r="K15" s="43">
        <f t="shared" si="1"/>
        <v>5000000</v>
      </c>
      <c r="L15" s="43">
        <f t="shared" si="1"/>
        <v>5000000</v>
      </c>
      <c r="M15" s="43">
        <f t="shared" si="1"/>
        <v>5000000</v>
      </c>
    </row>
    <row r="16" spans="1:13" x14ac:dyDescent="0.2">
      <c r="A16" s="78" t="s">
        <v>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x14ac:dyDescent="0.2">
      <c r="A17" s="78" t="s">
        <v>111</v>
      </c>
      <c r="B17" s="43">
        <f>B15-B16</f>
        <v>4200000</v>
      </c>
      <c r="C17" s="43">
        <f>C15-C16</f>
        <v>4400000</v>
      </c>
      <c r="D17" s="43">
        <f t="shared" ref="D17:M17" si="2">D15-D16</f>
        <v>4600000</v>
      </c>
      <c r="E17" s="43">
        <f t="shared" si="2"/>
        <v>4800000</v>
      </c>
      <c r="F17" s="43">
        <f t="shared" si="2"/>
        <v>5000000</v>
      </c>
      <c r="G17" s="43">
        <f t="shared" si="2"/>
        <v>5000000</v>
      </c>
      <c r="H17" s="43">
        <f t="shared" si="2"/>
        <v>5000000</v>
      </c>
      <c r="I17" s="43">
        <f t="shared" si="2"/>
        <v>5000000</v>
      </c>
      <c r="J17" s="43">
        <f t="shared" si="2"/>
        <v>5000000</v>
      </c>
      <c r="K17" s="43">
        <f t="shared" si="2"/>
        <v>5000000</v>
      </c>
      <c r="L17" s="43">
        <f t="shared" si="2"/>
        <v>5000000</v>
      </c>
      <c r="M17" s="43">
        <f t="shared" si="2"/>
        <v>5000000</v>
      </c>
    </row>
    <row r="20" spans="1:13" x14ac:dyDescent="0.2">
      <c r="A20" s="50" t="s">
        <v>0</v>
      </c>
      <c r="B20" s="50" t="s">
        <v>1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2">
      <c r="A21" s="78"/>
      <c r="B21" s="79">
        <v>45292</v>
      </c>
      <c r="C21" s="79">
        <v>45323</v>
      </c>
      <c r="D21" s="79">
        <v>45352</v>
      </c>
      <c r="E21" s="79">
        <v>45383</v>
      </c>
      <c r="F21" s="79">
        <v>45413</v>
      </c>
      <c r="G21" s="79">
        <v>45444</v>
      </c>
      <c r="H21" s="79">
        <v>45474</v>
      </c>
      <c r="I21" s="79">
        <v>45505</v>
      </c>
      <c r="J21" s="79">
        <v>45536</v>
      </c>
      <c r="K21" s="79">
        <v>45566</v>
      </c>
      <c r="L21" s="79">
        <v>45597</v>
      </c>
      <c r="M21" s="79">
        <v>45627</v>
      </c>
    </row>
    <row r="22" spans="1:13" x14ac:dyDescent="0.2">
      <c r="A22" s="78" t="s">
        <v>110</v>
      </c>
      <c r="B22" s="69">
        <v>960000</v>
      </c>
      <c r="C22" s="69">
        <f t="shared" ref="C22:M22" si="3">B33</f>
        <v>1080000</v>
      </c>
      <c r="D22" s="69">
        <f t="shared" si="3"/>
        <v>1200000</v>
      </c>
      <c r="E22" s="69">
        <f t="shared" si="3"/>
        <v>1320000</v>
      </c>
      <c r="F22" s="69">
        <f t="shared" si="3"/>
        <v>1440000</v>
      </c>
      <c r="G22" s="69">
        <f t="shared" si="3"/>
        <v>1560000</v>
      </c>
      <c r="H22" s="69">
        <f t="shared" si="3"/>
        <v>1680000</v>
      </c>
      <c r="I22" s="69">
        <f t="shared" si="3"/>
        <v>1800000</v>
      </c>
      <c r="J22" s="69">
        <f t="shared" si="3"/>
        <v>1120000</v>
      </c>
      <c r="K22" s="69">
        <f t="shared" si="3"/>
        <v>1240000</v>
      </c>
      <c r="L22" s="69">
        <f t="shared" si="3"/>
        <v>1360000</v>
      </c>
      <c r="M22" s="69">
        <f t="shared" si="3"/>
        <v>1480000</v>
      </c>
    </row>
    <row r="23" spans="1:13" x14ac:dyDescent="0.2">
      <c r="A23" s="78" t="s">
        <v>76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78" t="s">
        <v>3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78" t="s">
        <v>4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78" t="s">
        <v>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78" t="s">
        <v>73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78" t="s">
        <v>74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78" t="s">
        <v>75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>
        <v>200000</v>
      </c>
    </row>
    <row r="30" spans="1:13" x14ac:dyDescent="0.2">
      <c r="A30" s="78" t="s">
        <v>5</v>
      </c>
      <c r="B30" s="69">
        <v>120000</v>
      </c>
      <c r="C30" s="69">
        <v>120000</v>
      </c>
      <c r="D30" s="69">
        <v>120000</v>
      </c>
      <c r="E30" s="69">
        <v>120000</v>
      </c>
      <c r="F30" s="69">
        <v>120000</v>
      </c>
      <c r="G30" s="69">
        <v>120000</v>
      </c>
      <c r="H30" s="69">
        <v>120000</v>
      </c>
      <c r="I30" s="69">
        <v>120000</v>
      </c>
      <c r="J30" s="69">
        <v>120000</v>
      </c>
      <c r="K30" s="69">
        <v>120000</v>
      </c>
      <c r="L30" s="69">
        <v>120000</v>
      </c>
      <c r="M30" s="69">
        <v>120000</v>
      </c>
    </row>
    <row r="31" spans="1:13" x14ac:dyDescent="0.2">
      <c r="A31" s="78" t="s">
        <v>6</v>
      </c>
      <c r="B31" s="70">
        <f>SUM(B22:B30)</f>
        <v>1080000</v>
      </c>
      <c r="C31" s="70">
        <f t="shared" ref="C31:M31" si="4">SUM(C22:C30)</f>
        <v>1200000</v>
      </c>
      <c r="D31" s="70">
        <f t="shared" si="4"/>
        <v>1320000</v>
      </c>
      <c r="E31" s="70">
        <f t="shared" si="4"/>
        <v>1440000</v>
      </c>
      <c r="F31" s="70">
        <f t="shared" si="4"/>
        <v>1560000</v>
      </c>
      <c r="G31" s="70">
        <f t="shared" si="4"/>
        <v>1680000</v>
      </c>
      <c r="H31" s="70">
        <f t="shared" si="4"/>
        <v>1800000</v>
      </c>
      <c r="I31" s="70">
        <f t="shared" si="4"/>
        <v>1920000</v>
      </c>
      <c r="J31" s="70">
        <f t="shared" si="4"/>
        <v>1240000</v>
      </c>
      <c r="K31" s="70">
        <f t="shared" si="4"/>
        <v>1360000</v>
      </c>
      <c r="L31" s="70">
        <f t="shared" si="4"/>
        <v>1480000</v>
      </c>
      <c r="M31" s="70">
        <f t="shared" si="4"/>
        <v>1800000</v>
      </c>
    </row>
    <row r="32" spans="1:13" x14ac:dyDescent="0.2">
      <c r="A32" s="78" t="s">
        <v>7</v>
      </c>
      <c r="B32" s="71"/>
      <c r="C32" s="71"/>
      <c r="D32" s="71"/>
      <c r="E32" s="71"/>
      <c r="F32" s="71"/>
      <c r="G32" s="71"/>
      <c r="H32" s="71"/>
      <c r="I32" s="202">
        <v>800000</v>
      </c>
      <c r="J32" s="71"/>
      <c r="K32" s="71"/>
      <c r="L32" s="71"/>
      <c r="M32" s="71"/>
    </row>
    <row r="33" spans="1:13" x14ac:dyDescent="0.2">
      <c r="A33" s="78" t="s">
        <v>111</v>
      </c>
      <c r="B33" s="70">
        <f>B31-B32</f>
        <v>1080000</v>
      </c>
      <c r="C33" s="70">
        <f>C31-C32</f>
        <v>1200000</v>
      </c>
      <c r="D33" s="70">
        <f t="shared" ref="D33:M33" si="5">D31-D32</f>
        <v>1320000</v>
      </c>
      <c r="E33" s="70">
        <f t="shared" si="5"/>
        <v>1440000</v>
      </c>
      <c r="F33" s="70">
        <f t="shared" si="5"/>
        <v>1560000</v>
      </c>
      <c r="G33" s="70">
        <f t="shared" si="5"/>
        <v>1680000</v>
      </c>
      <c r="H33" s="70">
        <f t="shared" si="5"/>
        <v>1800000</v>
      </c>
      <c r="I33" s="70">
        <f t="shared" si="5"/>
        <v>1120000</v>
      </c>
      <c r="J33" s="70">
        <f t="shared" si="5"/>
        <v>1240000</v>
      </c>
      <c r="K33" s="70">
        <f t="shared" si="5"/>
        <v>1360000</v>
      </c>
      <c r="L33" s="70">
        <f t="shared" si="5"/>
        <v>1480000</v>
      </c>
      <c r="M33" s="70">
        <f t="shared" si="5"/>
        <v>1800000</v>
      </c>
    </row>
    <row r="34" spans="1:13" x14ac:dyDescent="0.2">
      <c r="I34" s="78" t="s">
        <v>695</v>
      </c>
    </row>
    <row r="35" spans="1:13" x14ac:dyDescent="0.2">
      <c r="I35" s="78" t="s">
        <v>696</v>
      </c>
      <c r="J35" s="78" t="s">
        <v>697</v>
      </c>
      <c r="L35" s="203">
        <v>800000</v>
      </c>
    </row>
    <row r="37" spans="1:13" x14ac:dyDescent="0.2">
      <c r="A37" s="50" t="s">
        <v>0</v>
      </c>
      <c r="B37" s="50" t="s">
        <v>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x14ac:dyDescent="0.2">
      <c r="A38" s="78"/>
      <c r="B38" s="79">
        <v>45658</v>
      </c>
      <c r="C38" s="79">
        <v>45689</v>
      </c>
      <c r="D38" s="79">
        <v>45717</v>
      </c>
      <c r="E38" s="79">
        <v>45748</v>
      </c>
      <c r="F38" s="79">
        <v>45778</v>
      </c>
      <c r="G38" s="79">
        <v>45809</v>
      </c>
      <c r="H38" s="79">
        <v>45839</v>
      </c>
      <c r="I38" s="79">
        <v>45870</v>
      </c>
      <c r="J38" s="79">
        <v>45901</v>
      </c>
      <c r="K38" s="79">
        <v>45931</v>
      </c>
      <c r="L38" s="79">
        <v>45962</v>
      </c>
      <c r="M38" s="79">
        <v>45992</v>
      </c>
    </row>
    <row r="39" spans="1:13" x14ac:dyDescent="0.2">
      <c r="A39" s="78" t="s">
        <v>110</v>
      </c>
      <c r="B39" s="69">
        <v>1800000</v>
      </c>
      <c r="C39" s="69">
        <f t="shared" ref="C39:M39" si="6">B50</f>
        <v>2000000</v>
      </c>
      <c r="D39" s="69">
        <f t="shared" si="6"/>
        <v>2200000</v>
      </c>
      <c r="E39" s="69">
        <f t="shared" si="6"/>
        <v>2400000</v>
      </c>
      <c r="F39" s="69">
        <f t="shared" si="6"/>
        <v>2600000</v>
      </c>
      <c r="G39" s="69">
        <f t="shared" si="6"/>
        <v>2800000</v>
      </c>
      <c r="H39" s="69">
        <f t="shared" si="6"/>
        <v>3000000</v>
      </c>
      <c r="I39" s="69">
        <f t="shared" si="6"/>
        <v>3200000</v>
      </c>
      <c r="J39" s="69">
        <f t="shared" si="6"/>
        <v>3400000</v>
      </c>
      <c r="K39" s="69">
        <f t="shared" si="6"/>
        <v>3600000</v>
      </c>
      <c r="L39" s="69">
        <f t="shared" si="6"/>
        <v>3800000</v>
      </c>
      <c r="M39" s="69">
        <f t="shared" si="6"/>
        <v>4000000</v>
      </c>
    </row>
    <row r="40" spans="1:13" x14ac:dyDescent="0.2">
      <c r="A40" s="78" t="s">
        <v>76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 spans="1:13" x14ac:dyDescent="0.2">
      <c r="A41" s="78" t="s">
        <v>3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3" x14ac:dyDescent="0.2">
      <c r="A42" s="78" t="s">
        <v>4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1:13" x14ac:dyDescent="0.2">
      <c r="A43" s="78" t="s">
        <v>9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 spans="1:13" x14ac:dyDescent="0.2">
      <c r="A44" s="78" t="s">
        <v>73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spans="1:13" x14ac:dyDescent="0.2">
      <c r="A45" s="78" t="s">
        <v>74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spans="1:13" x14ac:dyDescent="0.2">
      <c r="A46" s="78" t="s">
        <v>341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 x14ac:dyDescent="0.2">
      <c r="A47" s="78" t="s">
        <v>5</v>
      </c>
      <c r="B47" s="69">
        <v>200000</v>
      </c>
      <c r="C47" s="69">
        <v>200000</v>
      </c>
      <c r="D47" s="69">
        <v>200000</v>
      </c>
      <c r="E47" s="69">
        <v>200000</v>
      </c>
      <c r="F47" s="69">
        <v>200000</v>
      </c>
      <c r="G47" s="69">
        <v>200000</v>
      </c>
      <c r="H47" s="69">
        <v>200000</v>
      </c>
      <c r="I47" s="69">
        <v>200000</v>
      </c>
      <c r="J47" s="69">
        <v>200000</v>
      </c>
      <c r="K47" s="69">
        <v>200000</v>
      </c>
      <c r="L47" s="69">
        <v>200000</v>
      </c>
      <c r="M47" s="69">
        <v>200000</v>
      </c>
    </row>
    <row r="48" spans="1:13" x14ac:dyDescent="0.2">
      <c r="A48" s="78" t="s">
        <v>6</v>
      </c>
      <c r="B48" s="70">
        <f>SUM(B39:B47)</f>
        <v>2000000</v>
      </c>
      <c r="C48" s="70">
        <f t="shared" ref="C48:M48" si="7">SUM(C39:C47)</f>
        <v>2200000</v>
      </c>
      <c r="D48" s="70">
        <f t="shared" si="7"/>
        <v>2400000</v>
      </c>
      <c r="E48" s="70">
        <f t="shared" si="7"/>
        <v>2600000</v>
      </c>
      <c r="F48" s="70">
        <f t="shared" si="7"/>
        <v>2800000</v>
      </c>
      <c r="G48" s="70">
        <f t="shared" si="7"/>
        <v>3000000</v>
      </c>
      <c r="H48" s="70">
        <f t="shared" si="7"/>
        <v>3200000</v>
      </c>
      <c r="I48" s="70">
        <f t="shared" si="7"/>
        <v>3400000</v>
      </c>
      <c r="J48" s="70">
        <f t="shared" si="7"/>
        <v>3600000</v>
      </c>
      <c r="K48" s="70">
        <f t="shared" si="7"/>
        <v>3800000</v>
      </c>
      <c r="L48" s="70">
        <f t="shared" si="7"/>
        <v>4000000</v>
      </c>
      <c r="M48" s="70">
        <f t="shared" si="7"/>
        <v>4200000</v>
      </c>
    </row>
    <row r="49" spans="1:13" x14ac:dyDescent="0.2">
      <c r="A49" s="78" t="s">
        <v>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</row>
    <row r="50" spans="1:13" x14ac:dyDescent="0.2">
      <c r="A50" s="78" t="s">
        <v>111</v>
      </c>
      <c r="B50" s="70">
        <f>B48-B49</f>
        <v>2000000</v>
      </c>
      <c r="C50" s="70">
        <f>C48-C49</f>
        <v>2200000</v>
      </c>
      <c r="D50" s="70">
        <f t="shared" ref="D50:M50" si="8">D48-D49</f>
        <v>2400000</v>
      </c>
      <c r="E50" s="70">
        <f t="shared" si="8"/>
        <v>2600000</v>
      </c>
      <c r="F50" s="70">
        <f t="shared" si="8"/>
        <v>2800000</v>
      </c>
      <c r="G50" s="70">
        <f t="shared" si="8"/>
        <v>3000000</v>
      </c>
      <c r="H50" s="70">
        <f t="shared" si="8"/>
        <v>3200000</v>
      </c>
      <c r="I50" s="70">
        <f t="shared" si="8"/>
        <v>3400000</v>
      </c>
      <c r="J50" s="70">
        <f t="shared" si="8"/>
        <v>3600000</v>
      </c>
      <c r="K50" s="70">
        <f t="shared" si="8"/>
        <v>3800000</v>
      </c>
      <c r="L50" s="70">
        <f t="shared" si="8"/>
        <v>4000000</v>
      </c>
      <c r="M50" s="70">
        <f t="shared" si="8"/>
        <v>4200000</v>
      </c>
    </row>
    <row r="54" spans="1:13" x14ac:dyDescent="0.2">
      <c r="A54" s="50" t="s">
        <v>0</v>
      </c>
      <c r="B54" s="50" t="s">
        <v>1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</row>
    <row r="55" spans="1:13" x14ac:dyDescent="0.2">
      <c r="A55" s="78"/>
      <c r="B55" s="79">
        <v>44562</v>
      </c>
      <c r="C55" s="79">
        <v>44593</v>
      </c>
      <c r="D55" s="79">
        <v>44621</v>
      </c>
      <c r="E55" s="79">
        <v>44652</v>
      </c>
      <c r="F55" s="79">
        <v>44682</v>
      </c>
      <c r="G55" s="79">
        <v>44713</v>
      </c>
      <c r="H55" s="79">
        <v>44743</v>
      </c>
      <c r="I55" s="79">
        <v>44774</v>
      </c>
      <c r="J55" s="79">
        <v>44805</v>
      </c>
      <c r="K55" s="79">
        <v>44835</v>
      </c>
      <c r="L55" s="79">
        <v>44866</v>
      </c>
      <c r="M55" s="79">
        <v>44896</v>
      </c>
    </row>
    <row r="56" spans="1:13" x14ac:dyDescent="0.2">
      <c r="A56" s="78" t="s">
        <v>110</v>
      </c>
      <c r="B56" s="42">
        <v>160000</v>
      </c>
      <c r="C56" s="42">
        <f t="shared" ref="C56:M56" si="9">B67</f>
        <v>180000</v>
      </c>
      <c r="D56" s="42">
        <f t="shared" si="9"/>
        <v>200000</v>
      </c>
      <c r="E56" s="42">
        <f t="shared" si="9"/>
        <v>220000</v>
      </c>
      <c r="F56" s="42">
        <f t="shared" si="9"/>
        <v>240000</v>
      </c>
      <c r="G56" s="42">
        <f t="shared" si="9"/>
        <v>260000</v>
      </c>
      <c r="H56" s="42">
        <f t="shared" si="9"/>
        <v>280000</v>
      </c>
      <c r="I56" s="42">
        <f t="shared" si="9"/>
        <v>300000</v>
      </c>
      <c r="J56" s="42">
        <f t="shared" si="9"/>
        <v>320000</v>
      </c>
      <c r="K56" s="42">
        <f t="shared" si="9"/>
        <v>340000</v>
      </c>
      <c r="L56" s="42">
        <f t="shared" si="9"/>
        <v>360000</v>
      </c>
      <c r="M56" s="42">
        <f t="shared" si="9"/>
        <v>380000</v>
      </c>
    </row>
    <row r="57" spans="1:13" x14ac:dyDescent="0.2">
      <c r="A57" s="78" t="s">
        <v>76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pans="1:13" x14ac:dyDescent="0.2">
      <c r="A58" s="78" t="s">
        <v>3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1:13" x14ac:dyDescent="0.2">
      <c r="A59" s="78" t="s">
        <v>4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2">
      <c r="A60" s="78" t="s">
        <v>9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2">
      <c r="A61" s="78" t="s">
        <v>73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pans="1:13" x14ac:dyDescent="0.2">
      <c r="A62" s="78" t="s">
        <v>74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2">
      <c r="A63" s="78" t="s">
        <v>341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135" t="s">
        <v>380</v>
      </c>
      <c r="M63" s="42"/>
    </row>
    <row r="64" spans="1:13" x14ac:dyDescent="0.2">
      <c r="A64" s="78" t="s">
        <v>5</v>
      </c>
      <c r="B64" s="42">
        <v>20000</v>
      </c>
      <c r="C64" s="42">
        <v>20000</v>
      </c>
      <c r="D64" s="42">
        <v>20000</v>
      </c>
      <c r="E64" s="42">
        <v>20000</v>
      </c>
      <c r="F64" s="42">
        <v>20000</v>
      </c>
      <c r="G64" s="42">
        <v>20000</v>
      </c>
      <c r="H64" s="42">
        <v>20000</v>
      </c>
      <c r="I64" s="42">
        <v>20000</v>
      </c>
      <c r="J64" s="42">
        <v>20000</v>
      </c>
      <c r="K64" s="42">
        <v>20000</v>
      </c>
      <c r="L64" s="42">
        <v>20000</v>
      </c>
      <c r="M64" s="42">
        <v>20000</v>
      </c>
    </row>
    <row r="65" spans="1:13" x14ac:dyDescent="0.2">
      <c r="A65" s="78" t="s">
        <v>6</v>
      </c>
      <c r="B65" s="43">
        <f>SUM(B56:B64)</f>
        <v>180000</v>
      </c>
      <c r="C65" s="43">
        <f t="shared" ref="C65:M65" si="10">SUM(C56:C64)</f>
        <v>200000</v>
      </c>
      <c r="D65" s="43">
        <f t="shared" si="10"/>
        <v>220000</v>
      </c>
      <c r="E65" s="43">
        <f t="shared" si="10"/>
        <v>240000</v>
      </c>
      <c r="F65" s="43">
        <f t="shared" si="10"/>
        <v>260000</v>
      </c>
      <c r="G65" s="43">
        <f t="shared" si="10"/>
        <v>280000</v>
      </c>
      <c r="H65" s="43">
        <f t="shared" si="10"/>
        <v>300000</v>
      </c>
      <c r="I65" s="43">
        <f t="shared" si="10"/>
        <v>320000</v>
      </c>
      <c r="J65" s="43">
        <f t="shared" si="10"/>
        <v>340000</v>
      </c>
      <c r="K65" s="43">
        <f t="shared" si="10"/>
        <v>360000</v>
      </c>
      <c r="L65" s="43">
        <f t="shared" si="10"/>
        <v>380000</v>
      </c>
      <c r="M65" s="43">
        <f t="shared" si="10"/>
        <v>400000</v>
      </c>
    </row>
    <row r="66" spans="1:13" x14ac:dyDescent="0.2">
      <c r="A66" s="78" t="s">
        <v>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>
        <v>400000</v>
      </c>
    </row>
    <row r="67" spans="1:13" x14ac:dyDescent="0.2">
      <c r="A67" s="78" t="s">
        <v>111</v>
      </c>
      <c r="B67" s="43">
        <f>B65-B66</f>
        <v>180000</v>
      </c>
      <c r="C67" s="43">
        <f>C65-C66</f>
        <v>200000</v>
      </c>
      <c r="D67" s="43">
        <f t="shared" ref="D67:M67" si="11">D65-D66</f>
        <v>220000</v>
      </c>
      <c r="E67" s="43">
        <f t="shared" si="11"/>
        <v>240000</v>
      </c>
      <c r="F67" s="43">
        <f t="shared" si="11"/>
        <v>260000</v>
      </c>
      <c r="G67" s="43">
        <f t="shared" si="11"/>
        <v>280000</v>
      </c>
      <c r="H67" s="43">
        <f t="shared" si="11"/>
        <v>300000</v>
      </c>
      <c r="I67" s="43">
        <f t="shared" si="11"/>
        <v>320000</v>
      </c>
      <c r="J67" s="43">
        <f t="shared" si="11"/>
        <v>340000</v>
      </c>
      <c r="K67" s="43">
        <f t="shared" si="11"/>
        <v>360000</v>
      </c>
      <c r="L67" s="43">
        <f t="shared" si="11"/>
        <v>380000</v>
      </c>
      <c r="M67" s="43">
        <f t="shared" si="11"/>
        <v>0</v>
      </c>
    </row>
    <row r="71" spans="1:13" x14ac:dyDescent="0.2">
      <c r="A71" s="50" t="s">
        <v>0</v>
      </c>
      <c r="B71" s="50" t="s">
        <v>1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</row>
    <row r="72" spans="1:13" x14ac:dyDescent="0.2">
      <c r="A72" s="78"/>
      <c r="B72" s="79">
        <v>43101</v>
      </c>
      <c r="C72" s="79">
        <v>43132</v>
      </c>
      <c r="D72" s="79">
        <v>43160</v>
      </c>
      <c r="E72" s="79">
        <v>43191</v>
      </c>
      <c r="F72" s="79">
        <v>43221</v>
      </c>
      <c r="G72" s="79">
        <v>43252</v>
      </c>
      <c r="H72" s="79">
        <v>43282</v>
      </c>
      <c r="I72" s="79">
        <v>43313</v>
      </c>
      <c r="J72" s="79">
        <v>43344</v>
      </c>
      <c r="K72" s="79">
        <v>43374</v>
      </c>
      <c r="L72" s="79">
        <v>43405</v>
      </c>
      <c r="M72" s="79">
        <v>43435</v>
      </c>
    </row>
    <row r="73" spans="1:13" x14ac:dyDescent="0.2">
      <c r="A73" s="78" t="s">
        <v>110</v>
      </c>
      <c r="B73" s="42">
        <v>13900</v>
      </c>
      <c r="C73" s="42">
        <f t="shared" ref="C73:M73" si="12">B84</f>
        <v>17900</v>
      </c>
      <c r="D73" s="42">
        <f t="shared" si="12"/>
        <v>21900</v>
      </c>
      <c r="E73" s="42">
        <f t="shared" si="12"/>
        <v>25900</v>
      </c>
      <c r="F73" s="42">
        <f t="shared" si="12"/>
        <v>29900</v>
      </c>
      <c r="G73" s="42">
        <f t="shared" si="12"/>
        <v>33900</v>
      </c>
      <c r="H73" s="42">
        <f t="shared" si="12"/>
        <v>37900</v>
      </c>
      <c r="I73" s="42">
        <f t="shared" si="12"/>
        <v>41900</v>
      </c>
      <c r="J73" s="42">
        <f t="shared" si="12"/>
        <v>45900</v>
      </c>
      <c r="K73" s="42">
        <f t="shared" si="12"/>
        <v>49900</v>
      </c>
      <c r="L73" s="42">
        <f t="shared" si="12"/>
        <v>53900</v>
      </c>
      <c r="M73" s="42">
        <f t="shared" si="12"/>
        <v>57900</v>
      </c>
    </row>
    <row r="74" spans="1:13" x14ac:dyDescent="0.2">
      <c r="A74" s="78" t="s">
        <v>76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</row>
    <row r="75" spans="1:13" x14ac:dyDescent="0.2">
      <c r="A75" s="78" t="s">
        <v>3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</row>
    <row r="76" spans="1:13" x14ac:dyDescent="0.2">
      <c r="A76" s="78" t="s">
        <v>4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</row>
    <row r="77" spans="1:13" x14ac:dyDescent="0.2">
      <c r="A77" s="78" t="s">
        <v>9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spans="1:13" x14ac:dyDescent="0.2">
      <c r="A78" s="78" t="s">
        <v>73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x14ac:dyDescent="0.2">
      <c r="A79" s="78" t="s">
        <v>74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</row>
    <row r="80" spans="1:13" x14ac:dyDescent="0.2">
      <c r="A80" s="78" t="s">
        <v>341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135" t="s">
        <v>380</v>
      </c>
      <c r="M80" s="42"/>
    </row>
    <row r="81" spans="1:13" x14ac:dyDescent="0.2">
      <c r="A81" s="78" t="s">
        <v>5</v>
      </c>
      <c r="B81" s="42">
        <v>4000</v>
      </c>
      <c r="C81" s="42">
        <v>4000</v>
      </c>
      <c r="D81" s="42">
        <v>4000</v>
      </c>
      <c r="E81" s="42">
        <v>4000</v>
      </c>
      <c r="F81" s="42">
        <v>4000</v>
      </c>
      <c r="G81" s="42">
        <v>4000</v>
      </c>
      <c r="H81" s="42">
        <v>4000</v>
      </c>
      <c r="I81" s="42">
        <v>4000</v>
      </c>
      <c r="J81" s="42">
        <v>4000</v>
      </c>
      <c r="K81" s="42">
        <v>4000</v>
      </c>
      <c r="L81" s="42">
        <v>4000</v>
      </c>
      <c r="M81" s="42">
        <v>4000</v>
      </c>
    </row>
    <row r="82" spans="1:13" x14ac:dyDescent="0.2">
      <c r="A82" s="78" t="s">
        <v>6</v>
      </c>
      <c r="B82" s="43">
        <f>SUM(B73:B81)</f>
        <v>17900</v>
      </c>
      <c r="C82" s="43">
        <f t="shared" ref="C82:M82" si="13">SUM(C73:C81)</f>
        <v>21900</v>
      </c>
      <c r="D82" s="43">
        <f t="shared" si="13"/>
        <v>25900</v>
      </c>
      <c r="E82" s="43">
        <f t="shared" si="13"/>
        <v>29900</v>
      </c>
      <c r="F82" s="43">
        <f t="shared" si="13"/>
        <v>33900</v>
      </c>
      <c r="G82" s="43">
        <f t="shared" si="13"/>
        <v>37900</v>
      </c>
      <c r="H82" s="43">
        <f t="shared" si="13"/>
        <v>41900</v>
      </c>
      <c r="I82" s="43">
        <f t="shared" si="13"/>
        <v>45900</v>
      </c>
      <c r="J82" s="43">
        <f t="shared" si="13"/>
        <v>49900</v>
      </c>
      <c r="K82" s="43">
        <f t="shared" si="13"/>
        <v>53900</v>
      </c>
      <c r="L82" s="43">
        <f t="shared" si="13"/>
        <v>57900</v>
      </c>
      <c r="M82" s="43">
        <f t="shared" si="13"/>
        <v>61900</v>
      </c>
    </row>
    <row r="83" spans="1:13" x14ac:dyDescent="0.2">
      <c r="A83" s="78" t="s">
        <v>7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</row>
    <row r="84" spans="1:13" x14ac:dyDescent="0.2">
      <c r="A84" s="78" t="s">
        <v>111</v>
      </c>
      <c r="B84" s="43">
        <f>B82-B83</f>
        <v>17900</v>
      </c>
      <c r="C84" s="43">
        <f>C82-C83</f>
        <v>21900</v>
      </c>
      <c r="D84" s="43">
        <f t="shared" ref="D84:M84" si="14">D82-D83</f>
        <v>25900</v>
      </c>
      <c r="E84" s="43">
        <f t="shared" si="14"/>
        <v>29900</v>
      </c>
      <c r="F84" s="43">
        <f t="shared" si="14"/>
        <v>33900</v>
      </c>
      <c r="G84" s="43">
        <f t="shared" si="14"/>
        <v>37900</v>
      </c>
      <c r="H84" s="43">
        <f t="shared" si="14"/>
        <v>41900</v>
      </c>
      <c r="I84" s="43">
        <f t="shared" si="14"/>
        <v>45900</v>
      </c>
      <c r="J84" s="43">
        <f t="shared" si="14"/>
        <v>49900</v>
      </c>
      <c r="K84" s="43">
        <f t="shared" si="14"/>
        <v>53900</v>
      </c>
      <c r="L84" s="43">
        <f t="shared" si="14"/>
        <v>57900</v>
      </c>
      <c r="M84" s="43">
        <f t="shared" si="14"/>
        <v>61900</v>
      </c>
    </row>
    <row r="88" spans="1:13" x14ac:dyDescent="0.2">
      <c r="A88" s="50" t="s">
        <v>0</v>
      </c>
      <c r="B88" s="50" t="s">
        <v>1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</row>
    <row r="89" spans="1:13" x14ac:dyDescent="0.2">
      <c r="A89" s="78"/>
      <c r="B89" s="79">
        <v>44197</v>
      </c>
      <c r="C89" s="79">
        <v>44228</v>
      </c>
      <c r="D89" s="79">
        <v>44256</v>
      </c>
      <c r="E89" s="79">
        <v>44287</v>
      </c>
      <c r="F89" s="79">
        <v>44317</v>
      </c>
      <c r="G89" s="79">
        <v>44348</v>
      </c>
      <c r="H89" s="79">
        <v>44378</v>
      </c>
      <c r="I89" s="79">
        <v>44409</v>
      </c>
      <c r="J89" s="79">
        <v>44440</v>
      </c>
      <c r="K89" s="79">
        <v>44470</v>
      </c>
      <c r="L89" s="79">
        <v>44501</v>
      </c>
      <c r="M89" s="79">
        <v>44531</v>
      </c>
    </row>
    <row r="90" spans="1:13" x14ac:dyDescent="0.2">
      <c r="A90" s="78" t="s">
        <v>110</v>
      </c>
      <c r="B90" s="42"/>
      <c r="C90" s="42">
        <f t="shared" ref="C90:M90" si="15">B101</f>
        <v>12000</v>
      </c>
      <c r="D90" s="42">
        <f t="shared" si="15"/>
        <v>24000</v>
      </c>
      <c r="E90" s="42">
        <f t="shared" si="15"/>
        <v>36000</v>
      </c>
      <c r="F90" s="42">
        <f t="shared" si="15"/>
        <v>48000</v>
      </c>
      <c r="G90" s="42">
        <f t="shared" si="15"/>
        <v>60000</v>
      </c>
      <c r="H90" s="42">
        <f t="shared" si="15"/>
        <v>72000</v>
      </c>
      <c r="I90" s="42">
        <f t="shared" si="15"/>
        <v>84000</v>
      </c>
      <c r="J90" s="42">
        <f t="shared" si="15"/>
        <v>96000</v>
      </c>
      <c r="K90" s="42">
        <f t="shared" si="15"/>
        <v>110000</v>
      </c>
      <c r="L90" s="42">
        <f t="shared" si="15"/>
        <v>125000</v>
      </c>
      <c r="M90" s="42">
        <f t="shared" si="15"/>
        <v>140000</v>
      </c>
    </row>
    <row r="91" spans="1:13" x14ac:dyDescent="0.2">
      <c r="A91" s="78" t="s">
        <v>76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</row>
    <row r="92" spans="1:13" x14ac:dyDescent="0.2">
      <c r="A92" s="78" t="s">
        <v>3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</row>
    <row r="93" spans="1:13" x14ac:dyDescent="0.2">
      <c r="A93" s="78" t="s">
        <v>4</v>
      </c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</row>
    <row r="94" spans="1:13" x14ac:dyDescent="0.2">
      <c r="A94" s="78" t="s">
        <v>9</v>
      </c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spans="1:13" x14ac:dyDescent="0.2">
      <c r="A95" s="78" t="s">
        <v>73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x14ac:dyDescent="0.2">
      <c r="A96" s="78" t="s">
        <v>74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7" spans="1:13" x14ac:dyDescent="0.2">
      <c r="A97" s="78" t="s">
        <v>341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135" t="s">
        <v>380</v>
      </c>
      <c r="M97" s="42"/>
    </row>
    <row r="98" spans="1:13" x14ac:dyDescent="0.2">
      <c r="A98" s="78" t="s">
        <v>5</v>
      </c>
      <c r="B98" s="42">
        <v>12000</v>
      </c>
      <c r="C98" s="42">
        <v>12000</v>
      </c>
      <c r="D98" s="42">
        <v>12000</v>
      </c>
      <c r="E98" s="42">
        <v>12000</v>
      </c>
      <c r="F98" s="42">
        <v>12000</v>
      </c>
      <c r="G98" s="42">
        <v>12000</v>
      </c>
      <c r="H98" s="42">
        <v>12000</v>
      </c>
      <c r="I98" s="42">
        <v>12000</v>
      </c>
      <c r="J98" s="42">
        <v>14000</v>
      </c>
      <c r="K98" s="42">
        <v>15000</v>
      </c>
      <c r="L98" s="42">
        <v>15000</v>
      </c>
      <c r="M98" s="42">
        <v>15000</v>
      </c>
    </row>
    <row r="99" spans="1:13" x14ac:dyDescent="0.2">
      <c r="A99" s="78" t="s">
        <v>6</v>
      </c>
      <c r="B99" s="43">
        <f>SUM(B90:B98)</f>
        <v>12000</v>
      </c>
      <c r="C99" s="43">
        <f t="shared" ref="C99:M99" si="16">SUM(C90:C98)</f>
        <v>24000</v>
      </c>
      <c r="D99" s="43">
        <f t="shared" si="16"/>
        <v>36000</v>
      </c>
      <c r="E99" s="43">
        <f t="shared" si="16"/>
        <v>48000</v>
      </c>
      <c r="F99" s="43">
        <f t="shared" si="16"/>
        <v>60000</v>
      </c>
      <c r="G99" s="43">
        <f t="shared" si="16"/>
        <v>72000</v>
      </c>
      <c r="H99" s="43">
        <f t="shared" si="16"/>
        <v>84000</v>
      </c>
      <c r="I99" s="43">
        <f t="shared" si="16"/>
        <v>96000</v>
      </c>
      <c r="J99" s="43">
        <f t="shared" si="16"/>
        <v>110000</v>
      </c>
      <c r="K99" s="43">
        <f t="shared" si="16"/>
        <v>125000</v>
      </c>
      <c r="L99" s="43">
        <f t="shared" si="16"/>
        <v>140000</v>
      </c>
      <c r="M99" s="43">
        <f t="shared" si="16"/>
        <v>155000</v>
      </c>
    </row>
    <row r="100" spans="1:13" x14ac:dyDescent="0.2">
      <c r="A100" s="78" t="s">
        <v>7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</row>
    <row r="101" spans="1:13" x14ac:dyDescent="0.2">
      <c r="A101" s="78" t="s">
        <v>111</v>
      </c>
      <c r="B101" s="43">
        <f>B99-B100</f>
        <v>12000</v>
      </c>
      <c r="C101" s="43">
        <f>C99-C100</f>
        <v>24000</v>
      </c>
      <c r="D101" s="43">
        <f t="shared" ref="D101:M101" si="17">D99-D100</f>
        <v>36000</v>
      </c>
      <c r="E101" s="43">
        <f t="shared" si="17"/>
        <v>48000</v>
      </c>
      <c r="F101" s="43">
        <f t="shared" si="17"/>
        <v>60000</v>
      </c>
      <c r="G101" s="43">
        <f t="shared" si="17"/>
        <v>72000</v>
      </c>
      <c r="H101" s="43">
        <f t="shared" si="17"/>
        <v>84000</v>
      </c>
      <c r="I101" s="43">
        <f t="shared" si="17"/>
        <v>96000</v>
      </c>
      <c r="J101" s="43">
        <f t="shared" si="17"/>
        <v>110000</v>
      </c>
      <c r="K101" s="43">
        <f t="shared" si="17"/>
        <v>125000</v>
      </c>
      <c r="L101" s="43">
        <f t="shared" si="17"/>
        <v>140000</v>
      </c>
      <c r="M101" s="43">
        <f t="shared" si="17"/>
        <v>155000</v>
      </c>
    </row>
    <row r="106" spans="1:13" x14ac:dyDescent="0.2">
      <c r="A106" s="78"/>
      <c r="B106" s="79">
        <v>43831</v>
      </c>
      <c r="C106" s="79">
        <v>43862</v>
      </c>
      <c r="D106" s="79">
        <v>43891</v>
      </c>
      <c r="E106" s="79">
        <v>43922</v>
      </c>
      <c r="F106" s="79">
        <v>43952</v>
      </c>
      <c r="G106" s="79">
        <v>43983</v>
      </c>
      <c r="H106" s="79">
        <v>44013</v>
      </c>
      <c r="I106" s="79">
        <v>44044</v>
      </c>
      <c r="J106" s="79">
        <v>44075</v>
      </c>
      <c r="K106" s="79">
        <v>44105</v>
      </c>
      <c r="L106" s="79">
        <v>44136</v>
      </c>
      <c r="M106" s="79">
        <v>44166</v>
      </c>
    </row>
    <row r="107" spans="1:13" x14ac:dyDescent="0.2">
      <c r="A107" s="78" t="s">
        <v>110</v>
      </c>
      <c r="B107" s="42">
        <v>0</v>
      </c>
      <c r="C107" s="42">
        <f t="shared" ref="C107:M107" si="18">B118</f>
        <v>10000</v>
      </c>
      <c r="D107" s="42">
        <f t="shared" si="18"/>
        <v>20000</v>
      </c>
      <c r="E107" s="42">
        <f t="shared" si="18"/>
        <v>30000</v>
      </c>
      <c r="F107" s="42">
        <f t="shared" si="18"/>
        <v>40000</v>
      </c>
      <c r="G107" s="42">
        <f t="shared" si="18"/>
        <v>50000</v>
      </c>
      <c r="H107" s="42">
        <f t="shared" si="18"/>
        <v>60000</v>
      </c>
      <c r="I107" s="42">
        <f t="shared" si="18"/>
        <v>70000</v>
      </c>
      <c r="J107" s="42">
        <f t="shared" si="18"/>
        <v>80000</v>
      </c>
      <c r="K107" s="42">
        <f t="shared" si="18"/>
        <v>90000</v>
      </c>
      <c r="L107" s="42">
        <f t="shared" si="18"/>
        <v>100000</v>
      </c>
      <c r="M107" s="42">
        <f t="shared" si="18"/>
        <v>110000</v>
      </c>
    </row>
    <row r="108" spans="1:13" x14ac:dyDescent="0.2">
      <c r="A108" s="78" t="s">
        <v>76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</row>
    <row r="109" spans="1:13" x14ac:dyDescent="0.2">
      <c r="A109" s="78" t="s">
        <v>3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</row>
    <row r="110" spans="1:13" x14ac:dyDescent="0.2">
      <c r="A110" s="78" t="s">
        <v>4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</row>
    <row r="111" spans="1:13" x14ac:dyDescent="0.2">
      <c r="A111" s="78" t="s">
        <v>9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</row>
    <row r="112" spans="1:13" x14ac:dyDescent="0.2">
      <c r="A112" s="78" t="s">
        <v>73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</row>
    <row r="113" spans="1:13" x14ac:dyDescent="0.2">
      <c r="A113" s="78" t="s">
        <v>74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</row>
    <row r="114" spans="1:13" x14ac:dyDescent="0.2">
      <c r="A114" s="78" t="s">
        <v>341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135" t="s">
        <v>380</v>
      </c>
      <c r="M114" s="42"/>
    </row>
    <row r="115" spans="1:13" x14ac:dyDescent="0.2">
      <c r="A115" s="78" t="s">
        <v>5</v>
      </c>
      <c r="B115" s="42">
        <v>10000</v>
      </c>
      <c r="C115" s="42">
        <v>10000</v>
      </c>
      <c r="D115" s="42">
        <v>10000</v>
      </c>
      <c r="E115" s="42">
        <v>10000</v>
      </c>
      <c r="F115" s="42">
        <v>10000</v>
      </c>
      <c r="G115" s="42">
        <v>10000</v>
      </c>
      <c r="H115" s="42">
        <v>10000</v>
      </c>
      <c r="I115" s="42">
        <v>10000</v>
      </c>
      <c r="J115" s="42">
        <v>10000</v>
      </c>
      <c r="K115" s="42">
        <v>10000</v>
      </c>
      <c r="L115" s="42">
        <v>10000</v>
      </c>
      <c r="M115" s="42">
        <v>10000</v>
      </c>
    </row>
    <row r="116" spans="1:13" x14ac:dyDescent="0.2">
      <c r="A116" s="78" t="s">
        <v>6</v>
      </c>
      <c r="B116" s="43">
        <f>SUM(B107:B115)</f>
        <v>10000</v>
      </c>
      <c r="C116" s="43">
        <f t="shared" ref="C116:M116" si="19">SUM(C107:C115)</f>
        <v>20000</v>
      </c>
      <c r="D116" s="43">
        <f t="shared" si="19"/>
        <v>30000</v>
      </c>
      <c r="E116" s="43">
        <f t="shared" si="19"/>
        <v>40000</v>
      </c>
      <c r="F116" s="43">
        <f t="shared" si="19"/>
        <v>50000</v>
      </c>
      <c r="G116" s="43">
        <f t="shared" si="19"/>
        <v>60000</v>
      </c>
      <c r="H116" s="43">
        <f t="shared" si="19"/>
        <v>70000</v>
      </c>
      <c r="I116" s="43">
        <f t="shared" si="19"/>
        <v>80000</v>
      </c>
      <c r="J116" s="43">
        <f t="shared" si="19"/>
        <v>90000</v>
      </c>
      <c r="K116" s="43">
        <f t="shared" si="19"/>
        <v>100000</v>
      </c>
      <c r="L116" s="43">
        <f t="shared" si="19"/>
        <v>110000</v>
      </c>
      <c r="M116" s="43">
        <f t="shared" si="19"/>
        <v>120000</v>
      </c>
    </row>
    <row r="117" spans="1:13" x14ac:dyDescent="0.2">
      <c r="A117" s="78" t="s">
        <v>7</v>
      </c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>
        <v>120000</v>
      </c>
    </row>
    <row r="118" spans="1:13" x14ac:dyDescent="0.2">
      <c r="A118" s="78" t="s">
        <v>111</v>
      </c>
      <c r="B118" s="43">
        <f>B116-B117</f>
        <v>10000</v>
      </c>
      <c r="C118" s="43">
        <f>C116-C117</f>
        <v>20000</v>
      </c>
      <c r="D118" s="43">
        <f t="shared" ref="D118:M118" si="20">D116-D117</f>
        <v>30000</v>
      </c>
      <c r="E118" s="43">
        <f t="shared" si="20"/>
        <v>40000</v>
      </c>
      <c r="F118" s="43">
        <f t="shared" si="20"/>
        <v>50000</v>
      </c>
      <c r="G118" s="43">
        <f t="shared" si="20"/>
        <v>60000</v>
      </c>
      <c r="H118" s="43">
        <f t="shared" si="20"/>
        <v>70000</v>
      </c>
      <c r="I118" s="43">
        <f t="shared" si="20"/>
        <v>80000</v>
      </c>
      <c r="J118" s="43">
        <f t="shared" si="20"/>
        <v>90000</v>
      </c>
      <c r="K118" s="43">
        <f t="shared" si="20"/>
        <v>100000</v>
      </c>
      <c r="L118" s="43">
        <f t="shared" si="20"/>
        <v>110000</v>
      </c>
      <c r="M118" s="43">
        <f t="shared" si="20"/>
        <v>0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0"/>
  <dimension ref="A3:M30"/>
  <sheetViews>
    <sheetView topLeftCell="A13" workbookViewId="0">
      <selection activeCell="F30" sqref="F30"/>
    </sheetView>
  </sheetViews>
  <sheetFormatPr baseColWidth="10" defaultRowHeight="12.75" x14ac:dyDescent="0.2"/>
  <cols>
    <col min="1" max="1" width="30.14062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.75" x14ac:dyDescent="0.25">
      <c r="A4" s="8"/>
      <c r="B4" s="15">
        <v>45658</v>
      </c>
      <c r="C4" s="15">
        <v>45689</v>
      </c>
      <c r="D4" s="15">
        <v>45717</v>
      </c>
      <c r="E4" s="15">
        <v>45748</v>
      </c>
      <c r="F4" s="15">
        <v>45778</v>
      </c>
      <c r="G4" s="15">
        <v>45809</v>
      </c>
      <c r="H4" s="15">
        <v>45839</v>
      </c>
      <c r="I4" s="15">
        <v>45870</v>
      </c>
      <c r="J4" s="15">
        <v>45901</v>
      </c>
      <c r="K4" s="15">
        <v>45931</v>
      </c>
      <c r="L4" s="15">
        <v>45962</v>
      </c>
      <c r="M4" s="15">
        <v>45992</v>
      </c>
    </row>
    <row r="5" spans="1:13" ht="15" x14ac:dyDescent="0.2">
      <c r="A5" s="8" t="s">
        <v>110</v>
      </c>
      <c r="B5" s="42"/>
      <c r="C5" s="42">
        <f>B16</f>
        <v>20800</v>
      </c>
      <c r="D5" s="42">
        <f t="shared" ref="D5:J5" si="0">C16</f>
        <v>41600</v>
      </c>
      <c r="E5" s="42">
        <f t="shared" si="0"/>
        <v>0</v>
      </c>
      <c r="F5" s="42">
        <f t="shared" si="0"/>
        <v>0</v>
      </c>
      <c r="G5" s="42">
        <f t="shared" si="0"/>
        <v>60300</v>
      </c>
      <c r="H5" s="42">
        <f t="shared" si="0"/>
        <v>191100</v>
      </c>
      <c r="I5" s="42">
        <f t="shared" si="0"/>
        <v>321900</v>
      </c>
      <c r="J5" s="42">
        <f t="shared" si="0"/>
        <v>61400</v>
      </c>
      <c r="K5" s="42">
        <f>J16</f>
        <v>189400</v>
      </c>
      <c r="L5" s="42">
        <f>K16</f>
        <v>317400</v>
      </c>
      <c r="M5" s="42">
        <f>L16</f>
        <v>445400</v>
      </c>
    </row>
    <row r="6" spans="1:13" ht="15" x14ac:dyDescent="0.2">
      <c r="A6" s="8" t="s">
        <v>570</v>
      </c>
      <c r="B6" s="42">
        <v>10800</v>
      </c>
      <c r="C6" s="42">
        <v>10800</v>
      </c>
      <c r="D6" s="42">
        <v>10800</v>
      </c>
      <c r="E6" s="42">
        <v>10800</v>
      </c>
      <c r="F6" s="42">
        <v>10800</v>
      </c>
      <c r="G6" s="42">
        <v>10800</v>
      </c>
      <c r="H6" s="42">
        <v>10800</v>
      </c>
      <c r="I6" s="42">
        <v>11500</v>
      </c>
      <c r="J6" s="42"/>
      <c r="K6" s="42"/>
      <c r="L6" s="42"/>
      <c r="M6" s="42"/>
    </row>
    <row r="7" spans="1:13" ht="15" x14ac:dyDescent="0.2">
      <c r="A7" s="8" t="s">
        <v>720</v>
      </c>
      <c r="B7" s="42"/>
      <c r="C7" s="42"/>
      <c r="D7" s="42">
        <v>14500</v>
      </c>
      <c r="E7" s="42">
        <v>14500</v>
      </c>
      <c r="F7" s="42">
        <v>14500</v>
      </c>
      <c r="G7" s="42">
        <v>75000</v>
      </c>
      <c r="H7" s="42">
        <v>75000</v>
      </c>
      <c r="I7" s="42">
        <v>83000</v>
      </c>
      <c r="J7" s="42">
        <v>83000</v>
      </c>
      <c r="K7" s="42">
        <v>83000</v>
      </c>
      <c r="L7" s="42">
        <v>83000</v>
      </c>
      <c r="M7" s="42">
        <v>83000</v>
      </c>
    </row>
    <row r="8" spans="1:13" ht="15" x14ac:dyDescent="0.2">
      <c r="A8" s="8" t="s">
        <v>569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74</v>
      </c>
      <c r="B11" s="42"/>
      <c r="C11" s="42"/>
      <c r="D11" s="42">
        <v>100</v>
      </c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75</v>
      </c>
      <c r="B12" s="42"/>
      <c r="C12" s="42"/>
      <c r="D12" s="42">
        <v>40000</v>
      </c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5</v>
      </c>
      <c r="B13" s="42">
        <v>10000</v>
      </c>
      <c r="C13" s="42">
        <v>10000</v>
      </c>
      <c r="D13" s="42">
        <v>10000</v>
      </c>
      <c r="E13" s="42">
        <v>20000</v>
      </c>
      <c r="F13" s="42">
        <v>35000</v>
      </c>
      <c r="G13" s="42">
        <v>45000</v>
      </c>
      <c r="H13" s="42">
        <v>45000</v>
      </c>
      <c r="I13" s="42">
        <v>45000</v>
      </c>
      <c r="J13" s="42">
        <v>45000</v>
      </c>
      <c r="K13" s="42">
        <v>45000</v>
      </c>
      <c r="L13" s="42">
        <v>45000</v>
      </c>
      <c r="M13" s="42">
        <v>45000</v>
      </c>
    </row>
    <row r="14" spans="1:13" ht="15" x14ac:dyDescent="0.2">
      <c r="A14" s="8" t="s">
        <v>6</v>
      </c>
      <c r="B14" s="43">
        <f>SUM(B5:B13)</f>
        <v>20800</v>
      </c>
      <c r="C14" s="43">
        <f t="shared" ref="C14:M14" si="1">SUM(C5:C13)</f>
        <v>41600</v>
      </c>
      <c r="D14" s="43">
        <f t="shared" si="1"/>
        <v>117000</v>
      </c>
      <c r="E14" s="43">
        <f t="shared" si="1"/>
        <v>45300</v>
      </c>
      <c r="F14" s="43">
        <f t="shared" si="1"/>
        <v>60300</v>
      </c>
      <c r="G14" s="43">
        <f t="shared" si="1"/>
        <v>191100</v>
      </c>
      <c r="H14" s="43">
        <f t="shared" si="1"/>
        <v>321900</v>
      </c>
      <c r="I14" s="43">
        <f t="shared" si="1"/>
        <v>461400</v>
      </c>
      <c r="J14" s="43">
        <f t="shared" si="1"/>
        <v>189400</v>
      </c>
      <c r="K14" s="43">
        <f t="shared" si="1"/>
        <v>317400</v>
      </c>
      <c r="L14" s="43">
        <f t="shared" si="1"/>
        <v>445400</v>
      </c>
      <c r="M14" s="43">
        <f t="shared" si="1"/>
        <v>573400</v>
      </c>
    </row>
    <row r="15" spans="1:13" ht="15" x14ac:dyDescent="0.2">
      <c r="A15" s="8" t="s">
        <v>7</v>
      </c>
      <c r="B15" s="44"/>
      <c r="C15" s="44"/>
      <c r="D15" s="44">
        <v>117000</v>
      </c>
      <c r="E15" s="44">
        <v>45300</v>
      </c>
      <c r="F15" s="44"/>
      <c r="G15" s="44"/>
      <c r="H15" s="44"/>
      <c r="I15" s="44">
        <v>400000</v>
      </c>
      <c r="J15" s="44"/>
      <c r="K15" s="44"/>
      <c r="L15" s="44"/>
      <c r="M15" s="44">
        <v>300000</v>
      </c>
    </row>
    <row r="16" spans="1:13" ht="15" x14ac:dyDescent="0.2">
      <c r="A16" s="8" t="s">
        <v>111</v>
      </c>
      <c r="B16" s="43">
        <f>B14-B15</f>
        <v>20800</v>
      </c>
      <c r="C16" s="43">
        <f>C14-C15</f>
        <v>41600</v>
      </c>
      <c r="D16" s="43">
        <f t="shared" ref="D16:M16" si="2">D14-D15</f>
        <v>0</v>
      </c>
      <c r="E16" s="43">
        <f t="shared" si="2"/>
        <v>0</v>
      </c>
      <c r="F16" s="43">
        <f t="shared" si="2"/>
        <v>60300</v>
      </c>
      <c r="G16" s="43">
        <f t="shared" si="2"/>
        <v>191100</v>
      </c>
      <c r="H16" s="43">
        <f t="shared" si="2"/>
        <v>321900</v>
      </c>
      <c r="I16" s="43">
        <f t="shared" si="2"/>
        <v>61400</v>
      </c>
      <c r="J16" s="43">
        <f t="shared" si="2"/>
        <v>189400</v>
      </c>
      <c r="K16" s="43">
        <f t="shared" si="2"/>
        <v>317400</v>
      </c>
      <c r="L16" s="43">
        <f t="shared" si="2"/>
        <v>445400</v>
      </c>
      <c r="M16" s="43">
        <f t="shared" si="2"/>
        <v>273400</v>
      </c>
    </row>
    <row r="17" spans="1:13" x14ac:dyDescent="0.2">
      <c r="J17" s="128">
        <v>45173</v>
      </c>
      <c r="M17" s="128">
        <v>45267</v>
      </c>
    </row>
    <row r="18" spans="1:13" ht="15.75" x14ac:dyDescent="0.25">
      <c r="A18" s="8"/>
      <c r="B18" s="15">
        <v>46023</v>
      </c>
      <c r="C18" s="15">
        <v>46054</v>
      </c>
      <c r="D18" s="15">
        <v>46082</v>
      </c>
      <c r="E18" s="15">
        <v>46113</v>
      </c>
      <c r="F18" s="15">
        <v>46143</v>
      </c>
      <c r="G18" s="15">
        <v>46174</v>
      </c>
      <c r="H18" s="15">
        <v>46204</v>
      </c>
      <c r="I18" s="15">
        <v>46235</v>
      </c>
      <c r="J18" s="15">
        <v>46266</v>
      </c>
      <c r="K18" s="15">
        <v>46296</v>
      </c>
      <c r="L18" s="15">
        <v>46327</v>
      </c>
      <c r="M18" s="15">
        <v>46357</v>
      </c>
    </row>
    <row r="19" spans="1:13" ht="15" x14ac:dyDescent="0.2">
      <c r="A19" s="8" t="s">
        <v>110</v>
      </c>
      <c r="B19" s="42">
        <v>273400</v>
      </c>
      <c r="C19" s="42">
        <f t="shared" ref="C19:M19" si="3">B30</f>
        <v>419050</v>
      </c>
      <c r="D19" s="42">
        <f t="shared" si="3"/>
        <v>564700</v>
      </c>
      <c r="E19" s="42">
        <f t="shared" si="3"/>
        <v>310350</v>
      </c>
      <c r="F19" s="42">
        <f t="shared" si="3"/>
        <v>456000</v>
      </c>
      <c r="G19" s="42">
        <f t="shared" si="3"/>
        <v>201650</v>
      </c>
      <c r="H19" s="42">
        <f t="shared" si="3"/>
        <v>303650</v>
      </c>
      <c r="I19" s="42">
        <f t="shared" si="3"/>
        <v>303650</v>
      </c>
      <c r="J19" s="42">
        <f t="shared" si="3"/>
        <v>303650</v>
      </c>
      <c r="K19" s="42">
        <f t="shared" si="3"/>
        <v>303650</v>
      </c>
      <c r="L19" s="42">
        <f t="shared" si="3"/>
        <v>303650</v>
      </c>
      <c r="M19" s="42">
        <f t="shared" si="3"/>
        <v>303650</v>
      </c>
    </row>
    <row r="20" spans="1:13" ht="15" x14ac:dyDescent="0.2">
      <c r="A20" s="8" t="s">
        <v>570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ht="15" x14ac:dyDescent="0.2">
      <c r="A21" s="8" t="s">
        <v>720</v>
      </c>
      <c r="B21" s="42">
        <v>95650</v>
      </c>
      <c r="C21" s="42">
        <v>95650</v>
      </c>
      <c r="D21" s="42">
        <v>95650</v>
      </c>
      <c r="E21" s="42">
        <v>95650</v>
      </c>
      <c r="F21" s="42">
        <v>95650</v>
      </c>
      <c r="G21" s="42">
        <v>52000</v>
      </c>
      <c r="H21" s="42"/>
      <c r="I21" s="42"/>
      <c r="J21" s="42"/>
      <c r="K21" s="42"/>
      <c r="L21" s="42"/>
      <c r="M21" s="42"/>
    </row>
    <row r="22" spans="1:13" ht="15" x14ac:dyDescent="0.2">
      <c r="A22" s="8" t="s">
        <v>569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ht="15" x14ac:dyDescent="0.2">
      <c r="A23" s="8" t="s">
        <v>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5</v>
      </c>
      <c r="B27" s="42">
        <v>50000</v>
      </c>
      <c r="C27" s="42">
        <v>50000</v>
      </c>
      <c r="D27" s="42">
        <v>50000</v>
      </c>
      <c r="E27" s="42">
        <v>50000</v>
      </c>
      <c r="F27" s="42">
        <v>50000</v>
      </c>
      <c r="G27" s="42">
        <v>50000</v>
      </c>
      <c r="H27" s="42"/>
      <c r="I27" s="42"/>
      <c r="J27" s="42"/>
      <c r="K27" s="42"/>
      <c r="L27" s="42"/>
      <c r="M27" s="42"/>
    </row>
    <row r="28" spans="1:13" ht="15" x14ac:dyDescent="0.2">
      <c r="A28" s="8" t="s">
        <v>6</v>
      </c>
      <c r="B28" s="43">
        <f>SUM(B19:B27)</f>
        <v>419050</v>
      </c>
      <c r="C28" s="43">
        <f t="shared" ref="C28:M28" si="4">SUM(C19:C27)</f>
        <v>564700</v>
      </c>
      <c r="D28" s="43">
        <f t="shared" si="4"/>
        <v>710350</v>
      </c>
      <c r="E28" s="43">
        <f t="shared" si="4"/>
        <v>456000</v>
      </c>
      <c r="F28" s="43">
        <f t="shared" si="4"/>
        <v>601650</v>
      </c>
      <c r="G28" s="43">
        <f t="shared" si="4"/>
        <v>303650</v>
      </c>
      <c r="H28" s="43">
        <f t="shared" si="4"/>
        <v>303650</v>
      </c>
      <c r="I28" s="43">
        <f t="shared" si="4"/>
        <v>303650</v>
      </c>
      <c r="J28" s="43">
        <f t="shared" si="4"/>
        <v>303650</v>
      </c>
      <c r="K28" s="43">
        <f t="shared" si="4"/>
        <v>303650</v>
      </c>
      <c r="L28" s="43">
        <f t="shared" si="4"/>
        <v>303650</v>
      </c>
      <c r="M28" s="43">
        <f t="shared" si="4"/>
        <v>303650</v>
      </c>
    </row>
    <row r="29" spans="1:13" ht="15" x14ac:dyDescent="0.2">
      <c r="A29" s="8" t="s">
        <v>7</v>
      </c>
      <c r="B29" s="44"/>
      <c r="C29" s="44"/>
      <c r="D29" s="44">
        <v>400000</v>
      </c>
      <c r="E29" s="44"/>
      <c r="F29" s="44">
        <v>400000</v>
      </c>
      <c r="G29" s="44"/>
      <c r="H29" s="44"/>
      <c r="I29" s="44"/>
      <c r="J29" s="44"/>
      <c r="K29" s="44"/>
      <c r="L29" s="44"/>
      <c r="M29" s="44"/>
    </row>
    <row r="30" spans="1:13" ht="15" x14ac:dyDescent="0.2">
      <c r="A30" s="8" t="s">
        <v>111</v>
      </c>
      <c r="B30" s="43">
        <f>B28-B29</f>
        <v>419050</v>
      </c>
      <c r="C30" s="43">
        <f>C28-C29</f>
        <v>564700</v>
      </c>
      <c r="D30" s="43">
        <f t="shared" ref="D30:M30" si="5">D28-D29</f>
        <v>310350</v>
      </c>
      <c r="E30" s="43">
        <f t="shared" si="5"/>
        <v>456000</v>
      </c>
      <c r="F30" s="43">
        <f t="shared" si="5"/>
        <v>201650</v>
      </c>
      <c r="G30" s="43">
        <f t="shared" si="5"/>
        <v>303650</v>
      </c>
      <c r="H30" s="43">
        <f t="shared" si="5"/>
        <v>303650</v>
      </c>
      <c r="I30" s="43">
        <f t="shared" si="5"/>
        <v>303650</v>
      </c>
      <c r="J30" s="43">
        <f t="shared" si="5"/>
        <v>303650</v>
      </c>
      <c r="K30" s="43">
        <f t="shared" si="5"/>
        <v>303650</v>
      </c>
      <c r="L30" s="43">
        <f t="shared" si="5"/>
        <v>303650</v>
      </c>
      <c r="M30" s="43">
        <f t="shared" si="5"/>
        <v>303650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1"/>
  <dimension ref="A3:M31"/>
  <sheetViews>
    <sheetView workbookViewId="0">
      <selection activeCell="F15" sqref="F15"/>
    </sheetView>
  </sheetViews>
  <sheetFormatPr baseColWidth="10" defaultRowHeight="12.75" x14ac:dyDescent="0.2"/>
  <cols>
    <col min="1" max="1" width="38.14062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46023</v>
      </c>
      <c r="C4" s="79">
        <v>46054</v>
      </c>
      <c r="D4" s="79">
        <v>46082</v>
      </c>
      <c r="E4" s="79">
        <v>46113</v>
      </c>
      <c r="F4" s="79">
        <v>46143</v>
      </c>
      <c r="G4" s="79">
        <v>46174</v>
      </c>
      <c r="H4" s="79">
        <v>46204</v>
      </c>
      <c r="I4" s="79">
        <v>46235</v>
      </c>
      <c r="J4" s="79">
        <v>46266</v>
      </c>
      <c r="K4" s="79">
        <v>46296</v>
      </c>
      <c r="L4" s="79">
        <v>46327</v>
      </c>
      <c r="M4" s="79">
        <v>46357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J5" si="0">C16</f>
        <v>0</v>
      </c>
      <c r="E5" s="42">
        <f t="shared" si="0"/>
        <v>290000</v>
      </c>
      <c r="F5" s="42">
        <f t="shared" si="0"/>
        <v>-79516</v>
      </c>
      <c r="G5" s="42">
        <f t="shared" si="0"/>
        <v>205484</v>
      </c>
      <c r="H5" s="42">
        <f t="shared" si="0"/>
        <v>205484</v>
      </c>
      <c r="I5" s="42">
        <f t="shared" si="0"/>
        <v>205484</v>
      </c>
      <c r="J5" s="42">
        <f t="shared" si="0"/>
        <v>205484</v>
      </c>
      <c r="K5" s="42">
        <f>J16</f>
        <v>205484</v>
      </c>
      <c r="L5" s="42">
        <f>K16</f>
        <v>205484</v>
      </c>
      <c r="M5" s="42">
        <f>L16</f>
        <v>205484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>
        <v>76400</v>
      </c>
      <c r="C7" s="42">
        <v>25000</v>
      </c>
      <c r="D7" s="42">
        <v>35000</v>
      </c>
      <c r="E7" s="42">
        <v>62000</v>
      </c>
      <c r="F7" s="42">
        <v>30000</v>
      </c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574</v>
      </c>
      <c r="B10" s="42">
        <v>65000</v>
      </c>
      <c r="C10" s="42">
        <v>65000</v>
      </c>
      <c r="D10" s="42">
        <v>65000</v>
      </c>
      <c r="E10" s="42">
        <v>65000</v>
      </c>
      <c r="F10" s="42">
        <v>65000</v>
      </c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180000</v>
      </c>
      <c r="C13" s="42">
        <v>180000</v>
      </c>
      <c r="D13" s="42">
        <v>190000</v>
      </c>
      <c r="E13" s="42">
        <v>190000</v>
      </c>
      <c r="F13" s="42">
        <v>190000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321400</v>
      </c>
      <c r="C14" s="43">
        <f t="shared" ref="C14:M14" si="1">SUM(C5:C13)</f>
        <v>270000</v>
      </c>
      <c r="D14" s="43">
        <f t="shared" si="1"/>
        <v>290000</v>
      </c>
      <c r="E14" s="43">
        <f t="shared" si="1"/>
        <v>607000</v>
      </c>
      <c r="F14" s="43">
        <f t="shared" si="1"/>
        <v>205484</v>
      </c>
      <c r="G14" s="43">
        <f t="shared" si="1"/>
        <v>205484</v>
      </c>
      <c r="H14" s="43">
        <f t="shared" si="1"/>
        <v>205484</v>
      </c>
      <c r="I14" s="43">
        <f t="shared" si="1"/>
        <v>205484</v>
      </c>
      <c r="J14" s="43">
        <f t="shared" si="1"/>
        <v>205484</v>
      </c>
      <c r="K14" s="43">
        <f t="shared" si="1"/>
        <v>205484</v>
      </c>
      <c r="L14" s="43">
        <f t="shared" si="1"/>
        <v>205484</v>
      </c>
      <c r="M14" s="43">
        <f t="shared" si="1"/>
        <v>205484</v>
      </c>
    </row>
    <row r="15" spans="1:13" x14ac:dyDescent="0.2">
      <c r="A15" s="78" t="s">
        <v>7</v>
      </c>
      <c r="B15" s="44">
        <v>321400</v>
      </c>
      <c r="C15" s="44">
        <v>270000</v>
      </c>
      <c r="D15" s="44"/>
      <c r="E15" s="44">
        <v>686516</v>
      </c>
      <c r="F15" s="44"/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290000</v>
      </c>
      <c r="E16" s="43">
        <f t="shared" si="2"/>
        <v>-79516</v>
      </c>
      <c r="F16" s="43">
        <f t="shared" si="2"/>
        <v>205484</v>
      </c>
      <c r="G16" s="43">
        <f t="shared" si="2"/>
        <v>205484</v>
      </c>
      <c r="H16" s="43">
        <f t="shared" si="2"/>
        <v>205484</v>
      </c>
      <c r="I16" s="43">
        <f t="shared" si="2"/>
        <v>205484</v>
      </c>
      <c r="J16" s="43">
        <f t="shared" si="2"/>
        <v>205484</v>
      </c>
      <c r="K16" s="43">
        <f t="shared" si="2"/>
        <v>205484</v>
      </c>
      <c r="L16" s="43">
        <f t="shared" si="2"/>
        <v>205484</v>
      </c>
      <c r="M16" s="43">
        <f t="shared" si="2"/>
        <v>205484</v>
      </c>
    </row>
    <row r="17" spans="1:13" x14ac:dyDescent="0.2">
      <c r="K17" s="128">
        <v>44881</v>
      </c>
    </row>
    <row r="19" spans="1:13" x14ac:dyDescent="0.2">
      <c r="A19" s="78"/>
      <c r="B19" s="79">
        <v>45658</v>
      </c>
      <c r="C19" s="79">
        <v>45689</v>
      </c>
      <c r="D19" s="79">
        <v>45717</v>
      </c>
      <c r="E19" s="79">
        <v>45748</v>
      </c>
      <c r="F19" s="79">
        <v>45778</v>
      </c>
      <c r="G19" s="79">
        <v>45809</v>
      </c>
      <c r="H19" s="79">
        <v>45839</v>
      </c>
      <c r="I19" s="79">
        <v>45870</v>
      </c>
      <c r="J19" s="79">
        <v>45901</v>
      </c>
      <c r="K19" s="79">
        <v>45931</v>
      </c>
      <c r="L19" s="79">
        <v>45962</v>
      </c>
      <c r="M19" s="79">
        <v>45992</v>
      </c>
    </row>
    <row r="20" spans="1:13" x14ac:dyDescent="0.2">
      <c r="A20" s="78" t="s">
        <v>110</v>
      </c>
      <c r="B20" s="42">
        <v>31000</v>
      </c>
      <c r="C20" s="42">
        <f t="shared" ref="C20:M20" si="3">B31</f>
        <v>0</v>
      </c>
      <c r="D20" s="42">
        <f t="shared" si="3"/>
        <v>0</v>
      </c>
      <c r="E20" s="42">
        <f t="shared" si="3"/>
        <v>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76</v>
      </c>
      <c r="B21" s="42"/>
      <c r="C21" s="42"/>
      <c r="D21" s="42">
        <v>56142</v>
      </c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>
        <v>58000</v>
      </c>
      <c r="D22" s="42">
        <v>85200</v>
      </c>
      <c r="E22" s="42">
        <v>36700</v>
      </c>
      <c r="F22" s="42">
        <v>36630</v>
      </c>
      <c r="G22" s="42">
        <v>78400</v>
      </c>
      <c r="H22" s="42">
        <v>70000</v>
      </c>
      <c r="I22" s="42">
        <v>50000</v>
      </c>
      <c r="J22" s="42">
        <v>42000</v>
      </c>
      <c r="K22" s="42">
        <v>42000</v>
      </c>
      <c r="L22" s="42">
        <v>45000</v>
      </c>
      <c r="M22" s="42">
        <v>69500</v>
      </c>
    </row>
    <row r="23" spans="1:13" x14ac:dyDescent="0.2">
      <c r="A23" s="78" t="s">
        <v>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574</v>
      </c>
      <c r="B24" s="42">
        <v>41000</v>
      </c>
      <c r="C24" s="42">
        <v>49000</v>
      </c>
      <c r="D24" s="42">
        <v>49000</v>
      </c>
      <c r="E24" s="42">
        <v>49000</v>
      </c>
      <c r="F24" s="42">
        <v>49000</v>
      </c>
      <c r="G24" s="42">
        <v>49000</v>
      </c>
      <c r="H24" s="42">
        <v>49000</v>
      </c>
      <c r="I24" s="42">
        <v>56500</v>
      </c>
      <c r="J24" s="42">
        <v>56500</v>
      </c>
      <c r="K24" s="42">
        <v>56500</v>
      </c>
      <c r="L24" s="42">
        <v>56500</v>
      </c>
      <c r="M24" s="42">
        <v>56500</v>
      </c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90000</v>
      </c>
      <c r="C28" s="42">
        <v>100000</v>
      </c>
      <c r="D28" s="42">
        <v>100000</v>
      </c>
      <c r="E28" s="42">
        <v>100000</v>
      </c>
      <c r="F28" s="42">
        <v>120000</v>
      </c>
      <c r="G28" s="42">
        <v>120000</v>
      </c>
      <c r="H28" s="42">
        <v>120000</v>
      </c>
      <c r="I28" s="42">
        <v>120000</v>
      </c>
      <c r="J28" s="42">
        <v>120000</v>
      </c>
      <c r="K28" s="42">
        <v>130000</v>
      </c>
      <c r="L28" s="42">
        <v>130000</v>
      </c>
      <c r="M28" s="42">
        <v>150000</v>
      </c>
    </row>
    <row r="29" spans="1:13" x14ac:dyDescent="0.2">
      <c r="A29" s="78" t="s">
        <v>6</v>
      </c>
      <c r="B29" s="43">
        <f>SUM(B20:B28)</f>
        <v>162000</v>
      </c>
      <c r="C29" s="43">
        <f t="shared" ref="C29:M29" si="4">SUM(C20:C28)</f>
        <v>207000</v>
      </c>
      <c r="D29" s="43">
        <f t="shared" si="4"/>
        <v>290342</v>
      </c>
      <c r="E29" s="43">
        <f t="shared" si="4"/>
        <v>185700</v>
      </c>
      <c r="F29" s="43">
        <f t="shared" si="4"/>
        <v>205630</v>
      </c>
      <c r="G29" s="43">
        <f t="shared" si="4"/>
        <v>247400</v>
      </c>
      <c r="H29" s="43">
        <f t="shared" si="4"/>
        <v>239000</v>
      </c>
      <c r="I29" s="43">
        <f t="shared" si="4"/>
        <v>226500</v>
      </c>
      <c r="J29" s="43">
        <f t="shared" si="4"/>
        <v>218500</v>
      </c>
      <c r="K29" s="43">
        <f t="shared" si="4"/>
        <v>228500</v>
      </c>
      <c r="L29" s="43">
        <f t="shared" si="4"/>
        <v>231500</v>
      </c>
      <c r="M29" s="43">
        <f t="shared" si="4"/>
        <v>276000</v>
      </c>
    </row>
    <row r="30" spans="1:13" x14ac:dyDescent="0.2">
      <c r="A30" s="78" t="s">
        <v>7</v>
      </c>
      <c r="B30" s="44">
        <v>162000</v>
      </c>
      <c r="C30" s="44">
        <v>207000</v>
      </c>
      <c r="D30" s="44">
        <v>290342</v>
      </c>
      <c r="E30" s="44">
        <v>185700</v>
      </c>
      <c r="F30" s="44">
        <v>205630</v>
      </c>
      <c r="G30" s="44">
        <v>247400</v>
      </c>
      <c r="H30" s="44">
        <v>239000</v>
      </c>
      <c r="I30" s="44">
        <v>226500</v>
      </c>
      <c r="J30" s="44">
        <v>218500</v>
      </c>
      <c r="K30" s="44">
        <v>228500</v>
      </c>
      <c r="L30" s="44">
        <v>231500</v>
      </c>
      <c r="M30" s="44">
        <v>276000</v>
      </c>
    </row>
    <row r="31" spans="1:13" x14ac:dyDescent="0.2">
      <c r="A31" s="78" t="s">
        <v>111</v>
      </c>
      <c r="B31" s="43">
        <f>B29-B30</f>
        <v>0</v>
      </c>
      <c r="C31" s="43">
        <f>C29-C30</f>
        <v>0</v>
      </c>
      <c r="D31" s="43">
        <f t="shared" ref="D31:M31" si="5">D29-D30</f>
        <v>0</v>
      </c>
      <c r="E31" s="43">
        <f t="shared" si="5"/>
        <v>0</v>
      </c>
      <c r="F31" s="43">
        <f t="shared" si="5"/>
        <v>0</v>
      </c>
      <c r="G31" s="43">
        <f t="shared" si="5"/>
        <v>0</v>
      </c>
      <c r="H31" s="43">
        <f t="shared" si="5"/>
        <v>0</v>
      </c>
      <c r="I31" s="43">
        <f t="shared" si="5"/>
        <v>0</v>
      </c>
      <c r="J31" s="43">
        <f t="shared" si="5"/>
        <v>0</v>
      </c>
      <c r="K31" s="43">
        <f t="shared" si="5"/>
        <v>0</v>
      </c>
      <c r="L31" s="43">
        <f>L29-L30</f>
        <v>0</v>
      </c>
      <c r="M31" s="43">
        <f t="shared" si="5"/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2"/>
  <dimension ref="A2:M57"/>
  <sheetViews>
    <sheetView topLeftCell="A2" workbookViewId="0">
      <selection activeCell="F23" sqref="F23"/>
    </sheetView>
  </sheetViews>
  <sheetFormatPr baseColWidth="10" defaultRowHeight="12.75" x14ac:dyDescent="0.2"/>
  <cols>
    <col min="1" max="1" width="28.7109375" customWidth="1"/>
    <col min="2" max="3" width="12.85546875" bestFit="1" customWidth="1"/>
    <col min="4" max="4" width="13.7109375" customWidth="1"/>
    <col min="5" max="5" width="13.42578125" customWidth="1"/>
    <col min="6" max="6" width="13.7109375" customWidth="1"/>
    <col min="7" max="7" width="13.5703125" customWidth="1"/>
    <col min="8" max="8" width="12.85546875" bestFit="1" customWidth="1"/>
    <col min="9" max="9" width="13.140625" customWidth="1"/>
    <col min="10" max="10" width="12.85546875" bestFit="1" customWidth="1"/>
    <col min="11" max="11" width="12.7109375" customWidth="1"/>
    <col min="12" max="12" width="13.5703125" customWidth="1"/>
    <col min="13" max="13" width="12.85546875" bestFit="1" customWidth="1"/>
  </cols>
  <sheetData>
    <row r="2" spans="1:13" ht="12" customHeight="1" x14ac:dyDescent="0.2"/>
    <row r="3" spans="1:13" hidden="1" x14ac:dyDescent="0.2"/>
    <row r="4" spans="1:13" hidden="1" x14ac:dyDescent="0.2"/>
    <row r="5" spans="1:13" hidden="1" x14ac:dyDescent="0.2"/>
    <row r="6" spans="1:13" hidden="1" x14ac:dyDescent="0.2"/>
    <row r="7" spans="1:13" ht="20.25" x14ac:dyDescent="0.3">
      <c r="A7" s="11" t="s">
        <v>11</v>
      </c>
      <c r="B7" s="216" t="s">
        <v>131</v>
      </c>
      <c r="C7" s="216"/>
      <c r="D7" s="216"/>
      <c r="E7" s="216"/>
      <c r="F7" s="216"/>
      <c r="G7" s="216"/>
      <c r="H7" s="2"/>
      <c r="I7" s="2"/>
      <c r="J7" s="2"/>
      <c r="K7" s="2"/>
      <c r="L7" s="2"/>
      <c r="M7" s="2"/>
    </row>
    <row r="8" spans="1:13" ht="20.2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31" t="s">
        <v>0</v>
      </c>
      <c r="B9" s="31" t="s">
        <v>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">
      <c r="A10" s="78"/>
      <c r="B10" s="79">
        <v>46023</v>
      </c>
      <c r="C10" s="79">
        <v>46054</v>
      </c>
      <c r="D10" s="79">
        <v>46082</v>
      </c>
      <c r="E10" s="79">
        <v>46113</v>
      </c>
      <c r="F10" s="79">
        <v>46143</v>
      </c>
      <c r="G10" s="79">
        <v>46174</v>
      </c>
      <c r="H10" s="79">
        <v>46204</v>
      </c>
      <c r="I10" s="79">
        <v>46235</v>
      </c>
      <c r="J10" s="79">
        <v>46266</v>
      </c>
      <c r="K10" s="79">
        <v>46296</v>
      </c>
      <c r="L10" s="79">
        <v>46327</v>
      </c>
      <c r="M10" s="79">
        <v>46357</v>
      </c>
    </row>
    <row r="11" spans="1:13" x14ac:dyDescent="0.2">
      <c r="A11" s="78" t="s">
        <v>110</v>
      </c>
      <c r="B11" s="42">
        <v>-9800</v>
      </c>
      <c r="C11" s="42">
        <f>B22</f>
        <v>-14700</v>
      </c>
      <c r="D11" s="42">
        <f t="shared" ref="D11:J11" si="0">C22</f>
        <v>-7200</v>
      </c>
      <c r="E11" s="42">
        <f t="shared" si="0"/>
        <v>-700</v>
      </c>
      <c r="F11" s="42">
        <f t="shared" si="0"/>
        <v>526800</v>
      </c>
      <c r="G11" s="42">
        <f t="shared" si="0"/>
        <v>-15700</v>
      </c>
      <c r="H11" s="42">
        <f t="shared" si="0"/>
        <v>-15700</v>
      </c>
      <c r="I11" s="42">
        <f t="shared" si="0"/>
        <v>-15700</v>
      </c>
      <c r="J11" s="42">
        <f t="shared" si="0"/>
        <v>-15700</v>
      </c>
      <c r="K11" s="42">
        <f>J22</f>
        <v>-15700</v>
      </c>
      <c r="L11" s="42">
        <f>K22</f>
        <v>-15700</v>
      </c>
      <c r="M11" s="42">
        <f>L22</f>
        <v>-15700</v>
      </c>
    </row>
    <row r="12" spans="1:13" x14ac:dyDescent="0.2">
      <c r="A12" s="78" t="s">
        <v>308</v>
      </c>
      <c r="B12" s="42"/>
      <c r="C12" s="42">
        <v>1000000</v>
      </c>
      <c r="D12" s="42"/>
      <c r="E12" s="42">
        <v>590000</v>
      </c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4</v>
      </c>
      <c r="B14" s="42"/>
      <c r="C14" s="42">
        <v>0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73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652</v>
      </c>
      <c r="B17" s="42">
        <v>35100</v>
      </c>
      <c r="C17" s="42">
        <v>37500</v>
      </c>
      <c r="D17" s="42">
        <v>37500</v>
      </c>
      <c r="E17" s="42">
        <v>37500</v>
      </c>
      <c r="F17" s="42">
        <v>37500</v>
      </c>
      <c r="G17" s="42"/>
      <c r="H17" s="42"/>
      <c r="I17" s="42"/>
      <c r="J17" s="42"/>
      <c r="K17" s="42"/>
      <c r="L17" s="42"/>
      <c r="M17" s="42"/>
    </row>
    <row r="18" spans="1:13" x14ac:dyDescent="0.2">
      <c r="A18" s="78" t="s">
        <v>75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2">
      <c r="A19" s="78" t="s">
        <v>5</v>
      </c>
      <c r="B19" s="42">
        <v>160000</v>
      </c>
      <c r="C19" s="42">
        <v>180000</v>
      </c>
      <c r="D19" s="42">
        <v>190000</v>
      </c>
      <c r="E19" s="42">
        <v>200000</v>
      </c>
      <c r="F19" s="42">
        <v>200000</v>
      </c>
      <c r="G19" s="42"/>
      <c r="H19" s="42"/>
      <c r="I19" s="42"/>
      <c r="J19" s="42"/>
      <c r="K19" s="42"/>
      <c r="L19" s="42"/>
      <c r="M19" s="42"/>
    </row>
    <row r="20" spans="1:13" x14ac:dyDescent="0.2">
      <c r="A20" s="78" t="s">
        <v>6</v>
      </c>
      <c r="B20" s="43">
        <f>SUM(B11:B19)</f>
        <v>185300</v>
      </c>
      <c r="C20" s="43">
        <f t="shared" ref="C20:M20" si="1">SUM(C11:C19)</f>
        <v>1202800</v>
      </c>
      <c r="D20" s="43">
        <f t="shared" si="1"/>
        <v>220300</v>
      </c>
      <c r="E20" s="43">
        <f t="shared" si="1"/>
        <v>826800</v>
      </c>
      <c r="F20" s="43">
        <f t="shared" si="1"/>
        <v>764300</v>
      </c>
      <c r="G20" s="43">
        <f t="shared" si="1"/>
        <v>-15700</v>
      </c>
      <c r="H20" s="43">
        <f t="shared" si="1"/>
        <v>-15700</v>
      </c>
      <c r="I20" s="43">
        <f t="shared" si="1"/>
        <v>-15700</v>
      </c>
      <c r="J20" s="43">
        <f t="shared" si="1"/>
        <v>-15700</v>
      </c>
      <c r="K20" s="43">
        <f t="shared" si="1"/>
        <v>-15700</v>
      </c>
      <c r="L20" s="43">
        <f t="shared" si="1"/>
        <v>-15700</v>
      </c>
      <c r="M20" s="43">
        <f t="shared" si="1"/>
        <v>-15700</v>
      </c>
    </row>
    <row r="21" spans="1:13" x14ac:dyDescent="0.2">
      <c r="A21" s="78" t="s">
        <v>7</v>
      </c>
      <c r="B21" s="44">
        <v>200000</v>
      </c>
      <c r="C21" s="44">
        <f>210000+1000000</f>
        <v>1210000</v>
      </c>
      <c r="D21" s="44">
        <v>221000</v>
      </c>
      <c r="E21" s="44">
        <v>300000</v>
      </c>
      <c r="F21" s="44">
        <v>780000</v>
      </c>
      <c r="G21" s="44"/>
      <c r="H21" s="44"/>
      <c r="I21" s="44"/>
      <c r="J21" s="44"/>
      <c r="K21" s="44"/>
      <c r="L21" s="44"/>
      <c r="M21" s="44"/>
    </row>
    <row r="22" spans="1:13" x14ac:dyDescent="0.2">
      <c r="A22" s="78" t="s">
        <v>111</v>
      </c>
      <c r="B22" s="43">
        <f>B20-B21</f>
        <v>-14700</v>
      </c>
      <c r="C22" s="43">
        <f>C20-C21</f>
        <v>-7200</v>
      </c>
      <c r="D22" s="43">
        <f t="shared" ref="D22:M22" si="2">D20-D21</f>
        <v>-700</v>
      </c>
      <c r="E22" s="43">
        <f t="shared" si="2"/>
        <v>526800</v>
      </c>
      <c r="F22" s="43">
        <f t="shared" si="2"/>
        <v>-15700</v>
      </c>
      <c r="G22" s="43">
        <f t="shared" si="2"/>
        <v>-15700</v>
      </c>
      <c r="H22" s="43">
        <f t="shared" si="2"/>
        <v>-15700</v>
      </c>
      <c r="I22" s="43">
        <f t="shared" si="2"/>
        <v>-15700</v>
      </c>
      <c r="J22" s="43">
        <f t="shared" si="2"/>
        <v>-15700</v>
      </c>
      <c r="K22" s="43">
        <f t="shared" si="2"/>
        <v>-15700</v>
      </c>
      <c r="L22" s="43">
        <f t="shared" si="2"/>
        <v>-15700</v>
      </c>
      <c r="M22" s="43">
        <f t="shared" si="2"/>
        <v>-15700</v>
      </c>
    </row>
    <row r="27" spans="1:13" ht="15.75" x14ac:dyDescent="0.25">
      <c r="A27" s="32" t="s">
        <v>0</v>
      </c>
      <c r="B27" s="32" t="s">
        <v>1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 x14ac:dyDescent="0.2">
      <c r="A28" s="81"/>
      <c r="B28" s="82">
        <v>45658</v>
      </c>
      <c r="C28" s="82">
        <v>45689</v>
      </c>
      <c r="D28" s="82">
        <v>45717</v>
      </c>
      <c r="E28" s="82">
        <v>45748</v>
      </c>
      <c r="F28" s="82">
        <v>45778</v>
      </c>
      <c r="G28" s="82">
        <v>45809</v>
      </c>
      <c r="H28" s="82">
        <v>45839</v>
      </c>
      <c r="I28" s="82">
        <v>45870</v>
      </c>
      <c r="J28" s="82">
        <v>45901</v>
      </c>
      <c r="K28" s="82">
        <v>45931</v>
      </c>
      <c r="L28" s="82">
        <v>45962</v>
      </c>
      <c r="M28" s="82">
        <v>45992</v>
      </c>
    </row>
    <row r="29" spans="1:13" x14ac:dyDescent="0.2">
      <c r="A29" s="78" t="s">
        <v>110</v>
      </c>
      <c r="B29" s="42"/>
      <c r="C29" s="42">
        <f t="shared" ref="C29:M29" si="3">B40</f>
        <v>-200</v>
      </c>
      <c r="D29" s="42">
        <f t="shared" si="3"/>
        <v>-16500</v>
      </c>
      <c r="E29" s="42">
        <f t="shared" si="3"/>
        <v>-6900</v>
      </c>
      <c r="F29" s="42">
        <f t="shared" si="3"/>
        <v>132800</v>
      </c>
      <c r="G29" s="42">
        <f t="shared" si="3"/>
        <v>-7500</v>
      </c>
      <c r="H29" s="42">
        <f t="shared" si="3"/>
        <v>-7800</v>
      </c>
      <c r="I29" s="42">
        <f t="shared" si="3"/>
        <v>61900</v>
      </c>
      <c r="J29" s="42">
        <f t="shared" si="3"/>
        <v>-3100</v>
      </c>
      <c r="K29" s="42">
        <f t="shared" si="3"/>
        <v>-18100</v>
      </c>
      <c r="L29" s="42">
        <f t="shared" si="3"/>
        <v>0</v>
      </c>
      <c r="M29" s="42">
        <f t="shared" si="3"/>
        <v>-4900</v>
      </c>
    </row>
    <row r="30" spans="1:13" x14ac:dyDescent="0.2">
      <c r="A30" s="78" t="s">
        <v>76</v>
      </c>
      <c r="B30" s="42"/>
      <c r="C30" s="42"/>
      <c r="D30" s="42">
        <v>80000</v>
      </c>
      <c r="E30" s="42"/>
      <c r="F30" s="42"/>
      <c r="G30" s="42">
        <v>210000</v>
      </c>
      <c r="H30" s="42">
        <f>420000</f>
        <v>420000</v>
      </c>
      <c r="I30" s="42"/>
      <c r="J30" s="42"/>
      <c r="K30" s="42"/>
      <c r="L30" s="42"/>
      <c r="M30" s="42"/>
    </row>
    <row r="31" spans="1:13" x14ac:dyDescent="0.2">
      <c r="A31" s="78" t="s">
        <v>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73</v>
      </c>
      <c r="B34" s="42">
        <v>588000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74</v>
      </c>
      <c r="B35" s="42">
        <v>17800</v>
      </c>
      <c r="C35" s="42">
        <v>28700</v>
      </c>
      <c r="D35" s="42">
        <v>29600</v>
      </c>
      <c r="E35" s="42">
        <v>29700</v>
      </c>
      <c r="F35" s="42">
        <v>29700</v>
      </c>
      <c r="G35" s="42">
        <v>29700</v>
      </c>
      <c r="H35" s="42">
        <v>29700</v>
      </c>
      <c r="I35" s="42">
        <v>35000</v>
      </c>
      <c r="J35" s="42">
        <v>35000</v>
      </c>
      <c r="K35" s="42">
        <v>35100</v>
      </c>
      <c r="L35" s="42">
        <v>35100</v>
      </c>
      <c r="M35" s="42">
        <v>35100</v>
      </c>
    </row>
    <row r="36" spans="1:13" x14ac:dyDescent="0.2">
      <c r="A36" s="78" t="s">
        <v>75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x14ac:dyDescent="0.2">
      <c r="A37" s="78" t="s">
        <v>5</v>
      </c>
      <c r="B37" s="42">
        <v>95000</v>
      </c>
      <c r="C37" s="42">
        <v>95000</v>
      </c>
      <c r="D37" s="42">
        <v>100000</v>
      </c>
      <c r="E37" s="42">
        <v>110000</v>
      </c>
      <c r="F37" s="42">
        <v>110000</v>
      </c>
      <c r="G37" s="42">
        <v>120000</v>
      </c>
      <c r="H37" s="42">
        <v>120000</v>
      </c>
      <c r="I37" s="42">
        <v>150000</v>
      </c>
      <c r="J37" s="42">
        <v>150000</v>
      </c>
      <c r="K37" s="42">
        <v>150000</v>
      </c>
      <c r="L37" s="42">
        <v>150000</v>
      </c>
      <c r="M37" s="42">
        <v>160000</v>
      </c>
    </row>
    <row r="38" spans="1:13" x14ac:dyDescent="0.2">
      <c r="A38" s="78" t="s">
        <v>6</v>
      </c>
      <c r="B38" s="43">
        <f t="shared" ref="B38:M38" si="4">SUM(B29:B37)</f>
        <v>700800</v>
      </c>
      <c r="C38" s="43">
        <f t="shared" si="4"/>
        <v>123500</v>
      </c>
      <c r="D38" s="43">
        <f t="shared" si="4"/>
        <v>193100</v>
      </c>
      <c r="E38" s="43">
        <f t="shared" si="4"/>
        <v>132800</v>
      </c>
      <c r="F38" s="43">
        <f t="shared" si="4"/>
        <v>272500</v>
      </c>
      <c r="G38" s="43">
        <f t="shared" si="4"/>
        <v>352200</v>
      </c>
      <c r="H38" s="43">
        <f t="shared" si="4"/>
        <v>561900</v>
      </c>
      <c r="I38" s="43">
        <f t="shared" si="4"/>
        <v>246900</v>
      </c>
      <c r="J38" s="43">
        <f t="shared" si="4"/>
        <v>181900</v>
      </c>
      <c r="K38" s="43">
        <f t="shared" si="4"/>
        <v>167000</v>
      </c>
      <c r="L38" s="43">
        <f t="shared" si="4"/>
        <v>185100</v>
      </c>
      <c r="M38" s="43">
        <f t="shared" si="4"/>
        <v>190200</v>
      </c>
    </row>
    <row r="39" spans="1:13" ht="13.5" thickBot="1" x14ac:dyDescent="0.25">
      <c r="A39" s="78" t="s">
        <v>7</v>
      </c>
      <c r="B39" s="44">
        <v>701000</v>
      </c>
      <c r="C39" s="44">
        <v>140000</v>
      </c>
      <c r="D39" s="44">
        <v>200000</v>
      </c>
      <c r="E39" s="44"/>
      <c r="F39" s="44">
        <v>280000</v>
      </c>
      <c r="G39" s="44">
        <f>290000+70000</f>
        <v>360000</v>
      </c>
      <c r="H39" s="44">
        <v>500000</v>
      </c>
      <c r="I39" s="44">
        <v>250000</v>
      </c>
      <c r="J39" s="44">
        <v>200000</v>
      </c>
      <c r="K39" s="44">
        <v>167000</v>
      </c>
      <c r="L39" s="44">
        <v>190000</v>
      </c>
      <c r="M39" s="44">
        <v>200000</v>
      </c>
    </row>
    <row r="40" spans="1:13" ht="13.5" thickBot="1" x14ac:dyDescent="0.25">
      <c r="A40" s="78" t="s">
        <v>111</v>
      </c>
      <c r="B40" s="45">
        <f t="shared" ref="B40:M40" si="5">B38-B39</f>
        <v>-200</v>
      </c>
      <c r="C40" s="46">
        <f t="shared" si="5"/>
        <v>-16500</v>
      </c>
      <c r="D40" s="46">
        <f t="shared" si="5"/>
        <v>-6900</v>
      </c>
      <c r="E40" s="46">
        <f t="shared" si="5"/>
        <v>132800</v>
      </c>
      <c r="F40" s="46">
        <f t="shared" si="5"/>
        <v>-7500</v>
      </c>
      <c r="G40" s="46">
        <f t="shared" si="5"/>
        <v>-7800</v>
      </c>
      <c r="H40" s="46">
        <f t="shared" si="5"/>
        <v>61900</v>
      </c>
      <c r="I40" s="46">
        <f t="shared" si="5"/>
        <v>-3100</v>
      </c>
      <c r="J40" s="46">
        <f t="shared" si="5"/>
        <v>-18100</v>
      </c>
      <c r="K40" s="46">
        <f t="shared" si="5"/>
        <v>0</v>
      </c>
      <c r="L40" s="46">
        <f t="shared" si="5"/>
        <v>-4900</v>
      </c>
      <c r="M40" s="47">
        <f t="shared" si="5"/>
        <v>-9800</v>
      </c>
    </row>
    <row r="41" spans="1:13" x14ac:dyDescent="0.2">
      <c r="C41" s="128">
        <v>44293</v>
      </c>
      <c r="L41" s="128"/>
    </row>
    <row r="44" spans="1:13" ht="15.75" x14ac:dyDescent="0.25">
      <c r="A44" s="32" t="s">
        <v>0</v>
      </c>
      <c r="B44" s="32" t="s">
        <v>1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13" x14ac:dyDescent="0.2">
      <c r="A45" s="81"/>
      <c r="B45" s="82">
        <v>40544</v>
      </c>
      <c r="C45" s="82">
        <v>40575</v>
      </c>
      <c r="D45" s="82">
        <v>40603</v>
      </c>
      <c r="E45" s="82">
        <v>40634</v>
      </c>
      <c r="F45" s="82">
        <v>40664</v>
      </c>
      <c r="G45" s="82">
        <v>40695</v>
      </c>
      <c r="H45" s="82">
        <v>40725</v>
      </c>
      <c r="I45" s="82">
        <v>40756</v>
      </c>
      <c r="J45" s="82">
        <v>40787</v>
      </c>
      <c r="K45" s="82">
        <v>40817</v>
      </c>
      <c r="L45" s="82">
        <v>40848</v>
      </c>
      <c r="M45" s="82">
        <v>40878</v>
      </c>
    </row>
    <row r="46" spans="1:13" x14ac:dyDescent="0.2">
      <c r="A46" s="78" t="s">
        <v>110</v>
      </c>
      <c r="B46" s="42">
        <v>8792</v>
      </c>
      <c r="C46" s="42">
        <f t="shared" ref="C46:M46" si="6">B57</f>
        <v>11612</v>
      </c>
      <c r="D46" s="42">
        <f t="shared" si="6"/>
        <v>11612</v>
      </c>
      <c r="E46" s="42">
        <f t="shared" si="6"/>
        <v>11612</v>
      </c>
      <c r="F46" s="42">
        <f t="shared" si="6"/>
        <v>11612</v>
      </c>
      <c r="G46" s="42">
        <f t="shared" si="6"/>
        <v>11612</v>
      </c>
      <c r="H46" s="42">
        <f t="shared" si="6"/>
        <v>11612</v>
      </c>
      <c r="I46" s="42">
        <f t="shared" si="6"/>
        <v>11612</v>
      </c>
      <c r="J46" s="42">
        <f t="shared" si="6"/>
        <v>11612</v>
      </c>
      <c r="K46" s="42">
        <f t="shared" si="6"/>
        <v>11612</v>
      </c>
      <c r="L46" s="42">
        <f t="shared" si="6"/>
        <v>11612</v>
      </c>
      <c r="M46" s="42">
        <f t="shared" si="6"/>
        <v>11612</v>
      </c>
    </row>
    <row r="47" spans="1:13" x14ac:dyDescent="0.2">
      <c r="A47" s="78" t="s">
        <v>2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3</v>
      </c>
      <c r="B48" s="42">
        <v>820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4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9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73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 t="s">
        <v>74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2">
      <c r="A53" s="78" t="s">
        <v>75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x14ac:dyDescent="0.2">
      <c r="A54" s="78" t="s">
        <v>5</v>
      </c>
      <c r="B54" s="42">
        <v>2000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1:13" x14ac:dyDescent="0.2">
      <c r="A55" s="78" t="s">
        <v>6</v>
      </c>
      <c r="B55" s="43">
        <f t="shared" ref="B55:M55" si="7">SUM(B46:B54)</f>
        <v>11612</v>
      </c>
      <c r="C55" s="43">
        <f t="shared" si="7"/>
        <v>11612</v>
      </c>
      <c r="D55" s="43">
        <f t="shared" si="7"/>
        <v>11612</v>
      </c>
      <c r="E55" s="43">
        <f t="shared" si="7"/>
        <v>11612</v>
      </c>
      <c r="F55" s="43">
        <f t="shared" si="7"/>
        <v>11612</v>
      </c>
      <c r="G55" s="43">
        <f t="shared" si="7"/>
        <v>11612</v>
      </c>
      <c r="H55" s="43">
        <f t="shared" si="7"/>
        <v>11612</v>
      </c>
      <c r="I55" s="43">
        <f t="shared" si="7"/>
        <v>11612</v>
      </c>
      <c r="J55" s="43">
        <f t="shared" si="7"/>
        <v>11612</v>
      </c>
      <c r="K55" s="43">
        <f t="shared" si="7"/>
        <v>11612</v>
      </c>
      <c r="L55" s="43">
        <f t="shared" si="7"/>
        <v>11612</v>
      </c>
      <c r="M55" s="43">
        <f t="shared" si="7"/>
        <v>11612</v>
      </c>
    </row>
    <row r="56" spans="1:13" ht="13.5" thickBot="1" x14ac:dyDescent="0.25">
      <c r="A56" s="78" t="s">
        <v>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</row>
    <row r="57" spans="1:13" ht="13.5" thickBot="1" x14ac:dyDescent="0.25">
      <c r="A57" s="78" t="s">
        <v>111</v>
      </c>
      <c r="B57" s="45">
        <f t="shared" ref="B57:M57" si="8">B55-B56</f>
        <v>11612</v>
      </c>
      <c r="C57" s="46">
        <f t="shared" si="8"/>
        <v>11612</v>
      </c>
      <c r="D57" s="46">
        <f t="shared" si="8"/>
        <v>11612</v>
      </c>
      <c r="E57" s="46">
        <f t="shared" si="8"/>
        <v>11612</v>
      </c>
      <c r="F57" s="46">
        <f t="shared" si="8"/>
        <v>11612</v>
      </c>
      <c r="G57" s="46">
        <f t="shared" si="8"/>
        <v>11612</v>
      </c>
      <c r="H57" s="46">
        <f t="shared" si="8"/>
        <v>11612</v>
      </c>
      <c r="I57" s="46">
        <f t="shared" si="8"/>
        <v>11612</v>
      </c>
      <c r="J57" s="46">
        <f t="shared" si="8"/>
        <v>11612</v>
      </c>
      <c r="K57" s="46">
        <f t="shared" si="8"/>
        <v>11612</v>
      </c>
      <c r="L57" s="46">
        <f t="shared" si="8"/>
        <v>11612</v>
      </c>
      <c r="M57" s="47">
        <f t="shared" si="8"/>
        <v>11612</v>
      </c>
    </row>
  </sheetData>
  <mergeCells count="1">
    <mergeCell ref="B7:G7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3"/>
  <dimension ref="A1:M68"/>
  <sheetViews>
    <sheetView topLeftCell="A16" zoomScaleNormal="100" workbookViewId="0">
      <selection activeCell="B33" sqref="B33"/>
    </sheetView>
  </sheetViews>
  <sheetFormatPr baseColWidth="10" defaultRowHeight="20.25" x14ac:dyDescent="0.3"/>
  <cols>
    <col min="1" max="1" width="26.28515625" style="2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1.5703125" style="2" customWidth="1"/>
    <col min="6" max="6" width="11.42578125" style="2"/>
    <col min="7" max="7" width="11.140625" style="2" bestFit="1" customWidth="1"/>
    <col min="8" max="8" width="11.140625" style="2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134</v>
      </c>
      <c r="C2" s="216"/>
      <c r="D2" s="216"/>
      <c r="E2" s="216"/>
      <c r="F2" s="216"/>
      <c r="G2" s="216"/>
    </row>
    <row r="4" spans="1:13" x14ac:dyDescent="0.3">
      <c r="A4"/>
      <c r="B4"/>
      <c r="C4"/>
      <c r="D4"/>
      <c r="E4"/>
      <c r="F4"/>
      <c r="G4"/>
      <c r="H4"/>
      <c r="I4"/>
      <c r="J4"/>
      <c r="K4"/>
      <c r="L4"/>
      <c r="M4"/>
    </row>
    <row r="5" spans="1:13" x14ac:dyDescent="0.3">
      <c r="A5"/>
      <c r="B5"/>
      <c r="C5"/>
      <c r="D5"/>
      <c r="E5"/>
      <c r="F5"/>
      <c r="G5"/>
      <c r="H5"/>
      <c r="I5"/>
      <c r="J5"/>
      <c r="K5"/>
      <c r="L5"/>
      <c r="M5"/>
    </row>
    <row r="6" spans="1:13" x14ac:dyDescent="0.3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x14ac:dyDescent="0.3">
      <c r="A7" s="78"/>
      <c r="B7" s="79">
        <v>45658</v>
      </c>
      <c r="C7" s="79">
        <v>45689</v>
      </c>
      <c r="D7" s="79">
        <v>45717</v>
      </c>
      <c r="E7" s="79">
        <v>45748</v>
      </c>
      <c r="F7" s="79">
        <v>45778</v>
      </c>
      <c r="G7" s="79">
        <v>45809</v>
      </c>
      <c r="H7" s="79">
        <v>45839</v>
      </c>
      <c r="I7" s="79">
        <v>45870</v>
      </c>
      <c r="J7" s="79">
        <v>45901</v>
      </c>
      <c r="K7" s="79">
        <v>45931</v>
      </c>
      <c r="L7" s="79">
        <v>45962</v>
      </c>
      <c r="M7" s="79">
        <v>45992</v>
      </c>
    </row>
    <row r="8" spans="1:13" x14ac:dyDescent="0.3">
      <c r="A8" s="78" t="s">
        <v>110</v>
      </c>
      <c r="B8" s="42">
        <v>0</v>
      </c>
      <c r="C8" s="42">
        <f>B19</f>
        <v>6320</v>
      </c>
      <c r="D8" s="42">
        <f t="shared" ref="D8:J8" si="0">C19</f>
        <v>14640</v>
      </c>
      <c r="E8" s="42">
        <f t="shared" si="0"/>
        <v>27270</v>
      </c>
      <c r="F8" s="42">
        <f t="shared" si="0"/>
        <v>39900</v>
      </c>
      <c r="G8" s="42">
        <f t="shared" si="0"/>
        <v>52530</v>
      </c>
      <c r="H8" s="42">
        <f t="shared" si="0"/>
        <v>65160</v>
      </c>
      <c r="I8" s="42">
        <f t="shared" si="0"/>
        <v>77790</v>
      </c>
      <c r="J8" s="42">
        <f t="shared" si="0"/>
        <v>0</v>
      </c>
      <c r="K8" s="42">
        <f>J19</f>
        <v>12630</v>
      </c>
      <c r="L8" s="42">
        <f>K19</f>
        <v>0</v>
      </c>
      <c r="M8" s="42">
        <f>L19</f>
        <v>16020</v>
      </c>
    </row>
    <row r="9" spans="1:13" x14ac:dyDescent="0.3">
      <c r="A9" s="78" t="s">
        <v>76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3</v>
      </c>
      <c r="B10" s="42">
        <v>2320</v>
      </c>
      <c r="C10" s="42">
        <v>2320</v>
      </c>
      <c r="D10" s="42">
        <v>4630</v>
      </c>
      <c r="E10" s="42">
        <v>4630</v>
      </c>
      <c r="F10" s="42">
        <v>4630</v>
      </c>
      <c r="G10" s="42">
        <v>4630</v>
      </c>
      <c r="H10" s="42">
        <v>4630</v>
      </c>
      <c r="I10" s="42">
        <v>4630</v>
      </c>
      <c r="J10" s="42">
        <v>4630</v>
      </c>
      <c r="K10" s="42">
        <v>4630</v>
      </c>
      <c r="L10" s="42">
        <v>6020</v>
      </c>
      <c r="M10" s="42">
        <v>6020</v>
      </c>
    </row>
    <row r="11" spans="1:13" x14ac:dyDescent="0.3">
      <c r="A11" s="78" t="s">
        <v>4</v>
      </c>
      <c r="B11" s="42" t="s">
        <v>551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75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3">
      <c r="A16" s="78" t="s">
        <v>5</v>
      </c>
      <c r="B16" s="42">
        <v>4000</v>
      </c>
      <c r="C16" s="42">
        <v>6000</v>
      </c>
      <c r="D16" s="42">
        <v>8000</v>
      </c>
      <c r="E16" s="42">
        <v>8000</v>
      </c>
      <c r="F16" s="42">
        <v>8000</v>
      </c>
      <c r="G16" s="42">
        <v>8000</v>
      </c>
      <c r="H16" s="42">
        <v>8000</v>
      </c>
      <c r="I16" s="42">
        <v>8000</v>
      </c>
      <c r="J16" s="42">
        <v>8000</v>
      </c>
      <c r="K16" s="42">
        <v>8000</v>
      </c>
      <c r="L16" s="42">
        <v>10000</v>
      </c>
      <c r="M16" s="42">
        <v>10000</v>
      </c>
    </row>
    <row r="17" spans="1:13" x14ac:dyDescent="0.3">
      <c r="A17" s="78" t="s">
        <v>6</v>
      </c>
      <c r="B17" s="43">
        <f>SUM(B8:B16)</f>
        <v>6320</v>
      </c>
      <c r="C17" s="43">
        <f t="shared" ref="C17:M17" si="1">SUM(C8:C16)</f>
        <v>14640</v>
      </c>
      <c r="D17" s="43">
        <f t="shared" si="1"/>
        <v>27270</v>
      </c>
      <c r="E17" s="43">
        <f t="shared" si="1"/>
        <v>39900</v>
      </c>
      <c r="F17" s="43">
        <f t="shared" si="1"/>
        <v>52530</v>
      </c>
      <c r="G17" s="43">
        <f t="shared" si="1"/>
        <v>65160</v>
      </c>
      <c r="H17" s="43">
        <f t="shared" si="1"/>
        <v>77790</v>
      </c>
      <c r="I17" s="43">
        <f t="shared" si="1"/>
        <v>90420</v>
      </c>
      <c r="J17" s="43">
        <f t="shared" si="1"/>
        <v>12630</v>
      </c>
      <c r="K17" s="43">
        <f t="shared" si="1"/>
        <v>25260</v>
      </c>
      <c r="L17" s="43">
        <f t="shared" si="1"/>
        <v>16020</v>
      </c>
      <c r="M17" s="43">
        <f t="shared" si="1"/>
        <v>32040</v>
      </c>
    </row>
    <row r="18" spans="1:13" x14ac:dyDescent="0.3">
      <c r="A18" s="78" t="s">
        <v>7</v>
      </c>
      <c r="B18" s="44"/>
      <c r="C18" s="44"/>
      <c r="D18" s="44"/>
      <c r="E18" s="44"/>
      <c r="F18" s="44"/>
      <c r="G18" s="44">
        <v>0</v>
      </c>
      <c r="H18" s="44"/>
      <c r="I18" s="44">
        <v>90420</v>
      </c>
      <c r="J18" s="44">
        <v>0</v>
      </c>
      <c r="K18" s="44">
        <v>25260</v>
      </c>
      <c r="L18" s="44">
        <v>0</v>
      </c>
      <c r="M18" s="44"/>
    </row>
    <row r="19" spans="1:13" x14ac:dyDescent="0.3">
      <c r="A19" s="78" t="s">
        <v>111</v>
      </c>
      <c r="B19" s="43">
        <f>B17-B18</f>
        <v>6320</v>
      </c>
      <c r="C19" s="43">
        <f>C17-C18</f>
        <v>14640</v>
      </c>
      <c r="D19" s="43">
        <f t="shared" ref="D19:M19" si="2">D17-D18</f>
        <v>27270</v>
      </c>
      <c r="E19" s="43">
        <f t="shared" si="2"/>
        <v>39900</v>
      </c>
      <c r="F19" s="43">
        <f t="shared" si="2"/>
        <v>52530</v>
      </c>
      <c r="G19" s="43">
        <f t="shared" si="2"/>
        <v>65160</v>
      </c>
      <c r="H19" s="43">
        <f t="shared" si="2"/>
        <v>77790</v>
      </c>
      <c r="I19" s="43">
        <f t="shared" si="2"/>
        <v>0</v>
      </c>
      <c r="J19" s="43">
        <f t="shared" si="2"/>
        <v>12630</v>
      </c>
      <c r="K19" s="43">
        <f t="shared" si="2"/>
        <v>0</v>
      </c>
      <c r="L19" s="43">
        <f t="shared" si="2"/>
        <v>16020</v>
      </c>
      <c r="M19" s="43">
        <f t="shared" si="2"/>
        <v>32040</v>
      </c>
    </row>
    <row r="20" spans="1:13" x14ac:dyDescent="0.3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3">
      <c r="A21" s="80" t="s">
        <v>0</v>
      </c>
      <c r="B21" s="80" t="s">
        <v>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x14ac:dyDescent="0.3">
      <c r="A22" s="81"/>
      <c r="B22" s="82">
        <v>46023</v>
      </c>
      <c r="C22" s="82">
        <v>46054</v>
      </c>
      <c r="D22" s="82">
        <v>46082</v>
      </c>
      <c r="E22" s="82">
        <v>46113</v>
      </c>
      <c r="F22" s="82">
        <v>46143</v>
      </c>
      <c r="G22" s="82">
        <v>46174</v>
      </c>
      <c r="H22" s="82">
        <v>46204</v>
      </c>
      <c r="I22" s="82">
        <v>46235</v>
      </c>
      <c r="J22" s="82">
        <v>46266</v>
      </c>
      <c r="K22" s="82">
        <v>46296</v>
      </c>
      <c r="L22" s="82">
        <v>46327</v>
      </c>
      <c r="M22" s="82">
        <v>46357</v>
      </c>
    </row>
    <row r="23" spans="1:13" x14ac:dyDescent="0.3">
      <c r="A23" s="78" t="s">
        <v>110</v>
      </c>
      <c r="B23" s="42">
        <v>32040</v>
      </c>
      <c r="C23" s="42">
        <f t="shared" ref="C23:M23" si="3">B34</f>
        <v>48060</v>
      </c>
      <c r="D23" s="42">
        <f t="shared" si="3"/>
        <v>64080</v>
      </c>
      <c r="E23" s="42">
        <f t="shared" si="3"/>
        <v>80100</v>
      </c>
      <c r="F23" s="42">
        <f t="shared" si="3"/>
        <v>96120</v>
      </c>
      <c r="G23" s="42">
        <f t="shared" si="3"/>
        <v>112140</v>
      </c>
      <c r="H23" s="42">
        <f t="shared" si="3"/>
        <v>112140</v>
      </c>
      <c r="I23" s="42">
        <f t="shared" si="3"/>
        <v>112140</v>
      </c>
      <c r="J23" s="42">
        <f t="shared" si="3"/>
        <v>112140</v>
      </c>
      <c r="K23" s="42">
        <f t="shared" si="3"/>
        <v>112140</v>
      </c>
      <c r="L23" s="42">
        <f t="shared" si="3"/>
        <v>112140</v>
      </c>
      <c r="M23" s="42">
        <f t="shared" si="3"/>
        <v>112140</v>
      </c>
    </row>
    <row r="24" spans="1:13" x14ac:dyDescent="0.3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3</v>
      </c>
      <c r="B25" s="42">
        <v>6020</v>
      </c>
      <c r="C25" s="42">
        <v>6020</v>
      </c>
      <c r="D25" s="42">
        <v>6020</v>
      </c>
      <c r="E25" s="42">
        <v>6020</v>
      </c>
      <c r="F25" s="42">
        <v>6020</v>
      </c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5</v>
      </c>
      <c r="B31" s="42">
        <v>10000</v>
      </c>
      <c r="C31" s="42">
        <v>10000</v>
      </c>
      <c r="D31" s="42">
        <v>10000</v>
      </c>
      <c r="E31" s="42">
        <v>10000</v>
      </c>
      <c r="F31" s="42">
        <v>10000</v>
      </c>
      <c r="G31" s="42"/>
      <c r="H31" s="42"/>
      <c r="I31" s="42"/>
      <c r="J31" s="42"/>
      <c r="K31" s="42"/>
      <c r="L31" s="42"/>
      <c r="M31" s="42"/>
    </row>
    <row r="32" spans="1:13" x14ac:dyDescent="0.3">
      <c r="A32" s="78" t="s">
        <v>6</v>
      </c>
      <c r="B32" s="43">
        <f t="shared" ref="B32:M32" si="4">SUM(B23:B31)</f>
        <v>48060</v>
      </c>
      <c r="C32" s="43">
        <f t="shared" si="4"/>
        <v>64080</v>
      </c>
      <c r="D32" s="43">
        <f t="shared" si="4"/>
        <v>80100</v>
      </c>
      <c r="E32" s="43">
        <f t="shared" si="4"/>
        <v>96120</v>
      </c>
      <c r="F32" s="43">
        <f t="shared" si="4"/>
        <v>112140</v>
      </c>
      <c r="G32" s="43">
        <f t="shared" si="4"/>
        <v>112140</v>
      </c>
      <c r="H32" s="43">
        <f t="shared" si="4"/>
        <v>112140</v>
      </c>
      <c r="I32" s="43">
        <f t="shared" si="4"/>
        <v>112140</v>
      </c>
      <c r="J32" s="43">
        <f t="shared" si="4"/>
        <v>112140</v>
      </c>
      <c r="K32" s="43">
        <f t="shared" si="4"/>
        <v>112140</v>
      </c>
      <c r="L32" s="43">
        <f t="shared" si="4"/>
        <v>112140</v>
      </c>
      <c r="M32" s="43">
        <f t="shared" si="4"/>
        <v>112140</v>
      </c>
    </row>
    <row r="33" spans="1:13" ht="21" thickBot="1" x14ac:dyDescent="0.35">
      <c r="A33" s="78" t="s">
        <v>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13" ht="21" thickBot="1" x14ac:dyDescent="0.35">
      <c r="A34" s="78" t="s">
        <v>111</v>
      </c>
      <c r="B34" s="45">
        <f t="shared" ref="B34:M34" si="5">B32-B33</f>
        <v>48060</v>
      </c>
      <c r="C34" s="46">
        <f t="shared" si="5"/>
        <v>64080</v>
      </c>
      <c r="D34" s="46">
        <f t="shared" si="5"/>
        <v>80100</v>
      </c>
      <c r="E34" s="46">
        <f t="shared" si="5"/>
        <v>96120</v>
      </c>
      <c r="F34" s="46">
        <f t="shared" si="5"/>
        <v>112140</v>
      </c>
      <c r="G34" s="46">
        <f t="shared" si="5"/>
        <v>112140</v>
      </c>
      <c r="H34" s="46">
        <f t="shared" si="5"/>
        <v>112140</v>
      </c>
      <c r="I34" s="46">
        <f t="shared" si="5"/>
        <v>112140</v>
      </c>
      <c r="J34" s="46">
        <f t="shared" si="5"/>
        <v>112140</v>
      </c>
      <c r="K34" s="46">
        <f t="shared" si="5"/>
        <v>112140</v>
      </c>
      <c r="L34" s="46">
        <f t="shared" si="5"/>
        <v>112140</v>
      </c>
      <c r="M34" s="47">
        <f t="shared" si="5"/>
        <v>112140</v>
      </c>
    </row>
    <row r="35" spans="1:13" x14ac:dyDescent="0.3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</row>
    <row r="36" spans="1:13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x14ac:dyDescent="0.3">
      <c r="A37" s="50" t="s">
        <v>0</v>
      </c>
      <c r="B37" s="50" t="s">
        <v>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x14ac:dyDescent="0.3">
      <c r="A38" s="78"/>
      <c r="B38" s="79">
        <v>43831</v>
      </c>
      <c r="C38" s="79">
        <v>43862</v>
      </c>
      <c r="D38" s="79">
        <v>43891</v>
      </c>
      <c r="E38" s="79">
        <v>43922</v>
      </c>
      <c r="F38" s="79">
        <v>43952</v>
      </c>
      <c r="G38" s="79">
        <v>43983</v>
      </c>
      <c r="H38" s="79">
        <v>44013</v>
      </c>
      <c r="I38" s="79">
        <v>44044</v>
      </c>
      <c r="J38" s="79">
        <v>44075</v>
      </c>
      <c r="K38" s="79">
        <v>44105</v>
      </c>
      <c r="L38" s="79">
        <v>44136</v>
      </c>
      <c r="M38" s="79">
        <v>44166</v>
      </c>
    </row>
    <row r="39" spans="1:13" x14ac:dyDescent="0.3">
      <c r="A39" s="78" t="s">
        <v>110</v>
      </c>
      <c r="B39" s="42"/>
      <c r="C39" s="42">
        <f t="shared" ref="C39:M39" si="6">B50</f>
        <v>950</v>
      </c>
      <c r="D39" s="42">
        <f t="shared" si="6"/>
        <v>1900</v>
      </c>
      <c r="E39" s="42">
        <f t="shared" si="6"/>
        <v>2850</v>
      </c>
      <c r="F39" s="42">
        <f t="shared" si="6"/>
        <v>3800</v>
      </c>
      <c r="G39" s="42">
        <f t="shared" si="6"/>
        <v>4750</v>
      </c>
      <c r="H39" s="42">
        <f t="shared" si="6"/>
        <v>0</v>
      </c>
      <c r="I39" s="42">
        <f t="shared" si="6"/>
        <v>1325</v>
      </c>
      <c r="J39" s="42">
        <f t="shared" si="6"/>
        <v>2650</v>
      </c>
      <c r="K39" s="42">
        <f t="shared" si="6"/>
        <v>0</v>
      </c>
      <c r="L39" s="42">
        <f t="shared" si="6"/>
        <v>1525</v>
      </c>
      <c r="M39" s="42">
        <f t="shared" si="6"/>
        <v>3050</v>
      </c>
    </row>
    <row r="40" spans="1:13" x14ac:dyDescent="0.3">
      <c r="A40" s="78" t="s">
        <v>76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3">
      <c r="A41" s="78" t="s">
        <v>3</v>
      </c>
      <c r="B41" s="42">
        <v>350</v>
      </c>
      <c r="C41" s="42">
        <v>350</v>
      </c>
      <c r="D41" s="42">
        <v>350</v>
      </c>
      <c r="E41" s="42">
        <v>350</v>
      </c>
      <c r="F41" s="42">
        <v>350</v>
      </c>
      <c r="G41" s="42">
        <v>350</v>
      </c>
      <c r="H41" s="42">
        <v>525</v>
      </c>
      <c r="I41" s="42">
        <v>525</v>
      </c>
      <c r="J41" s="42">
        <v>525</v>
      </c>
      <c r="K41" s="42">
        <v>525</v>
      </c>
      <c r="L41" s="42">
        <v>525</v>
      </c>
      <c r="M41" s="42">
        <v>525</v>
      </c>
    </row>
    <row r="42" spans="1:13" x14ac:dyDescent="0.3">
      <c r="A42" s="78" t="s">
        <v>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78" t="s">
        <v>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3">
      <c r="A44" s="78" t="s">
        <v>73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78" t="s">
        <v>74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78" t="s">
        <v>75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3">
      <c r="A47" s="78" t="s">
        <v>5</v>
      </c>
      <c r="B47" s="42">
        <v>600</v>
      </c>
      <c r="C47" s="42">
        <v>600</v>
      </c>
      <c r="D47" s="42">
        <v>600</v>
      </c>
      <c r="E47" s="42">
        <v>600</v>
      </c>
      <c r="F47" s="42">
        <v>600</v>
      </c>
      <c r="G47" s="42">
        <v>600</v>
      </c>
      <c r="H47" s="42">
        <v>800</v>
      </c>
      <c r="I47" s="42">
        <v>800</v>
      </c>
      <c r="J47" s="42">
        <v>800</v>
      </c>
      <c r="K47" s="42">
        <v>1000</v>
      </c>
      <c r="L47" s="42">
        <v>1000</v>
      </c>
      <c r="M47" s="42">
        <v>1000</v>
      </c>
    </row>
    <row r="48" spans="1:13" x14ac:dyDescent="0.3">
      <c r="A48" s="78" t="s">
        <v>6</v>
      </c>
      <c r="B48" s="43">
        <f t="shared" ref="B48:M48" si="7">SUM(B39:B47)</f>
        <v>950</v>
      </c>
      <c r="C48" s="43">
        <f t="shared" si="7"/>
        <v>1900</v>
      </c>
      <c r="D48" s="43">
        <f t="shared" si="7"/>
        <v>2850</v>
      </c>
      <c r="E48" s="43">
        <f t="shared" si="7"/>
        <v>3800</v>
      </c>
      <c r="F48" s="43">
        <f t="shared" si="7"/>
        <v>4750</v>
      </c>
      <c r="G48" s="43">
        <f t="shared" si="7"/>
        <v>5700</v>
      </c>
      <c r="H48" s="43">
        <f t="shared" si="7"/>
        <v>1325</v>
      </c>
      <c r="I48" s="43">
        <f t="shared" si="7"/>
        <v>2650</v>
      </c>
      <c r="J48" s="43">
        <f t="shared" si="7"/>
        <v>3975</v>
      </c>
      <c r="K48" s="43">
        <f t="shared" si="7"/>
        <v>1525</v>
      </c>
      <c r="L48" s="43">
        <f t="shared" si="7"/>
        <v>3050</v>
      </c>
      <c r="M48" s="43">
        <f t="shared" si="7"/>
        <v>4575</v>
      </c>
    </row>
    <row r="49" spans="1:13" x14ac:dyDescent="0.3">
      <c r="A49" s="78" t="s">
        <v>7</v>
      </c>
      <c r="B49" s="44"/>
      <c r="C49" s="44"/>
      <c r="D49" s="44"/>
      <c r="E49" s="44"/>
      <c r="F49" s="44"/>
      <c r="G49" s="44">
        <v>5700</v>
      </c>
      <c r="H49" s="44"/>
      <c r="I49" s="44"/>
      <c r="J49" s="44">
        <v>3975</v>
      </c>
      <c r="K49" s="44"/>
      <c r="L49" s="44"/>
      <c r="M49" s="44">
        <v>4570</v>
      </c>
    </row>
    <row r="50" spans="1:13" x14ac:dyDescent="0.3">
      <c r="A50" s="78" t="s">
        <v>111</v>
      </c>
      <c r="B50" s="43">
        <f t="shared" ref="B50:M50" si="8">B48-B49</f>
        <v>950</v>
      </c>
      <c r="C50" s="43">
        <f t="shared" si="8"/>
        <v>1900</v>
      </c>
      <c r="D50" s="43">
        <f t="shared" si="8"/>
        <v>2850</v>
      </c>
      <c r="E50" s="43">
        <f t="shared" si="8"/>
        <v>3800</v>
      </c>
      <c r="F50" s="43">
        <f t="shared" si="8"/>
        <v>4750</v>
      </c>
      <c r="G50" s="43">
        <f t="shared" si="8"/>
        <v>0</v>
      </c>
      <c r="H50" s="43">
        <f t="shared" si="8"/>
        <v>1325</v>
      </c>
      <c r="I50" s="43">
        <f t="shared" si="8"/>
        <v>2650</v>
      </c>
      <c r="J50" s="43">
        <f t="shared" si="8"/>
        <v>0</v>
      </c>
      <c r="K50" s="43">
        <f t="shared" si="8"/>
        <v>1525</v>
      </c>
      <c r="L50" s="43">
        <f t="shared" si="8"/>
        <v>3050</v>
      </c>
      <c r="M50" s="43">
        <f t="shared" si="8"/>
        <v>5</v>
      </c>
    </row>
    <row r="51" spans="1:13" x14ac:dyDescent="0.3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</row>
    <row r="52" spans="1:13" x14ac:dyDescent="0.3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</row>
    <row r="53" spans="1:13" x14ac:dyDescent="0.3">
      <c r="A53" s="50" t="s">
        <v>0</v>
      </c>
      <c r="B53" s="50" t="s">
        <v>1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</row>
    <row r="54" spans="1:13" x14ac:dyDescent="0.3">
      <c r="A54" s="78"/>
      <c r="B54" s="79">
        <v>40544</v>
      </c>
      <c r="C54" s="79">
        <v>40575</v>
      </c>
      <c r="D54" s="79">
        <v>40603</v>
      </c>
      <c r="E54" s="79">
        <v>40634</v>
      </c>
      <c r="F54" s="79">
        <v>40664</v>
      </c>
      <c r="G54" s="79">
        <v>40695</v>
      </c>
      <c r="H54" s="79">
        <v>40725</v>
      </c>
      <c r="I54" s="79">
        <v>40756</v>
      </c>
      <c r="J54" s="79">
        <v>40787</v>
      </c>
      <c r="K54" s="79">
        <v>40817</v>
      </c>
      <c r="L54" s="79">
        <v>40848</v>
      </c>
      <c r="M54" s="79">
        <v>40878</v>
      </c>
    </row>
    <row r="55" spans="1:13" x14ac:dyDescent="0.3">
      <c r="A55" s="78" t="s">
        <v>110</v>
      </c>
      <c r="B55" s="42"/>
      <c r="C55" s="42">
        <f>B66</f>
        <v>0</v>
      </c>
      <c r="D55" s="42">
        <f t="shared" ref="D55:M55" si="9">C66</f>
        <v>0</v>
      </c>
      <c r="E55" s="42">
        <f t="shared" si="9"/>
        <v>0</v>
      </c>
      <c r="F55" s="42">
        <f t="shared" si="9"/>
        <v>0</v>
      </c>
      <c r="G55" s="42">
        <f t="shared" si="9"/>
        <v>0</v>
      </c>
      <c r="H55" s="42">
        <f t="shared" si="9"/>
        <v>0</v>
      </c>
      <c r="I55" s="42">
        <f t="shared" si="9"/>
        <v>0</v>
      </c>
      <c r="J55" s="42">
        <f t="shared" si="9"/>
        <v>0</v>
      </c>
      <c r="K55" s="42">
        <f t="shared" si="9"/>
        <v>105</v>
      </c>
      <c r="L55" s="42">
        <f t="shared" si="9"/>
        <v>210</v>
      </c>
      <c r="M55" s="42">
        <f t="shared" si="9"/>
        <v>315</v>
      </c>
    </row>
    <row r="56" spans="1:13" x14ac:dyDescent="0.3">
      <c r="A56" s="78" t="s">
        <v>76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x14ac:dyDescent="0.3">
      <c r="A57" s="78" t="s">
        <v>3</v>
      </c>
      <c r="B57" s="42">
        <v>25</v>
      </c>
      <c r="C57" s="42">
        <v>25</v>
      </c>
      <c r="D57" s="42">
        <v>25</v>
      </c>
      <c r="E57" s="42">
        <v>25</v>
      </c>
      <c r="F57" s="42">
        <v>25</v>
      </c>
      <c r="G57" s="42">
        <v>25</v>
      </c>
      <c r="H57" s="42">
        <v>25</v>
      </c>
      <c r="I57" s="42">
        <v>25</v>
      </c>
      <c r="J57" s="42">
        <v>25</v>
      </c>
      <c r="K57" s="42">
        <v>25</v>
      </c>
      <c r="L57" s="42">
        <v>25</v>
      </c>
      <c r="M57" s="42">
        <v>25</v>
      </c>
    </row>
    <row r="58" spans="1:13" x14ac:dyDescent="0.3">
      <c r="A58" s="78" t="s">
        <v>4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1:13" x14ac:dyDescent="0.3">
      <c r="A59" s="78" t="s">
        <v>9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3">
      <c r="A60" s="78" t="s">
        <v>73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3">
      <c r="A61" s="78" t="s">
        <v>74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pans="1:13" x14ac:dyDescent="0.3">
      <c r="A62" s="78" t="s">
        <v>75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x14ac:dyDescent="0.3">
      <c r="A63" s="78" t="s">
        <v>5</v>
      </c>
      <c r="B63" s="42">
        <v>80</v>
      </c>
      <c r="C63" s="42">
        <v>80</v>
      </c>
      <c r="D63" s="42">
        <v>80</v>
      </c>
      <c r="E63" s="42">
        <v>80</v>
      </c>
      <c r="F63" s="42">
        <v>80</v>
      </c>
      <c r="G63" s="42">
        <v>80</v>
      </c>
      <c r="H63" s="42">
        <v>80</v>
      </c>
      <c r="I63" s="42">
        <v>80</v>
      </c>
      <c r="J63" s="42">
        <v>80</v>
      </c>
      <c r="K63" s="42">
        <v>80</v>
      </c>
      <c r="L63" s="42">
        <v>80</v>
      </c>
      <c r="M63" s="42">
        <v>80</v>
      </c>
    </row>
    <row r="64" spans="1:13" x14ac:dyDescent="0.3">
      <c r="A64" s="78" t="s">
        <v>6</v>
      </c>
      <c r="B64" s="43">
        <f t="shared" ref="B64:M64" si="10">SUM(B55:B63)</f>
        <v>105</v>
      </c>
      <c r="C64" s="43">
        <f t="shared" si="10"/>
        <v>105</v>
      </c>
      <c r="D64" s="43">
        <f t="shared" si="10"/>
        <v>105</v>
      </c>
      <c r="E64" s="43">
        <f t="shared" si="10"/>
        <v>105</v>
      </c>
      <c r="F64" s="43">
        <f t="shared" si="10"/>
        <v>105</v>
      </c>
      <c r="G64" s="43">
        <f t="shared" si="10"/>
        <v>105</v>
      </c>
      <c r="H64" s="43">
        <f t="shared" si="10"/>
        <v>105</v>
      </c>
      <c r="I64" s="43">
        <f t="shared" si="10"/>
        <v>105</v>
      </c>
      <c r="J64" s="43">
        <f t="shared" si="10"/>
        <v>105</v>
      </c>
      <c r="K64" s="43">
        <f t="shared" si="10"/>
        <v>210</v>
      </c>
      <c r="L64" s="43">
        <f t="shared" si="10"/>
        <v>315</v>
      </c>
      <c r="M64" s="43">
        <f t="shared" si="10"/>
        <v>420</v>
      </c>
    </row>
    <row r="65" spans="1:13" x14ac:dyDescent="0.3">
      <c r="A65" s="78" t="s">
        <v>7</v>
      </c>
      <c r="B65" s="44">
        <v>105</v>
      </c>
      <c r="C65" s="44">
        <v>105</v>
      </c>
      <c r="D65" s="44">
        <v>105</v>
      </c>
      <c r="E65" s="44">
        <v>105</v>
      </c>
      <c r="F65" s="44">
        <v>105</v>
      </c>
      <c r="G65" s="44">
        <v>105</v>
      </c>
      <c r="H65" s="44">
        <v>105</v>
      </c>
      <c r="I65" s="44">
        <v>105</v>
      </c>
      <c r="J65" s="44"/>
      <c r="K65" s="44"/>
      <c r="L65" s="44"/>
      <c r="M65" s="44">
        <v>420</v>
      </c>
    </row>
    <row r="66" spans="1:13" x14ac:dyDescent="0.3">
      <c r="A66" s="78" t="s">
        <v>111</v>
      </c>
      <c r="B66" s="43">
        <f t="shared" ref="B66:M66" si="11">B64-B65</f>
        <v>0</v>
      </c>
      <c r="C66" s="43">
        <f t="shared" si="11"/>
        <v>0</v>
      </c>
      <c r="D66" s="43">
        <f t="shared" si="11"/>
        <v>0</v>
      </c>
      <c r="E66" s="43">
        <f t="shared" si="11"/>
        <v>0</v>
      </c>
      <c r="F66" s="43">
        <f t="shared" si="11"/>
        <v>0</v>
      </c>
      <c r="G66" s="43">
        <f t="shared" si="11"/>
        <v>0</v>
      </c>
      <c r="H66" s="43">
        <f t="shared" si="11"/>
        <v>0</v>
      </c>
      <c r="I66" s="43">
        <f t="shared" si="11"/>
        <v>0</v>
      </c>
      <c r="J66" s="43">
        <f t="shared" si="11"/>
        <v>105</v>
      </c>
      <c r="K66" s="43">
        <f t="shared" si="11"/>
        <v>210</v>
      </c>
      <c r="L66" s="43">
        <f t="shared" si="11"/>
        <v>315</v>
      </c>
      <c r="M66" s="43">
        <f t="shared" si="11"/>
        <v>0</v>
      </c>
    </row>
    <row r="67" spans="1:13" x14ac:dyDescent="0.3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</row>
    <row r="68" spans="1:13" x14ac:dyDescent="0.3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4"/>
  <dimension ref="A4:M52"/>
  <sheetViews>
    <sheetView topLeftCell="A22" workbookViewId="0">
      <selection activeCell="F36" sqref="F36"/>
    </sheetView>
  </sheetViews>
  <sheetFormatPr baseColWidth="10" defaultRowHeight="12.75" x14ac:dyDescent="0.2"/>
  <cols>
    <col min="1" max="1" width="35.28515625" customWidth="1"/>
    <col min="2" max="2" width="13.85546875" bestFit="1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8"/>
      <c r="B5" s="15">
        <v>43466</v>
      </c>
      <c r="C5" s="15">
        <v>43132</v>
      </c>
      <c r="D5" s="15">
        <v>43160</v>
      </c>
      <c r="E5" s="15">
        <v>43191</v>
      </c>
      <c r="F5" s="15">
        <v>43221</v>
      </c>
      <c r="G5" s="15">
        <v>43252</v>
      </c>
      <c r="H5" s="15">
        <v>43282</v>
      </c>
      <c r="I5" s="15">
        <v>43313</v>
      </c>
      <c r="J5" s="15">
        <v>43344</v>
      </c>
      <c r="K5" s="15">
        <v>43374</v>
      </c>
      <c r="L5" s="15">
        <v>43405</v>
      </c>
      <c r="M5" s="15">
        <v>43435</v>
      </c>
    </row>
    <row r="6" spans="1:13" ht="15" x14ac:dyDescent="0.2">
      <c r="A6" s="8" t="s">
        <v>110</v>
      </c>
      <c r="B6" s="22"/>
      <c r="C6" s="22">
        <f>B17</f>
        <v>0</v>
      </c>
      <c r="D6" s="22">
        <f t="shared" ref="D6:I6" si="0">C17</f>
        <v>0</v>
      </c>
      <c r="E6" s="22">
        <f t="shared" si="0"/>
        <v>0</v>
      </c>
      <c r="F6" s="22">
        <f t="shared" si="0"/>
        <v>0</v>
      </c>
      <c r="G6" s="22">
        <f t="shared" si="0"/>
        <v>0</v>
      </c>
      <c r="H6" s="22">
        <f t="shared" si="0"/>
        <v>0</v>
      </c>
      <c r="I6" s="22">
        <f t="shared" si="0"/>
        <v>0</v>
      </c>
      <c r="J6" s="22">
        <f>I17</f>
        <v>200</v>
      </c>
      <c r="K6" s="22">
        <f>J17</f>
        <v>0</v>
      </c>
      <c r="L6" s="22">
        <f>K17</f>
        <v>0</v>
      </c>
      <c r="M6" s="22">
        <f>L17</f>
        <v>0</v>
      </c>
    </row>
    <row r="7" spans="1:13" ht="15" x14ac:dyDescent="0.2">
      <c r="A7" s="8" t="s">
        <v>76</v>
      </c>
      <c r="B7" s="22"/>
      <c r="C7" s="22"/>
      <c r="D7" s="22"/>
      <c r="E7" s="22"/>
      <c r="F7" s="22"/>
      <c r="G7" s="22"/>
      <c r="H7" s="22"/>
      <c r="I7" s="22">
        <v>1750</v>
      </c>
      <c r="J7" s="22">
        <v>1750</v>
      </c>
      <c r="K7" s="22">
        <v>1750</v>
      </c>
      <c r="L7" s="22">
        <v>1750</v>
      </c>
      <c r="M7" s="22">
        <v>1750</v>
      </c>
    </row>
    <row r="8" spans="1:13" ht="15" x14ac:dyDescent="0.2">
      <c r="A8" s="8" t="s">
        <v>3</v>
      </c>
      <c r="B8" s="22"/>
      <c r="C8" s="22"/>
      <c r="D8" s="22"/>
      <c r="E8" s="22"/>
      <c r="F8" s="22"/>
      <c r="G8" s="22"/>
      <c r="H8" s="22"/>
      <c r="I8" s="22">
        <v>750</v>
      </c>
      <c r="J8" s="22">
        <v>750</v>
      </c>
      <c r="K8" s="22">
        <v>750</v>
      </c>
      <c r="L8" s="22">
        <v>750</v>
      </c>
      <c r="M8" s="22">
        <f>800+800</f>
        <v>1600</v>
      </c>
    </row>
    <row r="9" spans="1:13" ht="15" x14ac:dyDescent="0.2">
      <c r="A9" s="8" t="s">
        <v>4</v>
      </c>
      <c r="B9" s="22"/>
      <c r="C9" s="22"/>
      <c r="D9" s="22"/>
      <c r="E9" s="22"/>
      <c r="F9" s="22"/>
      <c r="G9" s="22"/>
      <c r="H9" s="22"/>
      <c r="I9" s="22">
        <v>1232</v>
      </c>
      <c r="J9" s="22">
        <v>1231</v>
      </c>
      <c r="K9" s="22">
        <v>1231</v>
      </c>
      <c r="L9" s="22">
        <v>1231</v>
      </c>
      <c r="M9" s="22">
        <v>1231</v>
      </c>
    </row>
    <row r="10" spans="1:13" ht="15" x14ac:dyDescent="0.2">
      <c r="A10" s="8" t="s">
        <v>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15" x14ac:dyDescent="0.2">
      <c r="A11" s="8" t="s">
        <v>73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74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235</v>
      </c>
      <c r="B13" s="22"/>
      <c r="C13" s="22"/>
      <c r="D13" s="22"/>
      <c r="E13" s="22"/>
      <c r="F13" s="22"/>
      <c r="G13" s="22"/>
      <c r="H13" s="22"/>
      <c r="I13" s="22">
        <v>-232</v>
      </c>
      <c r="J13" s="22"/>
      <c r="K13" s="22"/>
      <c r="L13" s="22"/>
      <c r="M13" s="22"/>
    </row>
    <row r="14" spans="1:13" ht="15" x14ac:dyDescent="0.2">
      <c r="A14" s="8" t="s">
        <v>5</v>
      </c>
      <c r="B14" s="22"/>
      <c r="C14" s="22"/>
      <c r="D14" s="22"/>
      <c r="E14" s="22"/>
      <c r="F14" s="22"/>
      <c r="G14" s="22"/>
      <c r="H14" s="22"/>
      <c r="I14" s="22">
        <v>2000</v>
      </c>
      <c r="J14" s="22">
        <v>2000</v>
      </c>
      <c r="K14" s="22">
        <v>2004</v>
      </c>
      <c r="L14" s="22">
        <v>2004</v>
      </c>
      <c r="M14" s="22">
        <v>2004</v>
      </c>
    </row>
    <row r="15" spans="1:13" ht="15" x14ac:dyDescent="0.2">
      <c r="A15" s="8" t="s">
        <v>6</v>
      </c>
      <c r="B15" s="16">
        <f>SUM(B6:B14)</f>
        <v>0</v>
      </c>
      <c r="C15" s="16">
        <f t="shared" ref="C15:M15" si="1">SUM(C6:C14)</f>
        <v>0</v>
      </c>
      <c r="D15" s="16">
        <f t="shared" si="1"/>
        <v>0</v>
      </c>
      <c r="E15" s="16">
        <f t="shared" si="1"/>
        <v>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>SUM(I6:I14)</f>
        <v>5500</v>
      </c>
      <c r="J15" s="16">
        <f t="shared" si="1"/>
        <v>5931</v>
      </c>
      <c r="K15" s="16">
        <f t="shared" si="1"/>
        <v>5735</v>
      </c>
      <c r="L15" s="16">
        <f t="shared" si="1"/>
        <v>5735</v>
      </c>
      <c r="M15" s="16">
        <f t="shared" si="1"/>
        <v>6585</v>
      </c>
    </row>
    <row r="16" spans="1:13" ht="15" x14ac:dyDescent="0.2">
      <c r="A16" s="8" t="s">
        <v>7</v>
      </c>
      <c r="B16" s="23"/>
      <c r="C16" s="23"/>
      <c r="D16" s="23"/>
      <c r="E16" s="23"/>
      <c r="F16" s="23"/>
      <c r="G16" s="23"/>
      <c r="H16" s="23"/>
      <c r="I16" s="23">
        <v>5300</v>
      </c>
      <c r="J16" s="23">
        <v>5931</v>
      </c>
      <c r="K16" s="23">
        <v>5735</v>
      </c>
      <c r="L16" s="23">
        <v>5735</v>
      </c>
      <c r="M16" s="23">
        <v>6000</v>
      </c>
    </row>
    <row r="17" spans="1:13" ht="15" x14ac:dyDescent="0.2">
      <c r="A17" s="8" t="s">
        <v>111</v>
      </c>
      <c r="B17" s="16">
        <f>B15-B16</f>
        <v>0</v>
      </c>
      <c r="C17" s="16">
        <f>C15-C16</f>
        <v>0</v>
      </c>
      <c r="D17" s="16">
        <f t="shared" ref="D17:M17" si="2">D15-D16</f>
        <v>0</v>
      </c>
      <c r="E17" s="16">
        <f t="shared" si="2"/>
        <v>0</v>
      </c>
      <c r="F17" s="16">
        <f t="shared" si="2"/>
        <v>0</v>
      </c>
      <c r="G17" s="16">
        <f t="shared" si="2"/>
        <v>0</v>
      </c>
      <c r="H17" s="16">
        <f t="shared" si="2"/>
        <v>0</v>
      </c>
      <c r="I17" s="16">
        <f>I15-I16</f>
        <v>200</v>
      </c>
      <c r="J17" s="16">
        <f t="shared" si="2"/>
        <v>0</v>
      </c>
      <c r="K17" s="16">
        <f t="shared" si="2"/>
        <v>0</v>
      </c>
      <c r="L17" s="16">
        <f t="shared" si="2"/>
        <v>0</v>
      </c>
      <c r="M17" s="16">
        <f t="shared" si="2"/>
        <v>585</v>
      </c>
    </row>
    <row r="23" spans="1:13" ht="15.75" x14ac:dyDescent="0.25">
      <c r="A23" s="31" t="s">
        <v>0</v>
      </c>
      <c r="B23" s="31" t="s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">
      <c r="A24" s="60"/>
      <c r="B24" s="93">
        <v>46023</v>
      </c>
      <c r="C24" s="93">
        <v>46054</v>
      </c>
      <c r="D24" s="93">
        <v>46082</v>
      </c>
      <c r="E24" s="93">
        <v>46113</v>
      </c>
      <c r="F24" s="93">
        <v>46143</v>
      </c>
      <c r="G24" s="93">
        <v>46174</v>
      </c>
      <c r="H24" s="93">
        <v>46204</v>
      </c>
      <c r="I24" s="93">
        <v>46235</v>
      </c>
      <c r="J24" s="93">
        <v>46266</v>
      </c>
      <c r="K24" s="93">
        <v>46296</v>
      </c>
      <c r="L24" s="93">
        <v>46327</v>
      </c>
      <c r="M24" s="93">
        <v>46357</v>
      </c>
    </row>
    <row r="25" spans="1:13" x14ac:dyDescent="0.2">
      <c r="A25" s="60" t="s">
        <v>110</v>
      </c>
      <c r="B25" s="94"/>
      <c r="C25" s="94">
        <f t="shared" ref="C25:M25" si="3">B36</f>
        <v>0</v>
      </c>
      <c r="D25" s="94">
        <f t="shared" si="3"/>
        <v>0</v>
      </c>
      <c r="E25" s="94">
        <f t="shared" si="3"/>
        <v>0</v>
      </c>
      <c r="F25" s="94">
        <f t="shared" si="3"/>
        <v>2700</v>
      </c>
      <c r="G25" s="94">
        <f t="shared" si="3"/>
        <v>0</v>
      </c>
      <c r="H25" s="94">
        <f t="shared" si="3"/>
        <v>0</v>
      </c>
      <c r="I25" s="94">
        <f t="shared" si="3"/>
        <v>0</v>
      </c>
      <c r="J25" s="94">
        <f t="shared" si="3"/>
        <v>0</v>
      </c>
      <c r="K25" s="94">
        <f t="shared" si="3"/>
        <v>0</v>
      </c>
      <c r="L25" s="94">
        <f t="shared" si="3"/>
        <v>0</v>
      </c>
      <c r="M25" s="94">
        <f t="shared" si="3"/>
        <v>0</v>
      </c>
    </row>
    <row r="26" spans="1:13" x14ac:dyDescent="0.2">
      <c r="A26" s="60" t="s">
        <v>76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3" x14ac:dyDescent="0.2">
      <c r="A27" s="60" t="s">
        <v>3</v>
      </c>
      <c r="B27" s="94">
        <v>176700</v>
      </c>
      <c r="C27" s="94">
        <v>176700</v>
      </c>
      <c r="D27" s="94">
        <v>176700</v>
      </c>
      <c r="E27" s="94">
        <v>176700</v>
      </c>
      <c r="F27" s="94">
        <v>176700</v>
      </c>
      <c r="G27" s="94"/>
      <c r="H27" s="94"/>
      <c r="I27" s="94"/>
      <c r="J27" s="94"/>
      <c r="K27" s="94"/>
      <c r="L27" s="94"/>
      <c r="M27" s="94"/>
    </row>
    <row r="28" spans="1:13" x14ac:dyDescent="0.2">
      <c r="A28" s="60" t="s">
        <v>4</v>
      </c>
      <c r="B28" s="94">
        <v>59000</v>
      </c>
      <c r="C28" s="94">
        <v>59000</v>
      </c>
      <c r="D28" s="94">
        <v>59000</v>
      </c>
      <c r="E28" s="94">
        <v>66000</v>
      </c>
      <c r="F28" s="94">
        <v>66000</v>
      </c>
      <c r="G28" s="94"/>
      <c r="H28" s="94"/>
      <c r="I28" s="94"/>
      <c r="J28" s="94"/>
      <c r="K28" s="94"/>
      <c r="L28" s="94"/>
      <c r="M28" s="94"/>
    </row>
    <row r="29" spans="1:13" x14ac:dyDescent="0.2">
      <c r="A29" s="60" t="s">
        <v>9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</row>
    <row r="30" spans="1:13" x14ac:dyDescent="0.2">
      <c r="A30" s="60" t="s">
        <v>73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1:13" x14ac:dyDescent="0.2">
      <c r="A31" s="60" t="s">
        <v>74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</row>
    <row r="32" spans="1:13" x14ac:dyDescent="0.2">
      <c r="A32" s="60" t="s">
        <v>235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</row>
    <row r="33" spans="1:13" x14ac:dyDescent="0.2">
      <c r="A33" s="60" t="s">
        <v>5</v>
      </c>
      <c r="B33" s="94">
        <v>60000</v>
      </c>
      <c r="C33" s="94">
        <v>60000</v>
      </c>
      <c r="D33" s="94">
        <v>60000</v>
      </c>
      <c r="E33" s="94">
        <v>60000</v>
      </c>
      <c r="F33" s="94">
        <v>60000</v>
      </c>
      <c r="G33" s="94"/>
      <c r="H33" s="94"/>
      <c r="I33" s="94"/>
      <c r="J33" s="94"/>
      <c r="K33" s="94"/>
      <c r="L33" s="94"/>
      <c r="M33" s="94"/>
    </row>
    <row r="34" spans="1:13" x14ac:dyDescent="0.2">
      <c r="A34" s="60" t="s">
        <v>6</v>
      </c>
      <c r="B34" s="95">
        <f>SUM(B25:B33)</f>
        <v>295700</v>
      </c>
      <c r="C34" s="95">
        <f t="shared" ref="C34:H34" si="4">SUM(C25:C33)</f>
        <v>295700</v>
      </c>
      <c r="D34" s="95">
        <f t="shared" si="4"/>
        <v>295700</v>
      </c>
      <c r="E34" s="95">
        <f t="shared" si="4"/>
        <v>302700</v>
      </c>
      <c r="F34" s="95">
        <f t="shared" si="4"/>
        <v>305400</v>
      </c>
      <c r="G34" s="95">
        <f t="shared" si="4"/>
        <v>0</v>
      </c>
      <c r="H34" s="95">
        <f t="shared" si="4"/>
        <v>0</v>
      </c>
      <c r="I34" s="95">
        <f>SUM(I25:I33)</f>
        <v>0</v>
      </c>
      <c r="J34" s="95">
        <f>SUM(J25:J33)</f>
        <v>0</v>
      </c>
      <c r="K34" s="95">
        <f>SUM(K25:K33)</f>
        <v>0</v>
      </c>
      <c r="L34" s="95">
        <f>SUM(L25:L33)</f>
        <v>0</v>
      </c>
      <c r="M34" s="95">
        <f>SUM(M25:M33)</f>
        <v>0</v>
      </c>
    </row>
    <row r="35" spans="1:13" x14ac:dyDescent="0.2">
      <c r="A35" s="60" t="s">
        <v>7</v>
      </c>
      <c r="B35" s="96">
        <v>295700</v>
      </c>
      <c r="C35" s="96">
        <v>295700</v>
      </c>
      <c r="D35" s="96">
        <v>295700</v>
      </c>
      <c r="E35" s="96">
        <v>300000</v>
      </c>
      <c r="F35" s="96">
        <v>305400</v>
      </c>
      <c r="G35" s="96"/>
      <c r="H35" s="96"/>
      <c r="I35" s="96"/>
      <c r="J35" s="96"/>
      <c r="K35" s="96"/>
      <c r="L35" s="96"/>
      <c r="M35" s="96"/>
    </row>
    <row r="36" spans="1:13" x14ac:dyDescent="0.2">
      <c r="A36" s="60" t="s">
        <v>111</v>
      </c>
      <c r="B36" s="95">
        <f t="shared" ref="B36:M36" si="5">B34-B35</f>
        <v>0</v>
      </c>
      <c r="C36" s="95">
        <f t="shared" si="5"/>
        <v>0</v>
      </c>
      <c r="D36" s="95">
        <f t="shared" si="5"/>
        <v>0</v>
      </c>
      <c r="E36" s="95">
        <f t="shared" si="5"/>
        <v>2700</v>
      </c>
      <c r="F36" s="95">
        <f t="shared" si="5"/>
        <v>0</v>
      </c>
      <c r="G36" s="95">
        <f t="shared" si="5"/>
        <v>0</v>
      </c>
      <c r="H36" s="95">
        <f t="shared" si="5"/>
        <v>0</v>
      </c>
      <c r="I36" s="95">
        <f t="shared" si="5"/>
        <v>0</v>
      </c>
      <c r="J36" s="95">
        <f t="shared" si="5"/>
        <v>0</v>
      </c>
      <c r="K36" s="95">
        <f t="shared" si="5"/>
        <v>0</v>
      </c>
      <c r="L36" s="95">
        <f t="shared" si="5"/>
        <v>0</v>
      </c>
      <c r="M36" s="95">
        <f t="shared" si="5"/>
        <v>0</v>
      </c>
    </row>
    <row r="39" spans="1:13" ht="15.75" x14ac:dyDescent="0.25">
      <c r="A39" s="31" t="s">
        <v>0</v>
      </c>
      <c r="B39" s="31" t="s">
        <v>1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2">
      <c r="A40" s="60"/>
      <c r="B40" s="93">
        <v>45658</v>
      </c>
      <c r="C40" s="93">
        <v>45689</v>
      </c>
      <c r="D40" s="93">
        <v>45717</v>
      </c>
      <c r="E40" s="93">
        <v>45748</v>
      </c>
      <c r="F40" s="93">
        <v>45778</v>
      </c>
      <c r="G40" s="93">
        <v>45809</v>
      </c>
      <c r="H40" s="93">
        <v>45839</v>
      </c>
      <c r="I40" s="93">
        <v>45870</v>
      </c>
      <c r="J40" s="93">
        <v>45901</v>
      </c>
      <c r="K40" s="93">
        <v>45931</v>
      </c>
      <c r="L40" s="93">
        <v>45962</v>
      </c>
      <c r="M40" s="93">
        <v>45992</v>
      </c>
    </row>
    <row r="41" spans="1:13" x14ac:dyDescent="0.2">
      <c r="A41" s="60" t="s">
        <v>110</v>
      </c>
      <c r="B41" s="94">
        <v>-2000</v>
      </c>
      <c r="C41" s="94">
        <f t="shared" ref="C41:M41" si="6">B52</f>
        <v>10000</v>
      </c>
      <c r="D41" s="94">
        <f t="shared" si="6"/>
        <v>0</v>
      </c>
      <c r="E41" s="94">
        <f t="shared" si="6"/>
        <v>0</v>
      </c>
      <c r="F41" s="94">
        <f t="shared" si="6"/>
        <v>-4000</v>
      </c>
      <c r="G41" s="94">
        <f t="shared" si="6"/>
        <v>0</v>
      </c>
      <c r="H41" s="94">
        <f t="shared" si="6"/>
        <v>0</v>
      </c>
      <c r="I41" s="94">
        <f t="shared" si="6"/>
        <v>0</v>
      </c>
      <c r="J41" s="94">
        <f t="shared" si="6"/>
        <v>0</v>
      </c>
      <c r="K41" s="94">
        <f t="shared" si="6"/>
        <v>0</v>
      </c>
      <c r="L41" s="94">
        <f t="shared" si="6"/>
        <v>0</v>
      </c>
      <c r="M41" s="94">
        <f t="shared" si="6"/>
        <v>0</v>
      </c>
    </row>
    <row r="42" spans="1:13" x14ac:dyDescent="0.2">
      <c r="A42" s="60" t="s">
        <v>76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</row>
    <row r="43" spans="1:13" x14ac:dyDescent="0.2">
      <c r="A43" s="60" t="s">
        <v>3</v>
      </c>
      <c r="B43" s="94">
        <v>107130</v>
      </c>
      <c r="C43" s="94">
        <v>148000</v>
      </c>
      <c r="D43" s="94">
        <v>148000</v>
      </c>
      <c r="E43" s="94">
        <v>148000</v>
      </c>
      <c r="F43" s="94">
        <v>148000</v>
      </c>
      <c r="G43" s="94">
        <v>148000</v>
      </c>
      <c r="H43" s="94">
        <v>148000</v>
      </c>
      <c r="I43" s="94">
        <v>165000</v>
      </c>
      <c r="J43" s="94">
        <v>165000</v>
      </c>
      <c r="K43" s="94">
        <v>165000</v>
      </c>
      <c r="L43" s="94">
        <v>165000</v>
      </c>
      <c r="M43" s="94">
        <v>165000</v>
      </c>
    </row>
    <row r="44" spans="1:13" x14ac:dyDescent="0.2">
      <c r="A44" s="60" t="s">
        <v>4</v>
      </c>
      <c r="B44" s="94">
        <v>45000</v>
      </c>
      <c r="C44" s="94">
        <v>45000</v>
      </c>
      <c r="D44" s="94">
        <v>45000</v>
      </c>
      <c r="E44" s="94">
        <v>45000</v>
      </c>
      <c r="F44" s="94">
        <v>45000</v>
      </c>
      <c r="G44" s="94">
        <v>45000</v>
      </c>
      <c r="H44" s="94">
        <v>52000</v>
      </c>
      <c r="I44" s="94">
        <v>52000</v>
      </c>
      <c r="J44" s="94">
        <v>52000</v>
      </c>
      <c r="K44" s="94">
        <v>52000</v>
      </c>
      <c r="L44" s="94">
        <v>53000</v>
      </c>
      <c r="M44" s="94">
        <v>57000</v>
      </c>
    </row>
    <row r="45" spans="1:13" x14ac:dyDescent="0.2">
      <c r="A45" s="60" t="s">
        <v>9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</row>
    <row r="46" spans="1:13" x14ac:dyDescent="0.2">
      <c r="A46" s="60" t="s">
        <v>73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 spans="1:13" x14ac:dyDescent="0.2">
      <c r="A47" s="60" t="s">
        <v>74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</row>
    <row r="48" spans="1:13" x14ac:dyDescent="0.2">
      <c r="A48" s="60" t="s">
        <v>235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</row>
    <row r="49" spans="1:13" x14ac:dyDescent="0.2">
      <c r="A49" s="60" t="s">
        <v>5</v>
      </c>
      <c r="B49" s="94">
        <v>40000</v>
      </c>
      <c r="C49" s="94">
        <v>40000</v>
      </c>
      <c r="D49" s="94">
        <v>53000</v>
      </c>
      <c r="E49" s="94">
        <v>53000</v>
      </c>
      <c r="F49" s="94">
        <v>53000</v>
      </c>
      <c r="G49" s="94">
        <v>52000</v>
      </c>
      <c r="H49" s="94">
        <v>50000</v>
      </c>
      <c r="I49" s="94">
        <v>55000</v>
      </c>
      <c r="J49" s="94">
        <v>55000</v>
      </c>
      <c r="K49" s="94">
        <v>55000</v>
      </c>
      <c r="L49" s="94">
        <v>55000</v>
      </c>
      <c r="M49" s="94">
        <v>55000</v>
      </c>
    </row>
    <row r="50" spans="1:13" x14ac:dyDescent="0.2">
      <c r="A50" s="60" t="s">
        <v>6</v>
      </c>
      <c r="B50" s="95">
        <f>SUM(B41:B49)</f>
        <v>190130</v>
      </c>
      <c r="C50" s="95">
        <f t="shared" ref="C50:H50" si="7">SUM(C41:C49)</f>
        <v>243000</v>
      </c>
      <c r="D50" s="95">
        <f t="shared" si="7"/>
        <v>246000</v>
      </c>
      <c r="E50" s="95">
        <f t="shared" si="7"/>
        <v>246000</v>
      </c>
      <c r="F50" s="95">
        <f t="shared" si="7"/>
        <v>242000</v>
      </c>
      <c r="G50" s="95">
        <f t="shared" si="7"/>
        <v>245000</v>
      </c>
      <c r="H50" s="95">
        <f t="shared" si="7"/>
        <v>250000</v>
      </c>
      <c r="I50" s="95">
        <f>SUM(I41:I49)</f>
        <v>272000</v>
      </c>
      <c r="J50" s="95">
        <f>SUM(J41:J49)</f>
        <v>272000</v>
      </c>
      <c r="K50" s="95">
        <f>SUM(K41:K49)</f>
        <v>272000</v>
      </c>
      <c r="L50" s="95">
        <f>SUM(L41:L49)</f>
        <v>273000</v>
      </c>
      <c r="M50" s="95">
        <f>SUM(M41:M49)</f>
        <v>277000</v>
      </c>
    </row>
    <row r="51" spans="1:13" x14ac:dyDescent="0.2">
      <c r="A51" s="60" t="s">
        <v>7</v>
      </c>
      <c r="B51" s="96">
        <v>180130</v>
      </c>
      <c r="C51" s="96">
        <f>240000+3000</f>
        <v>243000</v>
      </c>
      <c r="D51" s="96">
        <v>246000</v>
      </c>
      <c r="E51" s="96">
        <v>250000</v>
      </c>
      <c r="F51" s="96">
        <v>242000</v>
      </c>
      <c r="G51" s="96">
        <v>245000</v>
      </c>
      <c r="H51" s="96">
        <v>250000</v>
      </c>
      <c r="I51" s="96">
        <v>272000</v>
      </c>
      <c r="J51" s="96">
        <v>272000</v>
      </c>
      <c r="K51" s="96">
        <v>272000</v>
      </c>
      <c r="L51" s="96">
        <v>273000</v>
      </c>
      <c r="M51" s="96">
        <v>277000</v>
      </c>
    </row>
    <row r="52" spans="1:13" x14ac:dyDescent="0.2">
      <c r="A52" s="60" t="s">
        <v>111</v>
      </c>
      <c r="B52" s="95">
        <f t="shared" ref="B52:M52" si="8">B50-B51</f>
        <v>10000</v>
      </c>
      <c r="C52" s="95">
        <f t="shared" si="8"/>
        <v>0</v>
      </c>
      <c r="D52" s="95">
        <f t="shared" si="8"/>
        <v>0</v>
      </c>
      <c r="E52" s="95">
        <f t="shared" si="8"/>
        <v>-4000</v>
      </c>
      <c r="F52" s="95">
        <f t="shared" si="8"/>
        <v>0</v>
      </c>
      <c r="G52" s="95">
        <f t="shared" si="8"/>
        <v>0</v>
      </c>
      <c r="H52" s="95">
        <f t="shared" si="8"/>
        <v>0</v>
      </c>
      <c r="I52" s="95">
        <f t="shared" si="8"/>
        <v>0</v>
      </c>
      <c r="J52" s="95">
        <f t="shared" si="8"/>
        <v>0</v>
      </c>
      <c r="K52" s="95">
        <f t="shared" si="8"/>
        <v>0</v>
      </c>
      <c r="L52" s="95">
        <f t="shared" si="8"/>
        <v>0</v>
      </c>
      <c r="M52" s="95">
        <f t="shared" si="8"/>
        <v>0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5"/>
  <dimension ref="A4:M34"/>
  <sheetViews>
    <sheetView topLeftCell="A4" workbookViewId="0">
      <selection activeCell="E15" sqref="E15"/>
    </sheetView>
  </sheetViews>
  <sheetFormatPr baseColWidth="10" defaultRowHeight="12.75" x14ac:dyDescent="0.2"/>
  <cols>
    <col min="1" max="1" width="33.28515625" customWidth="1"/>
    <col min="2" max="2" width="12.28515625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65"/>
      <c r="B5" s="68">
        <v>46023</v>
      </c>
      <c r="C5" s="68">
        <v>46054</v>
      </c>
      <c r="D5" s="68">
        <v>46082</v>
      </c>
      <c r="E5" s="68">
        <v>46113</v>
      </c>
      <c r="F5" s="68">
        <v>46143</v>
      </c>
      <c r="G5" s="68">
        <v>46174</v>
      </c>
      <c r="H5" s="68">
        <v>46204</v>
      </c>
      <c r="I5" s="68">
        <v>46235</v>
      </c>
      <c r="J5" s="68">
        <v>46266</v>
      </c>
      <c r="K5" s="68">
        <v>46296</v>
      </c>
      <c r="L5" s="68">
        <v>46327</v>
      </c>
      <c r="M5" s="68">
        <v>46357</v>
      </c>
    </row>
    <row r="6" spans="1:13" x14ac:dyDescent="0.2">
      <c r="A6" s="65" t="s">
        <v>110</v>
      </c>
      <c r="B6" s="69">
        <v>50000</v>
      </c>
      <c r="C6" s="69">
        <f>B17</f>
        <v>120000</v>
      </c>
      <c r="D6" s="69">
        <f t="shared" ref="D6:J6" si="0">C17</f>
        <v>190000</v>
      </c>
      <c r="E6" s="69">
        <f t="shared" si="0"/>
        <v>260000</v>
      </c>
      <c r="F6" s="69">
        <f t="shared" si="0"/>
        <v>330000</v>
      </c>
      <c r="G6" s="69">
        <f t="shared" si="0"/>
        <v>330000</v>
      </c>
      <c r="H6" s="69">
        <f t="shared" si="0"/>
        <v>330000</v>
      </c>
      <c r="I6" s="69">
        <f t="shared" si="0"/>
        <v>330000</v>
      </c>
      <c r="J6" s="69">
        <f t="shared" si="0"/>
        <v>330000</v>
      </c>
      <c r="K6" s="69">
        <f>J17</f>
        <v>330000</v>
      </c>
      <c r="L6" s="69">
        <f>K17</f>
        <v>330000</v>
      </c>
      <c r="M6" s="69">
        <f>L17</f>
        <v>330000</v>
      </c>
    </row>
    <row r="7" spans="1:13" x14ac:dyDescent="0.2">
      <c r="A7" s="65" t="s">
        <v>76</v>
      </c>
      <c r="B7" s="69"/>
      <c r="C7" s="69"/>
      <c r="D7" s="69"/>
      <c r="E7" s="69"/>
      <c r="F7" s="65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235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>
        <v>70000</v>
      </c>
      <c r="C14" s="69">
        <v>70000</v>
      </c>
      <c r="D14" s="69">
        <v>70000</v>
      </c>
      <c r="E14" s="69">
        <v>70000</v>
      </c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6</v>
      </c>
      <c r="B15" s="70">
        <f>SUM(B6:B14)</f>
        <v>120000</v>
      </c>
      <c r="C15" s="70">
        <f t="shared" ref="C15:M15" si="1">SUM(C6:C14)</f>
        <v>190000</v>
      </c>
      <c r="D15" s="70">
        <f t="shared" si="1"/>
        <v>260000</v>
      </c>
      <c r="E15" s="70">
        <f t="shared" si="1"/>
        <v>330000</v>
      </c>
      <c r="F15" s="70">
        <f t="shared" si="1"/>
        <v>330000</v>
      </c>
      <c r="G15" s="70">
        <f t="shared" si="1"/>
        <v>330000</v>
      </c>
      <c r="H15" s="70">
        <f t="shared" si="1"/>
        <v>330000</v>
      </c>
      <c r="I15" s="70">
        <f t="shared" si="1"/>
        <v>330000</v>
      </c>
      <c r="J15" s="70">
        <f t="shared" si="1"/>
        <v>330000</v>
      </c>
      <c r="K15" s="70">
        <f t="shared" si="1"/>
        <v>330000</v>
      </c>
      <c r="L15" s="70">
        <f t="shared" si="1"/>
        <v>330000</v>
      </c>
      <c r="M15" s="70">
        <f t="shared" si="1"/>
        <v>330000</v>
      </c>
    </row>
    <row r="16" spans="1:13" x14ac:dyDescent="0.2">
      <c r="A16" s="65" t="s">
        <v>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1:13" x14ac:dyDescent="0.2">
      <c r="A17" s="65" t="s">
        <v>111</v>
      </c>
      <c r="B17" s="70">
        <f>B15-B16</f>
        <v>120000</v>
      </c>
      <c r="C17" s="70">
        <f>C15-C16</f>
        <v>190000</v>
      </c>
      <c r="D17" s="70">
        <f t="shared" ref="D17:K17" si="2">D15-D16</f>
        <v>260000</v>
      </c>
      <c r="E17" s="70">
        <f t="shared" si="2"/>
        <v>330000</v>
      </c>
      <c r="F17" s="70">
        <f t="shared" si="2"/>
        <v>330000</v>
      </c>
      <c r="G17" s="70">
        <f t="shared" si="2"/>
        <v>330000</v>
      </c>
      <c r="H17" s="70">
        <f t="shared" si="2"/>
        <v>330000</v>
      </c>
      <c r="I17" s="70">
        <f t="shared" si="2"/>
        <v>330000</v>
      </c>
      <c r="J17" s="70">
        <f t="shared" si="2"/>
        <v>330000</v>
      </c>
      <c r="K17" s="70">
        <f t="shared" si="2"/>
        <v>330000</v>
      </c>
      <c r="L17" s="70">
        <f>L15-L16</f>
        <v>330000</v>
      </c>
      <c r="M17" s="70">
        <f>M15-M16</f>
        <v>330000</v>
      </c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78"/>
      <c r="B22" s="79">
        <v>45658</v>
      </c>
      <c r="C22" s="79">
        <v>45689</v>
      </c>
      <c r="D22" s="79">
        <v>45717</v>
      </c>
      <c r="E22" s="79">
        <v>45748</v>
      </c>
      <c r="F22" s="79">
        <v>45778</v>
      </c>
      <c r="G22" s="79">
        <v>45809</v>
      </c>
      <c r="H22" s="79">
        <v>45839</v>
      </c>
      <c r="I22" s="79">
        <v>45870</v>
      </c>
      <c r="J22" s="79">
        <v>45901</v>
      </c>
      <c r="K22" s="79">
        <v>45931</v>
      </c>
      <c r="L22" s="79">
        <v>45962</v>
      </c>
      <c r="M22" s="79">
        <v>45992</v>
      </c>
    </row>
    <row r="23" spans="1:13" x14ac:dyDescent="0.2">
      <c r="A23" s="78" t="s">
        <v>110</v>
      </c>
      <c r="B23" s="42"/>
      <c r="C23" s="42">
        <f t="shared" ref="C23:M23" si="3">B34</f>
        <v>0</v>
      </c>
      <c r="D23" s="42">
        <f t="shared" si="3"/>
        <v>30000</v>
      </c>
      <c r="E23" s="42">
        <f t="shared" si="3"/>
        <v>0</v>
      </c>
      <c r="F23" s="42">
        <f t="shared" si="3"/>
        <v>50000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50000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235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30000</v>
      </c>
      <c r="C31" s="42">
        <v>30000</v>
      </c>
      <c r="D31" s="42">
        <v>30000</v>
      </c>
      <c r="E31" s="42">
        <v>50000</v>
      </c>
      <c r="F31" s="42">
        <v>50000</v>
      </c>
      <c r="G31" s="42">
        <v>50000</v>
      </c>
      <c r="H31" s="42">
        <v>50000</v>
      </c>
      <c r="I31" s="42">
        <v>50000</v>
      </c>
      <c r="J31" s="42">
        <v>50000</v>
      </c>
      <c r="K31" s="42">
        <v>50000</v>
      </c>
      <c r="L31" s="42">
        <v>50000</v>
      </c>
      <c r="M31" s="42">
        <v>50000</v>
      </c>
    </row>
    <row r="32" spans="1:13" x14ac:dyDescent="0.2">
      <c r="A32" s="78" t="s">
        <v>6</v>
      </c>
      <c r="B32" s="43">
        <f>SUM(B23:B31)</f>
        <v>30000</v>
      </c>
      <c r="C32" s="43">
        <f t="shared" ref="C32:M32" si="4">SUM(C23:C31)</f>
        <v>30000</v>
      </c>
      <c r="D32" s="43">
        <f t="shared" si="4"/>
        <v>60000</v>
      </c>
      <c r="E32" s="43">
        <f t="shared" si="4"/>
        <v>50000</v>
      </c>
      <c r="F32" s="43">
        <f t="shared" si="4"/>
        <v>100000</v>
      </c>
      <c r="G32" s="43">
        <f t="shared" si="4"/>
        <v>50000</v>
      </c>
      <c r="H32" s="43">
        <f t="shared" si="4"/>
        <v>50000</v>
      </c>
      <c r="I32" s="43">
        <f t="shared" si="4"/>
        <v>50000</v>
      </c>
      <c r="J32" s="43">
        <f t="shared" si="4"/>
        <v>50000</v>
      </c>
      <c r="K32" s="43">
        <f t="shared" si="4"/>
        <v>100000</v>
      </c>
      <c r="L32" s="43">
        <f t="shared" si="4"/>
        <v>50000</v>
      </c>
      <c r="M32" s="43">
        <f t="shared" si="4"/>
        <v>50000</v>
      </c>
    </row>
    <row r="33" spans="1:13" x14ac:dyDescent="0.2">
      <c r="A33" s="78" t="s">
        <v>7</v>
      </c>
      <c r="B33" s="44">
        <v>30000</v>
      </c>
      <c r="C33" s="44"/>
      <c r="D33" s="44">
        <v>60000</v>
      </c>
      <c r="E33" s="44"/>
      <c r="F33" s="44">
        <v>100000</v>
      </c>
      <c r="G33" s="44">
        <v>50000</v>
      </c>
      <c r="H33" s="44">
        <v>50000</v>
      </c>
      <c r="I33" s="44">
        <v>50000</v>
      </c>
      <c r="J33" s="44"/>
      <c r="K33" s="44">
        <v>100000</v>
      </c>
      <c r="L33" s="44">
        <v>50000</v>
      </c>
      <c r="M33" s="44"/>
    </row>
    <row r="34" spans="1:13" x14ac:dyDescent="0.2">
      <c r="A34" s="78" t="s">
        <v>111</v>
      </c>
      <c r="B34" s="43">
        <f>B32-B33</f>
        <v>0</v>
      </c>
      <c r="C34" s="43">
        <f>C32-C33</f>
        <v>30000</v>
      </c>
      <c r="D34" s="43">
        <f t="shared" ref="D34:M34" si="5">D32-D33</f>
        <v>0</v>
      </c>
      <c r="E34" s="43">
        <f t="shared" si="5"/>
        <v>50000</v>
      </c>
      <c r="F34" s="43">
        <f t="shared" si="5"/>
        <v>0</v>
      </c>
      <c r="G34" s="43">
        <f t="shared" si="5"/>
        <v>0</v>
      </c>
      <c r="H34" s="43">
        <f t="shared" si="5"/>
        <v>0</v>
      </c>
      <c r="I34" s="43">
        <f t="shared" si="5"/>
        <v>0</v>
      </c>
      <c r="J34" s="43">
        <f t="shared" si="5"/>
        <v>50000</v>
      </c>
      <c r="K34" s="43">
        <f t="shared" si="5"/>
        <v>0</v>
      </c>
      <c r="L34" s="43">
        <f t="shared" si="5"/>
        <v>0</v>
      </c>
      <c r="M34" s="43">
        <f t="shared" si="5"/>
        <v>50000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6"/>
  <dimension ref="A3:M33"/>
  <sheetViews>
    <sheetView workbookViewId="0">
      <selection activeCell="F14" sqref="F14"/>
    </sheetView>
  </sheetViews>
  <sheetFormatPr baseColWidth="10" defaultRowHeight="12.75" x14ac:dyDescent="0.2"/>
  <cols>
    <col min="1" max="1" width="27.85546875" customWidth="1"/>
    <col min="2" max="2" width="13" customWidth="1"/>
    <col min="3" max="3" width="12.5703125" customWidth="1"/>
    <col min="4" max="5" width="12.85546875" customWidth="1"/>
    <col min="6" max="6" width="14.85546875" customWidth="1"/>
    <col min="7" max="7" width="12.85546875" customWidth="1"/>
    <col min="8" max="9" width="13" customWidth="1"/>
    <col min="10" max="10" width="12.85546875" customWidth="1"/>
    <col min="11" max="11" width="13.28515625" customWidth="1"/>
    <col min="12" max="12" width="12.7109375" customWidth="1"/>
    <col min="13" max="13" width="12.5703125" customWidth="1"/>
  </cols>
  <sheetData>
    <row r="3" spans="1:13" x14ac:dyDescent="0.2">
      <c r="A3" s="50" t="s">
        <v>0</v>
      </c>
      <c r="B3" s="50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x14ac:dyDescent="0.2">
      <c r="A4" s="78"/>
      <c r="B4" s="79">
        <v>46023</v>
      </c>
      <c r="C4" s="79">
        <v>46054</v>
      </c>
      <c r="D4" s="79">
        <v>46082</v>
      </c>
      <c r="E4" s="79">
        <v>46113</v>
      </c>
      <c r="F4" s="79">
        <v>46143</v>
      </c>
      <c r="G4" s="79">
        <v>46174</v>
      </c>
      <c r="H4" s="79">
        <v>46204</v>
      </c>
      <c r="I4" s="79">
        <v>46235</v>
      </c>
      <c r="J4" s="79">
        <v>46266</v>
      </c>
      <c r="K4" s="79">
        <v>46296</v>
      </c>
      <c r="L4" s="79">
        <v>46327</v>
      </c>
      <c r="M4" s="79">
        <v>46357</v>
      </c>
    </row>
    <row r="5" spans="1:13" x14ac:dyDescent="0.2">
      <c r="A5" s="78" t="s">
        <v>110</v>
      </c>
      <c r="B5" s="42">
        <v>422788</v>
      </c>
      <c r="C5" s="42">
        <f t="shared" ref="C5:M5" si="0">B16</f>
        <v>1802788</v>
      </c>
      <c r="D5" s="42">
        <f t="shared" si="0"/>
        <v>2082788</v>
      </c>
      <c r="E5" s="42">
        <f t="shared" si="0"/>
        <v>2362788</v>
      </c>
      <c r="F5" s="42">
        <f t="shared" si="0"/>
        <v>3442788</v>
      </c>
      <c r="G5" s="42">
        <f t="shared" si="0"/>
        <v>3722788</v>
      </c>
      <c r="H5" s="42">
        <f t="shared" si="0"/>
        <v>3722788</v>
      </c>
      <c r="I5" s="42">
        <f t="shared" si="0"/>
        <v>3722788</v>
      </c>
      <c r="J5" s="42">
        <f t="shared" si="0"/>
        <v>3722788</v>
      </c>
      <c r="K5" s="42">
        <f t="shared" si="0"/>
        <v>3722788</v>
      </c>
      <c r="L5" s="42">
        <f t="shared" si="0"/>
        <v>3722788</v>
      </c>
      <c r="M5" s="42">
        <f t="shared" si="0"/>
        <v>3722788</v>
      </c>
    </row>
    <row r="6" spans="1:13" x14ac:dyDescent="0.2">
      <c r="A6" s="78" t="s">
        <v>76</v>
      </c>
      <c r="B6" s="42">
        <v>1100000</v>
      </c>
      <c r="C6" s="42"/>
      <c r="D6" s="42"/>
      <c r="E6" s="42">
        <v>800000</v>
      </c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105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152" t="s">
        <v>485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486</v>
      </c>
      <c r="B9" s="42">
        <v>30000</v>
      </c>
      <c r="C9" s="42">
        <v>30000</v>
      </c>
      <c r="D9" s="42">
        <v>30000</v>
      </c>
      <c r="E9" s="42">
        <v>30000</v>
      </c>
      <c r="F9" s="42">
        <v>30000</v>
      </c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487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564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250000</v>
      </c>
      <c r="C13" s="42">
        <v>250000</v>
      </c>
      <c r="D13" s="42">
        <v>250000</v>
      </c>
      <c r="E13" s="42">
        <v>250000</v>
      </c>
      <c r="F13" s="42">
        <v>250000</v>
      </c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6</v>
      </c>
      <c r="B14" s="43">
        <f>SUM(B5:B13)</f>
        <v>1802788</v>
      </c>
      <c r="C14" s="43">
        <f t="shared" ref="C14:M14" si="1">SUM(C5:C13)</f>
        <v>2082788</v>
      </c>
      <c r="D14" s="43">
        <f t="shared" si="1"/>
        <v>2362788</v>
      </c>
      <c r="E14" s="43">
        <f t="shared" si="1"/>
        <v>3442788</v>
      </c>
      <c r="F14" s="43">
        <f t="shared" si="1"/>
        <v>3722788</v>
      </c>
      <c r="G14" s="43">
        <f t="shared" si="1"/>
        <v>3722788</v>
      </c>
      <c r="H14" s="43">
        <f t="shared" si="1"/>
        <v>3722788</v>
      </c>
      <c r="I14" s="43">
        <f t="shared" si="1"/>
        <v>3722788</v>
      </c>
      <c r="J14" s="43">
        <f t="shared" si="1"/>
        <v>3722788</v>
      </c>
      <c r="K14" s="43">
        <f t="shared" si="1"/>
        <v>3722788</v>
      </c>
      <c r="L14" s="43">
        <f t="shared" si="1"/>
        <v>3722788</v>
      </c>
      <c r="M14" s="43">
        <f t="shared" si="1"/>
        <v>3722788</v>
      </c>
    </row>
    <row r="15" spans="1:13" x14ac:dyDescent="0.2">
      <c r="A15" s="78" t="s">
        <v>7</v>
      </c>
      <c r="B15" s="44"/>
      <c r="C15" s="44"/>
      <c r="D15" s="44"/>
      <c r="E15" s="44"/>
      <c r="F15" s="185"/>
      <c r="G15" s="44"/>
      <c r="H15" s="44"/>
      <c r="I15" s="44"/>
      <c r="J15" s="44"/>
      <c r="K15" s="44"/>
      <c r="L15" s="44"/>
      <c r="M15" s="44"/>
    </row>
    <row r="16" spans="1:13" x14ac:dyDescent="0.2">
      <c r="A16" s="78" t="s">
        <v>111</v>
      </c>
      <c r="B16" s="43">
        <f>B14-B15</f>
        <v>1802788</v>
      </c>
      <c r="C16" s="43">
        <f>C14-C15</f>
        <v>2082788</v>
      </c>
      <c r="D16" s="43">
        <f t="shared" ref="D16:M16" si="2">D14-D15</f>
        <v>2362788</v>
      </c>
      <c r="E16" s="43">
        <f t="shared" si="2"/>
        <v>3442788</v>
      </c>
      <c r="F16" s="43">
        <f t="shared" si="2"/>
        <v>3722788</v>
      </c>
      <c r="G16" s="43">
        <f t="shared" si="2"/>
        <v>3722788</v>
      </c>
      <c r="H16" s="43">
        <f t="shared" si="2"/>
        <v>3722788</v>
      </c>
      <c r="I16" s="43">
        <f t="shared" si="2"/>
        <v>3722788</v>
      </c>
      <c r="J16" s="43">
        <f t="shared" si="2"/>
        <v>3722788</v>
      </c>
      <c r="K16" s="43">
        <f t="shared" si="2"/>
        <v>3722788</v>
      </c>
      <c r="L16" s="43">
        <f t="shared" si="2"/>
        <v>3722788</v>
      </c>
      <c r="M16" s="43">
        <f t="shared" si="2"/>
        <v>3722788</v>
      </c>
    </row>
    <row r="19" spans="1:13" x14ac:dyDescent="0.2">
      <c r="A19" s="50" t="s">
        <v>0</v>
      </c>
      <c r="B19" s="50" t="s">
        <v>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9">
        <v>45658</v>
      </c>
      <c r="C20" s="79">
        <v>45689</v>
      </c>
      <c r="D20" s="79">
        <v>45717</v>
      </c>
      <c r="E20" s="79">
        <v>45748</v>
      </c>
      <c r="F20" s="79">
        <v>45778</v>
      </c>
      <c r="G20" s="79">
        <v>45809</v>
      </c>
      <c r="H20" s="79">
        <v>45839</v>
      </c>
      <c r="I20" s="79">
        <v>45870</v>
      </c>
      <c r="J20" s="79">
        <v>45901</v>
      </c>
      <c r="K20" s="79">
        <v>45931</v>
      </c>
      <c r="L20" s="79">
        <v>45962</v>
      </c>
      <c r="M20" s="79">
        <v>45992</v>
      </c>
    </row>
    <row r="21" spans="1:13" x14ac:dyDescent="0.2">
      <c r="A21" s="78" t="s">
        <v>110</v>
      </c>
      <c r="B21" s="42">
        <v>560000</v>
      </c>
      <c r="C21" s="42">
        <f t="shared" ref="C21:M21" si="3">B32</f>
        <v>721000</v>
      </c>
      <c r="D21" s="42">
        <f t="shared" si="3"/>
        <v>955248</v>
      </c>
      <c r="E21" s="42">
        <f t="shared" si="3"/>
        <v>1157548</v>
      </c>
      <c r="F21" s="42">
        <f t="shared" si="3"/>
        <v>1359848</v>
      </c>
      <c r="G21" s="42">
        <f t="shared" si="3"/>
        <v>1562148</v>
      </c>
      <c r="H21" s="42">
        <f t="shared" si="3"/>
        <v>1764448</v>
      </c>
      <c r="I21" s="42">
        <f t="shared" si="3"/>
        <v>1959448</v>
      </c>
      <c r="J21" s="42">
        <f t="shared" si="3"/>
        <v>2164448</v>
      </c>
      <c r="K21" s="42">
        <f t="shared" si="3"/>
        <v>2369448</v>
      </c>
      <c r="L21" s="42">
        <f t="shared" si="3"/>
        <v>2574448</v>
      </c>
      <c r="M21" s="42">
        <f t="shared" si="3"/>
        <v>2779448</v>
      </c>
    </row>
    <row r="22" spans="1:13" x14ac:dyDescent="0.2">
      <c r="A22" s="78" t="s">
        <v>76</v>
      </c>
      <c r="B22" s="42"/>
      <c r="C22" s="42">
        <f>850000+400000</f>
        <v>1250000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105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152" t="s">
        <v>485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486</v>
      </c>
      <c r="B25" s="42">
        <v>41000</v>
      </c>
      <c r="C25" s="42">
        <v>35000</v>
      </c>
      <c r="D25" s="42">
        <v>22300</v>
      </c>
      <c r="E25" s="42">
        <v>22300</v>
      </c>
      <c r="F25" s="42">
        <v>22300</v>
      </c>
      <c r="G25" s="42">
        <v>22300</v>
      </c>
      <c r="H25" s="42">
        <v>15000</v>
      </c>
      <c r="I25" s="42">
        <v>25000</v>
      </c>
      <c r="J25" s="42">
        <v>25000</v>
      </c>
      <c r="K25" s="42">
        <v>25000</v>
      </c>
      <c r="L25" s="42">
        <v>25000</v>
      </c>
      <c r="M25" s="42">
        <v>30000</v>
      </c>
    </row>
    <row r="26" spans="1:13" x14ac:dyDescent="0.2">
      <c r="A26" s="78" t="s">
        <v>487</v>
      </c>
      <c r="B26" s="42"/>
      <c r="C26" s="42"/>
      <c r="D26" s="42"/>
      <c r="E26" s="42"/>
      <c r="F26" s="42"/>
      <c r="G26" s="42"/>
      <c r="H26" s="42"/>
      <c r="I26" s="42" t="s">
        <v>551</v>
      </c>
      <c r="J26" s="42"/>
      <c r="K26" s="42"/>
      <c r="L26" s="42"/>
      <c r="M26" s="42"/>
    </row>
    <row r="27" spans="1:13" x14ac:dyDescent="0.2">
      <c r="A27" s="78" t="s">
        <v>529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508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120000</v>
      </c>
      <c r="C29" s="42">
        <v>120000</v>
      </c>
      <c r="D29" s="42">
        <v>180000</v>
      </c>
      <c r="E29" s="42">
        <v>180000</v>
      </c>
      <c r="F29" s="42">
        <v>180000</v>
      </c>
      <c r="G29" s="42">
        <v>180000</v>
      </c>
      <c r="H29" s="42">
        <v>180000</v>
      </c>
      <c r="I29" s="42">
        <v>180000</v>
      </c>
      <c r="J29" s="42">
        <v>180000</v>
      </c>
      <c r="K29" s="42">
        <v>180000</v>
      </c>
      <c r="L29" s="42">
        <v>180000</v>
      </c>
      <c r="M29" s="42">
        <v>180000</v>
      </c>
    </row>
    <row r="30" spans="1:13" x14ac:dyDescent="0.2">
      <c r="A30" s="78" t="s">
        <v>6</v>
      </c>
      <c r="B30" s="43">
        <f>SUM(B21:B29)</f>
        <v>721000</v>
      </c>
      <c r="C30" s="43">
        <f t="shared" ref="C30:M30" si="4">SUM(C21:C29)</f>
        <v>2126000</v>
      </c>
      <c r="D30" s="43">
        <f t="shared" si="4"/>
        <v>1157548</v>
      </c>
      <c r="E30" s="43">
        <f t="shared" si="4"/>
        <v>1359848</v>
      </c>
      <c r="F30" s="43">
        <f t="shared" si="4"/>
        <v>1562148</v>
      </c>
      <c r="G30" s="43">
        <f t="shared" si="4"/>
        <v>1764448</v>
      </c>
      <c r="H30" s="43">
        <f t="shared" si="4"/>
        <v>1959448</v>
      </c>
      <c r="I30" s="43">
        <f t="shared" si="4"/>
        <v>2164448</v>
      </c>
      <c r="J30" s="43">
        <f t="shared" si="4"/>
        <v>2369448</v>
      </c>
      <c r="K30" s="43">
        <f t="shared" si="4"/>
        <v>2574448</v>
      </c>
      <c r="L30" s="43">
        <f t="shared" si="4"/>
        <v>2779448</v>
      </c>
      <c r="M30" s="43">
        <f t="shared" si="4"/>
        <v>2989448</v>
      </c>
    </row>
    <row r="31" spans="1:13" x14ac:dyDescent="0.2">
      <c r="A31" s="78" t="s">
        <v>7</v>
      </c>
      <c r="B31" s="44"/>
      <c r="C31" s="44">
        <v>1170752</v>
      </c>
      <c r="D31" s="44"/>
      <c r="E31" s="44"/>
      <c r="F31" s="44"/>
      <c r="G31" s="44"/>
      <c r="H31" s="44"/>
      <c r="I31" s="44"/>
      <c r="J31" s="44"/>
      <c r="K31" s="44"/>
      <c r="L31" s="44"/>
      <c r="M31" s="44">
        <v>2566660</v>
      </c>
    </row>
    <row r="32" spans="1:13" x14ac:dyDescent="0.2">
      <c r="A32" s="78" t="s">
        <v>111</v>
      </c>
      <c r="B32" s="43">
        <f>B30-B31</f>
        <v>721000</v>
      </c>
      <c r="C32" s="43">
        <f>C30-C31</f>
        <v>955248</v>
      </c>
      <c r="D32" s="43">
        <f t="shared" ref="D32:M32" si="5">D30-D31</f>
        <v>1157548</v>
      </c>
      <c r="E32" s="43">
        <f t="shared" si="5"/>
        <v>1359848</v>
      </c>
      <c r="F32" s="43">
        <f t="shared" si="5"/>
        <v>1562148</v>
      </c>
      <c r="G32" s="43">
        <f t="shared" si="5"/>
        <v>1764448</v>
      </c>
      <c r="H32" s="43">
        <f t="shared" si="5"/>
        <v>1959448</v>
      </c>
      <c r="I32" s="43">
        <f t="shared" si="5"/>
        <v>2164448</v>
      </c>
      <c r="J32" s="43">
        <f t="shared" si="5"/>
        <v>2369448</v>
      </c>
      <c r="K32" s="43">
        <f t="shared" si="5"/>
        <v>2574448</v>
      </c>
      <c r="L32" s="43">
        <f t="shared" si="5"/>
        <v>2779448</v>
      </c>
      <c r="M32" s="43">
        <f t="shared" si="5"/>
        <v>422788</v>
      </c>
    </row>
    <row r="33" spans="13:13" x14ac:dyDescent="0.2">
      <c r="M33" t="s">
        <v>768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7"/>
  <dimension ref="A3:N36"/>
  <sheetViews>
    <sheetView topLeftCell="A16" workbookViewId="0">
      <selection activeCell="F32" sqref="F32"/>
    </sheetView>
  </sheetViews>
  <sheetFormatPr baseColWidth="10" defaultRowHeight="12.75" x14ac:dyDescent="0.2"/>
  <cols>
    <col min="1" max="1" width="30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x14ac:dyDescent="0.2">
      <c r="A4" s="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ht="15" x14ac:dyDescent="0.2">
      <c r="A5" s="8" t="s">
        <v>110</v>
      </c>
      <c r="B5" s="42"/>
      <c r="C5" s="42"/>
      <c r="D5" s="42">
        <f t="shared" ref="D5:M5" si="0">C16</f>
        <v>0</v>
      </c>
      <c r="E5" s="42">
        <f t="shared" si="0"/>
        <v>0</v>
      </c>
      <c r="F5" s="42">
        <f t="shared" si="0"/>
        <v>211000</v>
      </c>
      <c r="G5" s="42">
        <f t="shared" si="0"/>
        <v>-209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ht="15" x14ac:dyDescent="0.2">
      <c r="A6" s="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" x14ac:dyDescent="0.2">
      <c r="A7" s="8" t="s">
        <v>231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4</v>
      </c>
      <c r="B8" s="42">
        <v>105000</v>
      </c>
      <c r="C8" s="42">
        <v>116000</v>
      </c>
      <c r="D8" s="42">
        <v>97100</v>
      </c>
      <c r="E8" s="42">
        <v>121000</v>
      </c>
      <c r="F8" s="42">
        <v>120990</v>
      </c>
      <c r="G8" s="42">
        <v>110000</v>
      </c>
      <c r="H8" s="42">
        <v>196360</v>
      </c>
      <c r="I8" s="42">
        <v>169000</v>
      </c>
      <c r="J8" s="42">
        <v>159360</v>
      </c>
      <c r="K8" s="42">
        <v>176000</v>
      </c>
      <c r="L8" s="42">
        <v>183000</v>
      </c>
      <c r="M8" s="42">
        <v>182630</v>
      </c>
    </row>
    <row r="9" spans="1:13" ht="15" x14ac:dyDescent="0.2">
      <c r="A9" s="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731</v>
      </c>
      <c r="B10" s="42"/>
      <c r="C10" s="42"/>
      <c r="D10" s="42"/>
      <c r="E10" s="42"/>
      <c r="F10" s="42"/>
      <c r="G10" s="42">
        <v>32300</v>
      </c>
      <c r="H10" s="42">
        <v>32300</v>
      </c>
      <c r="I10" s="42">
        <v>37100</v>
      </c>
      <c r="J10" s="42">
        <v>37100</v>
      </c>
      <c r="K10" s="42">
        <v>37100</v>
      </c>
      <c r="L10" s="42">
        <v>37100</v>
      </c>
      <c r="M10" s="42">
        <v>37100</v>
      </c>
    </row>
    <row r="11" spans="1:13" ht="15" x14ac:dyDescent="0.2">
      <c r="A11" s="8" t="s">
        <v>456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454</v>
      </c>
      <c r="B12" s="42"/>
      <c r="C12" s="42"/>
      <c r="D12" s="42"/>
      <c r="E12" s="42"/>
      <c r="F12" s="42"/>
      <c r="G12" s="42">
        <v>50000</v>
      </c>
      <c r="H12" s="42"/>
      <c r="I12" s="42"/>
      <c r="J12" s="42"/>
      <c r="K12" s="42"/>
      <c r="L12" s="42"/>
      <c r="M12" s="42"/>
    </row>
    <row r="13" spans="1:13" ht="15" x14ac:dyDescent="0.2">
      <c r="A13" s="8" t="s">
        <v>5</v>
      </c>
      <c r="B13" s="42">
        <v>90000</v>
      </c>
      <c r="C13" s="42">
        <v>90000</v>
      </c>
      <c r="D13" s="42">
        <v>90000</v>
      </c>
      <c r="E13" s="42">
        <v>90000</v>
      </c>
      <c r="F13" s="42">
        <v>90000</v>
      </c>
      <c r="G13" s="42">
        <v>90000</v>
      </c>
      <c r="H13" s="42">
        <v>100000</v>
      </c>
      <c r="I13" s="42">
        <v>110000</v>
      </c>
      <c r="J13" s="42">
        <v>120000</v>
      </c>
      <c r="K13" s="42">
        <v>120000</v>
      </c>
      <c r="L13" s="42">
        <v>125000</v>
      </c>
      <c r="M13" s="42">
        <v>125000</v>
      </c>
    </row>
    <row r="14" spans="1:13" ht="15" x14ac:dyDescent="0.2">
      <c r="A14" s="8" t="s">
        <v>6</v>
      </c>
      <c r="B14" s="43">
        <f t="shared" ref="B14:M14" si="1">SUM(B5:B13)</f>
        <v>195000</v>
      </c>
      <c r="C14" s="43">
        <f t="shared" si="1"/>
        <v>206000</v>
      </c>
      <c r="D14" s="43">
        <f t="shared" si="1"/>
        <v>187100</v>
      </c>
      <c r="E14" s="43">
        <f t="shared" si="1"/>
        <v>211000</v>
      </c>
      <c r="F14" s="43">
        <f t="shared" si="1"/>
        <v>421990</v>
      </c>
      <c r="G14" s="43">
        <f t="shared" si="1"/>
        <v>282091</v>
      </c>
      <c r="H14" s="43">
        <f t="shared" si="1"/>
        <v>328660</v>
      </c>
      <c r="I14" s="43">
        <f t="shared" si="1"/>
        <v>316100</v>
      </c>
      <c r="J14" s="43">
        <f t="shared" si="1"/>
        <v>316460</v>
      </c>
      <c r="K14" s="43">
        <f t="shared" si="1"/>
        <v>333100</v>
      </c>
      <c r="L14" s="43">
        <f t="shared" si="1"/>
        <v>345100</v>
      </c>
      <c r="M14" s="43">
        <f t="shared" si="1"/>
        <v>344730</v>
      </c>
    </row>
    <row r="15" spans="1:13" ht="15" x14ac:dyDescent="0.2">
      <c r="A15" s="8" t="s">
        <v>7</v>
      </c>
      <c r="B15" s="44">
        <v>195000</v>
      </c>
      <c r="C15" s="44">
        <v>206000</v>
      </c>
      <c r="D15" s="44">
        <v>187100</v>
      </c>
      <c r="E15" s="44"/>
      <c r="F15" s="44">
        <f>222199+200000</f>
        <v>422199</v>
      </c>
      <c r="G15" s="44">
        <v>282091</v>
      </c>
      <c r="H15" s="43">
        <v>328660</v>
      </c>
      <c r="I15" s="44">
        <v>316100</v>
      </c>
      <c r="J15" s="44">
        <v>316460</v>
      </c>
      <c r="K15" s="44">
        <v>333100</v>
      </c>
      <c r="L15" s="44">
        <v>345100</v>
      </c>
      <c r="M15" s="44">
        <v>344730</v>
      </c>
    </row>
    <row r="16" spans="1:13" ht="15" x14ac:dyDescent="0.2">
      <c r="A16" s="8" t="s">
        <v>111</v>
      </c>
      <c r="B16" s="43">
        <f t="shared" ref="B16:M16" si="2">B14-B15</f>
        <v>0</v>
      </c>
      <c r="C16" s="43">
        <f t="shared" si="2"/>
        <v>0</v>
      </c>
      <c r="D16" s="43">
        <f t="shared" si="2"/>
        <v>0</v>
      </c>
      <c r="E16" s="43">
        <f t="shared" si="2"/>
        <v>211000</v>
      </c>
      <c r="F16" s="43">
        <f t="shared" si="2"/>
        <v>-209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</row>
    <row r="17" spans="1:14" x14ac:dyDescent="0.2">
      <c r="G17" s="128">
        <v>45110</v>
      </c>
    </row>
    <row r="21" spans="1:14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4" ht="15" x14ac:dyDescent="0.2">
      <c r="A22" s="8"/>
      <c r="B22" s="79">
        <v>46023</v>
      </c>
      <c r="C22" s="79">
        <v>46054</v>
      </c>
      <c r="D22" s="79">
        <v>46082</v>
      </c>
      <c r="E22" s="79">
        <v>46113</v>
      </c>
      <c r="F22" s="79">
        <v>46143</v>
      </c>
      <c r="G22" s="79">
        <v>46174</v>
      </c>
      <c r="H22" s="79">
        <v>46204</v>
      </c>
      <c r="I22" s="79">
        <v>46235</v>
      </c>
      <c r="J22" s="79">
        <v>46266</v>
      </c>
      <c r="K22" s="79">
        <v>46296</v>
      </c>
      <c r="L22" s="79">
        <v>46327</v>
      </c>
      <c r="M22" s="79">
        <v>46357</v>
      </c>
    </row>
    <row r="23" spans="1:14" ht="15" x14ac:dyDescent="0.2">
      <c r="A23" s="8" t="s">
        <v>110</v>
      </c>
      <c r="B23" s="42"/>
      <c r="C23" s="42">
        <f>B34</f>
        <v>0</v>
      </c>
      <c r="D23" s="42">
        <f t="shared" ref="D23:M23" si="3">C34</f>
        <v>0</v>
      </c>
      <c r="E23" s="42">
        <f t="shared" si="3"/>
        <v>0</v>
      </c>
      <c r="F23" s="42">
        <f t="shared" si="3"/>
        <v>0</v>
      </c>
      <c r="G23" s="42">
        <f t="shared" si="3"/>
        <v>332500</v>
      </c>
      <c r="H23" s="42">
        <f t="shared" si="3"/>
        <v>332500</v>
      </c>
      <c r="I23" s="42">
        <f t="shared" si="3"/>
        <v>332500</v>
      </c>
      <c r="J23" s="42">
        <f t="shared" si="3"/>
        <v>332500</v>
      </c>
      <c r="K23" s="42">
        <f>J34</f>
        <v>332500</v>
      </c>
      <c r="L23" s="42">
        <f t="shared" si="3"/>
        <v>332500</v>
      </c>
      <c r="M23" s="42">
        <f t="shared" si="3"/>
        <v>332500</v>
      </c>
    </row>
    <row r="24" spans="1:14" ht="15" x14ac:dyDescent="0.2">
      <c r="A24" s="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4" ht="15" x14ac:dyDescent="0.2">
      <c r="A25" s="8" t="s">
        <v>231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126">
        <v>1100</v>
      </c>
    </row>
    <row r="26" spans="1:14" ht="15" x14ac:dyDescent="0.2">
      <c r="A26" s="8" t="s">
        <v>4</v>
      </c>
      <c r="B26" s="42">
        <v>213500</v>
      </c>
      <c r="C26" s="42">
        <v>156000</v>
      </c>
      <c r="D26" s="42">
        <v>157200</v>
      </c>
      <c r="E26" s="42">
        <v>162000</v>
      </c>
      <c r="F26" s="42">
        <v>140000</v>
      </c>
      <c r="G26" s="42"/>
      <c r="H26" s="42"/>
      <c r="I26" s="42"/>
      <c r="J26" s="42"/>
      <c r="K26" s="42"/>
      <c r="L26" s="42"/>
      <c r="M26" s="42"/>
      <c r="N26" s="126">
        <v>1800</v>
      </c>
    </row>
    <row r="27" spans="1:14" ht="15" x14ac:dyDescent="0.2">
      <c r="A27" s="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4" ht="15" x14ac:dyDescent="0.2">
      <c r="A28" s="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4" ht="15" x14ac:dyDescent="0.2">
      <c r="A29" s="8" t="s">
        <v>501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4" ht="15" x14ac:dyDescent="0.2">
      <c r="A30" s="8" t="s">
        <v>775</v>
      </c>
      <c r="B30" s="42">
        <v>42500</v>
      </c>
      <c r="C30" s="42">
        <v>42500</v>
      </c>
      <c r="D30" s="42">
        <v>42500</v>
      </c>
      <c r="E30" s="42">
        <v>42500</v>
      </c>
      <c r="F30" s="42">
        <v>42500</v>
      </c>
      <c r="G30" s="42"/>
      <c r="H30" s="42"/>
      <c r="I30" s="42"/>
      <c r="J30" s="42"/>
      <c r="K30" s="42"/>
      <c r="L30" s="42"/>
      <c r="M30" s="42"/>
    </row>
    <row r="31" spans="1:14" ht="15" x14ac:dyDescent="0.2">
      <c r="A31" s="8" t="s">
        <v>5</v>
      </c>
      <c r="B31" s="42">
        <v>150000</v>
      </c>
      <c r="C31" s="42">
        <v>150000</v>
      </c>
      <c r="D31" s="42">
        <v>150000</v>
      </c>
      <c r="E31" s="42">
        <v>150000</v>
      </c>
      <c r="F31" s="42">
        <v>150000</v>
      </c>
      <c r="G31" s="42"/>
      <c r="H31" s="42"/>
      <c r="I31" s="42"/>
      <c r="J31" s="42"/>
      <c r="K31" s="42"/>
      <c r="L31" s="42"/>
      <c r="M31" s="42"/>
      <c r="N31" s="126">
        <v>2000</v>
      </c>
    </row>
    <row r="32" spans="1:14" ht="15" x14ac:dyDescent="0.2">
      <c r="A32" s="8" t="s">
        <v>6</v>
      </c>
      <c r="B32" s="43">
        <f t="shared" ref="B32:M32" si="4">SUM(B23:B31)</f>
        <v>406000</v>
      </c>
      <c r="C32" s="43">
        <f t="shared" si="4"/>
        <v>348500</v>
      </c>
      <c r="D32" s="43">
        <f t="shared" si="4"/>
        <v>349700</v>
      </c>
      <c r="E32" s="43">
        <f t="shared" si="4"/>
        <v>354500</v>
      </c>
      <c r="F32" s="43">
        <f t="shared" si="4"/>
        <v>332500</v>
      </c>
      <c r="G32" s="43">
        <f t="shared" si="4"/>
        <v>332500</v>
      </c>
      <c r="H32" s="43">
        <f t="shared" si="4"/>
        <v>332500</v>
      </c>
      <c r="I32" s="43">
        <f t="shared" si="4"/>
        <v>332500</v>
      </c>
      <c r="J32" s="43">
        <f t="shared" si="4"/>
        <v>332500</v>
      </c>
      <c r="K32" s="43">
        <f t="shared" si="4"/>
        <v>332500</v>
      </c>
      <c r="L32" s="43">
        <f t="shared" si="4"/>
        <v>332500</v>
      </c>
      <c r="M32" s="43">
        <f t="shared" si="4"/>
        <v>332500</v>
      </c>
    </row>
    <row r="33" spans="1:13" ht="15" x14ac:dyDescent="0.2">
      <c r="A33" s="8" t="s">
        <v>7</v>
      </c>
      <c r="B33" s="44">
        <v>406000</v>
      </c>
      <c r="C33" s="44">
        <v>348500</v>
      </c>
      <c r="D33" s="44">
        <v>349700</v>
      </c>
      <c r="E33" s="44">
        <v>354500</v>
      </c>
      <c r="F33" s="44"/>
      <c r="G33" s="44"/>
      <c r="H33" s="44"/>
      <c r="I33" s="44"/>
      <c r="J33" s="44"/>
      <c r="K33" s="44"/>
      <c r="L33" s="44"/>
      <c r="M33" s="44"/>
    </row>
    <row r="34" spans="1:13" ht="15" x14ac:dyDescent="0.2">
      <c r="A34" s="8" t="s">
        <v>111</v>
      </c>
      <c r="B34" s="43">
        <f t="shared" ref="B34:M34" si="5">B32-B33</f>
        <v>0</v>
      </c>
      <c r="C34" s="43">
        <f t="shared" si="5"/>
        <v>0</v>
      </c>
      <c r="D34" s="43">
        <f t="shared" si="5"/>
        <v>0</v>
      </c>
      <c r="E34" s="43">
        <f t="shared" si="5"/>
        <v>0</v>
      </c>
      <c r="F34" s="43">
        <f t="shared" si="5"/>
        <v>332500</v>
      </c>
      <c r="G34" s="43">
        <f t="shared" si="5"/>
        <v>332500</v>
      </c>
      <c r="H34" s="43">
        <f t="shared" si="5"/>
        <v>332500</v>
      </c>
      <c r="I34" s="43">
        <f t="shared" si="5"/>
        <v>332500</v>
      </c>
      <c r="J34" s="43">
        <f t="shared" si="5"/>
        <v>332500</v>
      </c>
      <c r="K34" s="43">
        <f t="shared" si="5"/>
        <v>332500</v>
      </c>
      <c r="L34" s="43">
        <f t="shared" si="5"/>
        <v>332500</v>
      </c>
      <c r="M34" s="43">
        <f t="shared" si="5"/>
        <v>332500</v>
      </c>
    </row>
    <row r="35" spans="1:13" x14ac:dyDescent="0.2">
      <c r="B35" s="128">
        <v>43494</v>
      </c>
    </row>
    <row r="36" spans="1:13" x14ac:dyDescent="0.2">
      <c r="F36" s="78" t="s">
        <v>576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8"/>
  <dimension ref="A4:M35"/>
  <sheetViews>
    <sheetView topLeftCell="A13" workbookViewId="0">
      <selection activeCell="D23" sqref="D23"/>
    </sheetView>
  </sheetViews>
  <sheetFormatPr baseColWidth="10" defaultRowHeight="12.75" x14ac:dyDescent="0.2"/>
  <cols>
    <col min="1" max="1" width="32.42578125" customWidth="1"/>
    <col min="2" max="2" width="11.85546875" bestFit="1" customWidth="1"/>
    <col min="3" max="3" width="11.85546875" customWidth="1"/>
    <col min="4" max="4" width="12.5703125" customWidth="1"/>
    <col min="5" max="5" width="11.7109375" customWidth="1"/>
    <col min="6" max="6" width="12" customWidth="1"/>
    <col min="7" max="7" width="12.42578125" customWidth="1"/>
    <col min="8" max="8" width="12" customWidth="1"/>
    <col min="9" max="9" width="12.140625" customWidth="1"/>
    <col min="10" max="10" width="12.42578125" customWidth="1"/>
    <col min="11" max="11" width="12.28515625" customWidth="1"/>
    <col min="12" max="12" width="12.140625" customWidth="1"/>
    <col min="13" max="13" width="13.140625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" x14ac:dyDescent="0.2">
      <c r="A5" s="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ht="15" x14ac:dyDescent="0.2">
      <c r="A6" s="8" t="s">
        <v>110</v>
      </c>
      <c r="B6" s="42"/>
      <c r="C6" s="42"/>
      <c r="D6" s="42">
        <f t="shared" ref="D6:M6" si="0">C17</f>
        <v>72300</v>
      </c>
      <c r="E6" s="42">
        <f t="shared" si="0"/>
        <v>144600</v>
      </c>
      <c r="F6" s="42">
        <f t="shared" si="0"/>
        <v>216900</v>
      </c>
      <c r="G6" s="42">
        <f t="shared" si="0"/>
        <v>289200</v>
      </c>
      <c r="H6" s="42">
        <f t="shared" si="0"/>
        <v>361500</v>
      </c>
      <c r="I6" s="42">
        <f t="shared" si="0"/>
        <v>438600</v>
      </c>
      <c r="J6" s="42">
        <f t="shared" si="0"/>
        <v>515700</v>
      </c>
      <c r="K6" s="42">
        <f t="shared" si="0"/>
        <v>642800</v>
      </c>
      <c r="L6" s="42">
        <f t="shared" si="0"/>
        <v>719900</v>
      </c>
      <c r="M6" s="42">
        <f t="shared" si="0"/>
        <v>797000</v>
      </c>
    </row>
    <row r="7" spans="1:13" ht="15" x14ac:dyDescent="0.2">
      <c r="A7" s="8" t="s">
        <v>344</v>
      </c>
      <c r="B7" s="42">
        <v>32300</v>
      </c>
      <c r="C7" s="42">
        <v>32300</v>
      </c>
      <c r="D7" s="42">
        <v>32300</v>
      </c>
      <c r="E7" s="42">
        <v>32300</v>
      </c>
      <c r="F7" s="42">
        <v>32300</v>
      </c>
      <c r="G7" s="42">
        <v>32300</v>
      </c>
      <c r="H7" s="42">
        <v>37100</v>
      </c>
      <c r="I7" s="42">
        <v>37100</v>
      </c>
      <c r="J7" s="42">
        <v>37100</v>
      </c>
      <c r="K7" s="42">
        <v>37100</v>
      </c>
      <c r="L7" s="42">
        <v>37100</v>
      </c>
      <c r="M7" s="42">
        <v>37100</v>
      </c>
    </row>
    <row r="8" spans="1:13" ht="15" x14ac:dyDescent="0.2">
      <c r="A8" s="8" t="s">
        <v>231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752</v>
      </c>
      <c r="B10" s="42"/>
      <c r="C10" s="42"/>
      <c r="D10" s="42"/>
      <c r="E10" s="42"/>
      <c r="F10" s="42"/>
      <c r="G10" s="42"/>
      <c r="H10" s="42"/>
      <c r="I10" s="42"/>
      <c r="J10" s="42">
        <v>50000</v>
      </c>
      <c r="K10" s="42"/>
      <c r="L10" s="42"/>
      <c r="M10" s="42"/>
    </row>
    <row r="11" spans="1:13" ht="15" x14ac:dyDescent="0.2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667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ht="15" x14ac:dyDescent="0.2">
      <c r="A14" s="8" t="s">
        <v>5</v>
      </c>
      <c r="B14" s="42">
        <v>40000</v>
      </c>
      <c r="C14" s="42">
        <v>40000</v>
      </c>
      <c r="D14" s="42">
        <v>40000</v>
      </c>
      <c r="E14" s="42">
        <v>40000</v>
      </c>
      <c r="F14" s="42">
        <v>40000</v>
      </c>
      <c r="G14" s="42">
        <v>40000</v>
      </c>
      <c r="H14" s="42">
        <v>40000</v>
      </c>
      <c r="I14" s="42">
        <v>40000</v>
      </c>
      <c r="J14" s="42">
        <v>40000</v>
      </c>
      <c r="K14" s="42">
        <v>40000</v>
      </c>
      <c r="L14" s="42">
        <v>40000</v>
      </c>
      <c r="M14" s="42">
        <v>40000</v>
      </c>
    </row>
    <row r="15" spans="1:13" ht="15" x14ac:dyDescent="0.2">
      <c r="A15" s="8" t="s">
        <v>6</v>
      </c>
      <c r="B15" s="43">
        <f t="shared" ref="B15:M15" si="1">SUM(B6:B14)</f>
        <v>72300</v>
      </c>
      <c r="C15" s="43">
        <f t="shared" si="1"/>
        <v>72300</v>
      </c>
      <c r="D15" s="43">
        <f t="shared" si="1"/>
        <v>144600</v>
      </c>
      <c r="E15" s="43">
        <f t="shared" si="1"/>
        <v>216900</v>
      </c>
      <c r="F15" s="43">
        <f t="shared" si="1"/>
        <v>289200</v>
      </c>
      <c r="G15" s="43">
        <f t="shared" si="1"/>
        <v>361500</v>
      </c>
      <c r="H15" s="43">
        <f t="shared" si="1"/>
        <v>438600</v>
      </c>
      <c r="I15" s="43">
        <f t="shared" si="1"/>
        <v>515700</v>
      </c>
      <c r="J15" s="43">
        <f t="shared" si="1"/>
        <v>642800</v>
      </c>
      <c r="K15" s="43">
        <f t="shared" si="1"/>
        <v>719900</v>
      </c>
      <c r="L15" s="43">
        <f t="shared" si="1"/>
        <v>797000</v>
      </c>
      <c r="M15" s="43">
        <f t="shared" si="1"/>
        <v>874100</v>
      </c>
    </row>
    <row r="16" spans="1:13" ht="15" x14ac:dyDescent="0.2">
      <c r="A16" s="8" t="s">
        <v>7</v>
      </c>
      <c r="B16" s="44"/>
      <c r="C16" s="44"/>
      <c r="D16" s="44"/>
      <c r="E16" s="44"/>
      <c r="F16" s="44"/>
      <c r="G16" s="44"/>
      <c r="H16" s="43"/>
      <c r="I16" s="44"/>
      <c r="J16" s="44"/>
      <c r="K16" s="44"/>
      <c r="L16" s="44"/>
      <c r="M16" s="44">
        <f>500000+374100</f>
        <v>874100</v>
      </c>
    </row>
    <row r="17" spans="1:13" ht="15" x14ac:dyDescent="0.2">
      <c r="A17" s="8" t="s">
        <v>111</v>
      </c>
      <c r="B17" s="43">
        <f t="shared" ref="B17:M17" si="2">B15-B16</f>
        <v>72300</v>
      </c>
      <c r="C17" s="43">
        <f t="shared" si="2"/>
        <v>72300</v>
      </c>
      <c r="D17" s="43">
        <f t="shared" si="2"/>
        <v>144600</v>
      </c>
      <c r="E17" s="43">
        <f t="shared" si="2"/>
        <v>216900</v>
      </c>
      <c r="F17" s="43">
        <f t="shared" si="2"/>
        <v>289200</v>
      </c>
      <c r="G17" s="43">
        <f t="shared" si="2"/>
        <v>361500</v>
      </c>
      <c r="H17" s="43">
        <f t="shared" si="2"/>
        <v>438600</v>
      </c>
      <c r="I17" s="43">
        <f t="shared" si="2"/>
        <v>515700</v>
      </c>
      <c r="J17" s="43">
        <f t="shared" si="2"/>
        <v>642800</v>
      </c>
      <c r="K17" s="43">
        <f t="shared" si="2"/>
        <v>719900</v>
      </c>
      <c r="L17" s="43">
        <f t="shared" si="2"/>
        <v>797000</v>
      </c>
      <c r="M17" s="43">
        <f t="shared" si="2"/>
        <v>0</v>
      </c>
    </row>
    <row r="18" spans="1:13" x14ac:dyDescent="0.2">
      <c r="H18">
        <f>500*18</f>
        <v>9000</v>
      </c>
      <c r="K18" s="128">
        <v>44512</v>
      </c>
      <c r="L18" s="128">
        <v>44512</v>
      </c>
    </row>
    <row r="19" spans="1:13" x14ac:dyDescent="0.2">
      <c r="E19" s="128">
        <v>44330</v>
      </c>
      <c r="H19" s="128">
        <v>44417</v>
      </c>
      <c r="L19" t="s">
        <v>553</v>
      </c>
    </row>
    <row r="20" spans="1:13" ht="15" x14ac:dyDescent="0.2">
      <c r="A20" s="8"/>
      <c r="B20" s="79">
        <v>46023</v>
      </c>
      <c r="C20" s="79">
        <v>46054</v>
      </c>
      <c r="D20" s="79">
        <v>46082</v>
      </c>
      <c r="E20" s="79">
        <v>46113</v>
      </c>
      <c r="F20" s="79">
        <v>46143</v>
      </c>
      <c r="G20" s="79">
        <v>46174</v>
      </c>
      <c r="H20" s="79">
        <v>46204</v>
      </c>
      <c r="I20" s="79">
        <v>46235</v>
      </c>
      <c r="J20" s="79">
        <v>46266</v>
      </c>
      <c r="K20" s="79">
        <v>46296</v>
      </c>
      <c r="L20" s="79">
        <v>46327</v>
      </c>
      <c r="M20" s="79">
        <v>46357</v>
      </c>
    </row>
    <row r="21" spans="1:13" ht="15" x14ac:dyDescent="0.2">
      <c r="A21" s="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94000</v>
      </c>
      <c r="F21" s="42">
        <f t="shared" si="3"/>
        <v>94000</v>
      </c>
      <c r="G21" s="42">
        <f t="shared" si="3"/>
        <v>94000</v>
      </c>
      <c r="H21" s="42">
        <f t="shared" si="3"/>
        <v>94000</v>
      </c>
      <c r="I21" s="42">
        <f t="shared" si="3"/>
        <v>94000</v>
      </c>
      <c r="J21" s="42">
        <f t="shared" si="3"/>
        <v>94000</v>
      </c>
      <c r="K21" s="42">
        <f t="shared" si="3"/>
        <v>94000</v>
      </c>
      <c r="L21" s="42">
        <f t="shared" si="3"/>
        <v>94000</v>
      </c>
      <c r="M21" s="42">
        <f t="shared" si="3"/>
        <v>94000</v>
      </c>
    </row>
    <row r="22" spans="1:13" ht="15" x14ac:dyDescent="0.2">
      <c r="A22" s="8" t="s">
        <v>302</v>
      </c>
      <c r="B22" s="42"/>
      <c r="C22" s="42"/>
      <c r="D22" s="42">
        <v>94000</v>
      </c>
      <c r="E22" s="42"/>
      <c r="F22" s="42"/>
      <c r="G22" s="42"/>
      <c r="H22" s="42"/>
      <c r="I22" s="42"/>
      <c r="J22" s="42"/>
      <c r="K22" s="42"/>
      <c r="L22" s="42"/>
      <c r="M22" s="42"/>
    </row>
    <row r="23" spans="1:13" ht="15" x14ac:dyDescent="0.2">
      <c r="A23" s="8" t="s">
        <v>231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371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734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6</v>
      </c>
      <c r="B30" s="43">
        <f t="shared" ref="B30:M30" si="4">SUM(B21:B29)</f>
        <v>0</v>
      </c>
      <c r="C30" s="43">
        <f t="shared" si="4"/>
        <v>0</v>
      </c>
      <c r="D30" s="43">
        <f t="shared" si="4"/>
        <v>94000</v>
      </c>
      <c r="E30" s="43">
        <f t="shared" si="4"/>
        <v>94000</v>
      </c>
      <c r="F30" s="43">
        <f t="shared" si="4"/>
        <v>94000</v>
      </c>
      <c r="G30" s="43">
        <f t="shared" si="4"/>
        <v>94000</v>
      </c>
      <c r="H30" s="43">
        <f t="shared" si="4"/>
        <v>94000</v>
      </c>
      <c r="I30" s="43">
        <f t="shared" si="4"/>
        <v>94000</v>
      </c>
      <c r="J30" s="43">
        <f t="shared" si="4"/>
        <v>94000</v>
      </c>
      <c r="K30" s="43">
        <f t="shared" si="4"/>
        <v>94000</v>
      </c>
      <c r="L30" s="43">
        <f t="shared" si="4"/>
        <v>94000</v>
      </c>
      <c r="M30" s="43">
        <f t="shared" si="4"/>
        <v>94000</v>
      </c>
    </row>
    <row r="31" spans="1:13" ht="15" x14ac:dyDescent="0.2">
      <c r="A31" s="8" t="s">
        <v>7</v>
      </c>
      <c r="B31" s="44"/>
      <c r="C31" s="44"/>
      <c r="D31" s="44"/>
      <c r="E31" s="44"/>
      <c r="F31" s="44"/>
      <c r="G31" s="44"/>
      <c r="H31" s="43"/>
      <c r="I31" s="44"/>
      <c r="J31" s="44"/>
      <c r="K31" s="44"/>
      <c r="L31" s="44"/>
      <c r="M31" s="44"/>
    </row>
    <row r="32" spans="1:13" ht="15" x14ac:dyDescent="0.2">
      <c r="A32" s="8" t="s">
        <v>111</v>
      </c>
      <c r="B32" s="43">
        <f t="shared" ref="B32:M32" si="5">B30-B31</f>
        <v>0</v>
      </c>
      <c r="C32" s="43">
        <f t="shared" si="5"/>
        <v>0</v>
      </c>
      <c r="D32" s="43">
        <f t="shared" si="5"/>
        <v>94000</v>
      </c>
      <c r="E32" s="43">
        <f t="shared" si="5"/>
        <v>94000</v>
      </c>
      <c r="F32" s="43">
        <f t="shared" si="5"/>
        <v>94000</v>
      </c>
      <c r="G32" s="43">
        <f t="shared" si="5"/>
        <v>94000</v>
      </c>
      <c r="H32" s="43">
        <f t="shared" si="5"/>
        <v>94000</v>
      </c>
      <c r="I32" s="43">
        <f t="shared" si="5"/>
        <v>94000</v>
      </c>
      <c r="J32" s="43">
        <f t="shared" si="5"/>
        <v>94000</v>
      </c>
      <c r="K32" s="43">
        <f t="shared" si="5"/>
        <v>94000</v>
      </c>
      <c r="L32" s="43">
        <f t="shared" si="5"/>
        <v>94000</v>
      </c>
      <c r="M32" s="43">
        <f t="shared" si="5"/>
        <v>94000</v>
      </c>
    </row>
    <row r="35" spans="2:6" x14ac:dyDescent="0.2">
      <c r="B35" t="s">
        <v>681</v>
      </c>
      <c r="D35">
        <v>2</v>
      </c>
      <c r="E35">
        <v>240000</v>
      </c>
      <c r="F35" t="s">
        <v>686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9"/>
  <dimension ref="A5:M54"/>
  <sheetViews>
    <sheetView topLeftCell="A34" workbookViewId="0">
      <selection activeCell="M52" sqref="M52"/>
    </sheetView>
  </sheetViews>
  <sheetFormatPr baseColWidth="10" defaultRowHeight="12.75" x14ac:dyDescent="0.2"/>
  <cols>
    <col min="1" max="1" width="37.140625" customWidth="1"/>
  </cols>
  <sheetData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" x14ac:dyDescent="0.2">
      <c r="A6" s="8"/>
      <c r="B6" s="79">
        <v>43831</v>
      </c>
      <c r="C6" s="79">
        <v>43862</v>
      </c>
      <c r="D6" s="79">
        <v>43891</v>
      </c>
      <c r="E6" s="79">
        <v>43922</v>
      </c>
      <c r="F6" s="79">
        <v>43952</v>
      </c>
      <c r="G6" s="79">
        <v>43983</v>
      </c>
      <c r="H6" s="79">
        <v>44013</v>
      </c>
      <c r="I6" s="79">
        <v>44044</v>
      </c>
      <c r="J6" s="79">
        <v>44075</v>
      </c>
      <c r="K6" s="79">
        <v>44105</v>
      </c>
      <c r="L6" s="79">
        <v>44136</v>
      </c>
      <c r="M6" s="79">
        <v>44166</v>
      </c>
    </row>
    <row r="7" spans="1:13" ht="15" x14ac:dyDescent="0.2">
      <c r="A7" s="8" t="s">
        <v>110</v>
      </c>
      <c r="B7" s="42">
        <v>816</v>
      </c>
      <c r="C7" s="42">
        <f t="shared" ref="C7:M7" si="0">B18</f>
        <v>1986</v>
      </c>
      <c r="D7" s="42">
        <f t="shared" si="0"/>
        <v>16</v>
      </c>
      <c r="E7" s="42">
        <f t="shared" si="0"/>
        <v>1573</v>
      </c>
      <c r="F7" s="42">
        <f t="shared" si="0"/>
        <v>4187</v>
      </c>
      <c r="G7" s="42">
        <f t="shared" si="0"/>
        <v>6801</v>
      </c>
      <c r="H7" s="42">
        <f t="shared" si="0"/>
        <v>9415</v>
      </c>
      <c r="I7" s="42">
        <f t="shared" si="0"/>
        <v>12029</v>
      </c>
      <c r="J7" s="42">
        <f t="shared" si="0"/>
        <v>15643</v>
      </c>
      <c r="K7" s="42">
        <f t="shared" si="0"/>
        <v>0</v>
      </c>
      <c r="L7" s="42">
        <f t="shared" si="0"/>
        <v>3615</v>
      </c>
      <c r="M7" s="42">
        <f t="shared" si="0"/>
        <v>7230</v>
      </c>
    </row>
    <row r="8" spans="1:13" ht="15" x14ac:dyDescent="0.2">
      <c r="A8" s="8" t="s">
        <v>344</v>
      </c>
      <c r="B8" s="42">
        <v>370</v>
      </c>
      <c r="C8" s="42">
        <v>370</v>
      </c>
      <c r="D8" s="42">
        <v>557</v>
      </c>
      <c r="E8" s="42">
        <v>557</v>
      </c>
      <c r="F8" s="42">
        <v>557</v>
      </c>
      <c r="G8" s="42">
        <v>557</v>
      </c>
      <c r="H8" s="42">
        <v>557</v>
      </c>
      <c r="I8" s="42">
        <v>557</v>
      </c>
      <c r="J8" s="42">
        <v>557</v>
      </c>
      <c r="K8" s="42">
        <v>558</v>
      </c>
      <c r="L8" s="42">
        <v>558</v>
      </c>
      <c r="M8" s="42">
        <v>558</v>
      </c>
    </row>
    <row r="9" spans="1:13" ht="15" x14ac:dyDescent="0.2">
      <c r="A9" s="8" t="s">
        <v>231</v>
      </c>
      <c r="B9" s="42"/>
      <c r="C9" s="42">
        <v>960</v>
      </c>
      <c r="D9" s="42"/>
      <c r="E9" s="42">
        <v>1057</v>
      </c>
      <c r="F9" s="42">
        <v>1057</v>
      </c>
      <c r="G9" s="42">
        <v>1057</v>
      </c>
      <c r="H9" s="42">
        <v>1057</v>
      </c>
      <c r="I9" s="42">
        <v>1057</v>
      </c>
      <c r="J9" s="42">
        <v>1057</v>
      </c>
      <c r="K9" s="42">
        <v>1057</v>
      </c>
      <c r="L9" s="42">
        <v>1057</v>
      </c>
      <c r="M9" s="42">
        <v>1057</v>
      </c>
    </row>
    <row r="10" spans="1:13" ht="15" x14ac:dyDescent="0.2">
      <c r="A10" s="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409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ht="15" x14ac:dyDescent="0.2">
      <c r="A14" s="8" t="s">
        <v>137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ht="15" x14ac:dyDescent="0.2">
      <c r="A15" s="8" t="s">
        <v>5</v>
      </c>
      <c r="B15" s="42">
        <v>800</v>
      </c>
      <c r="C15" s="42">
        <v>800</v>
      </c>
      <c r="D15" s="42">
        <v>1000</v>
      </c>
      <c r="E15" s="42">
        <v>1000</v>
      </c>
      <c r="F15" s="42">
        <v>1000</v>
      </c>
      <c r="G15" s="42">
        <v>1000</v>
      </c>
      <c r="H15" s="42">
        <v>1000</v>
      </c>
      <c r="I15" s="42">
        <v>2000</v>
      </c>
      <c r="J15" s="42">
        <v>2000</v>
      </c>
      <c r="K15" s="42">
        <v>2000</v>
      </c>
      <c r="L15" s="42">
        <v>2000</v>
      </c>
      <c r="M15" s="42">
        <v>2000</v>
      </c>
    </row>
    <row r="16" spans="1:13" ht="15" x14ac:dyDescent="0.2">
      <c r="A16" s="8" t="s">
        <v>6</v>
      </c>
      <c r="B16" s="43">
        <f t="shared" ref="B16:M16" si="1">SUM(B7:B15)</f>
        <v>1986</v>
      </c>
      <c r="C16" s="43">
        <f t="shared" si="1"/>
        <v>4116</v>
      </c>
      <c r="D16" s="43">
        <f t="shared" si="1"/>
        <v>1573</v>
      </c>
      <c r="E16" s="43">
        <f t="shared" si="1"/>
        <v>4187</v>
      </c>
      <c r="F16" s="43">
        <f t="shared" si="1"/>
        <v>6801</v>
      </c>
      <c r="G16" s="43">
        <f t="shared" si="1"/>
        <v>9415</v>
      </c>
      <c r="H16" s="43">
        <f t="shared" si="1"/>
        <v>12029</v>
      </c>
      <c r="I16" s="43">
        <f t="shared" si="1"/>
        <v>15643</v>
      </c>
      <c r="J16" s="43">
        <f t="shared" si="1"/>
        <v>19257</v>
      </c>
      <c r="K16" s="43">
        <f t="shared" si="1"/>
        <v>3615</v>
      </c>
      <c r="L16" s="43">
        <f t="shared" si="1"/>
        <v>7230</v>
      </c>
      <c r="M16" s="43">
        <f t="shared" si="1"/>
        <v>10845</v>
      </c>
    </row>
    <row r="17" spans="1:13" ht="15" x14ac:dyDescent="0.2">
      <c r="A17" s="8" t="s">
        <v>7</v>
      </c>
      <c r="B17" s="44"/>
      <c r="C17" s="44">
        <v>4100</v>
      </c>
      <c r="D17" s="44"/>
      <c r="E17" s="44"/>
      <c r="F17" s="44"/>
      <c r="G17" s="44"/>
      <c r="H17" s="44"/>
      <c r="I17" s="44"/>
      <c r="J17" s="44">
        <v>19257</v>
      </c>
      <c r="K17" s="44"/>
      <c r="L17" s="44"/>
      <c r="M17" s="44">
        <v>10845</v>
      </c>
    </row>
    <row r="18" spans="1:13" ht="15" x14ac:dyDescent="0.2">
      <c r="A18" s="8" t="s">
        <v>111</v>
      </c>
      <c r="B18" s="43">
        <f t="shared" ref="B18:M18" si="2">B16-B17</f>
        <v>1986</v>
      </c>
      <c r="C18" s="43">
        <f t="shared" si="2"/>
        <v>16</v>
      </c>
      <c r="D18" s="43">
        <f t="shared" si="2"/>
        <v>1573</v>
      </c>
      <c r="E18" s="43">
        <f t="shared" si="2"/>
        <v>4187</v>
      </c>
      <c r="F18" s="43">
        <f t="shared" si="2"/>
        <v>6801</v>
      </c>
      <c r="G18" s="43">
        <f t="shared" si="2"/>
        <v>9415</v>
      </c>
      <c r="H18" s="43">
        <f t="shared" si="2"/>
        <v>12029</v>
      </c>
      <c r="I18" s="43">
        <f t="shared" si="2"/>
        <v>15643</v>
      </c>
      <c r="J18" s="43">
        <f t="shared" si="2"/>
        <v>0</v>
      </c>
      <c r="K18" s="43">
        <f t="shared" si="2"/>
        <v>3615</v>
      </c>
      <c r="L18" s="43">
        <f t="shared" si="2"/>
        <v>7230</v>
      </c>
      <c r="M18" s="43">
        <f t="shared" si="2"/>
        <v>0</v>
      </c>
    </row>
    <row r="23" spans="1:13" ht="15.75" x14ac:dyDescent="0.25">
      <c r="A23" s="31" t="s">
        <v>0</v>
      </c>
      <c r="B23" s="31" t="s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5" x14ac:dyDescent="0.2">
      <c r="A24" s="8"/>
      <c r="B24" s="79">
        <v>44197</v>
      </c>
      <c r="C24" s="79">
        <v>44228</v>
      </c>
      <c r="D24" s="79">
        <v>44256</v>
      </c>
      <c r="E24" s="79">
        <v>44287</v>
      </c>
      <c r="F24" s="79">
        <v>44317</v>
      </c>
      <c r="G24" s="79">
        <v>44348</v>
      </c>
      <c r="H24" s="79">
        <v>44378</v>
      </c>
      <c r="I24" s="79">
        <v>44409</v>
      </c>
      <c r="J24" s="79">
        <v>44440</v>
      </c>
      <c r="K24" s="79">
        <v>44470</v>
      </c>
      <c r="L24" s="79">
        <v>44501</v>
      </c>
      <c r="M24" s="79">
        <v>44531</v>
      </c>
    </row>
    <row r="25" spans="1:13" ht="15" x14ac:dyDescent="0.2">
      <c r="A25" s="8" t="s">
        <v>110</v>
      </c>
      <c r="B25" s="42"/>
      <c r="C25" s="42">
        <f>B36</f>
        <v>0</v>
      </c>
      <c r="D25" s="42">
        <f>C36</f>
        <v>0</v>
      </c>
      <c r="E25" s="42">
        <f>D36</f>
        <v>0</v>
      </c>
      <c r="F25" s="42">
        <f t="shared" ref="F25:M25" si="3">E36</f>
        <v>0</v>
      </c>
      <c r="G25" s="42">
        <f t="shared" si="3"/>
        <v>0</v>
      </c>
      <c r="H25" s="42">
        <f t="shared" si="3"/>
        <v>0</v>
      </c>
      <c r="I25" s="42">
        <f t="shared" si="3"/>
        <v>3990</v>
      </c>
      <c r="J25" s="42">
        <f t="shared" si="3"/>
        <v>6820</v>
      </c>
      <c r="K25" s="42">
        <f t="shared" si="3"/>
        <v>9660</v>
      </c>
      <c r="L25" s="42">
        <f t="shared" si="3"/>
        <v>12500</v>
      </c>
      <c r="M25" s="42">
        <f t="shared" si="3"/>
        <v>0</v>
      </c>
    </row>
    <row r="26" spans="1:13" ht="15" x14ac:dyDescent="0.2">
      <c r="A26" s="8" t="s">
        <v>344</v>
      </c>
      <c r="B26" s="42"/>
      <c r="C26" s="42"/>
      <c r="D26" s="42"/>
      <c r="E26" s="42"/>
      <c r="F26" s="42"/>
      <c r="G26" s="42"/>
      <c r="H26" s="42">
        <v>830</v>
      </c>
      <c r="I26" s="42">
        <v>830</v>
      </c>
      <c r="J26" s="42">
        <v>830</v>
      </c>
      <c r="K26" s="42">
        <v>830</v>
      </c>
      <c r="L26" s="42">
        <v>830</v>
      </c>
      <c r="M26" s="42">
        <v>830</v>
      </c>
    </row>
    <row r="27" spans="1:13" ht="15" x14ac:dyDescent="0.2">
      <c r="A27" s="8" t="s">
        <v>231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409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ht="15" x14ac:dyDescent="0.2">
      <c r="A32" s="8" t="s">
        <v>137</v>
      </c>
      <c r="B32" s="42"/>
      <c r="C32" s="42"/>
      <c r="D32" s="42"/>
      <c r="E32" s="42"/>
      <c r="F32" s="42"/>
      <c r="G32" s="42"/>
      <c r="H32" s="42">
        <v>-2840</v>
      </c>
      <c r="I32" s="42"/>
      <c r="J32" s="42"/>
      <c r="K32" s="42"/>
      <c r="L32" s="42"/>
      <c r="M32" s="42"/>
    </row>
    <row r="33" spans="1:13" ht="15" x14ac:dyDescent="0.2">
      <c r="A33" s="8" t="s">
        <v>5</v>
      </c>
      <c r="B33" s="42"/>
      <c r="C33" s="42"/>
      <c r="D33" s="42"/>
      <c r="E33" s="42"/>
      <c r="F33" s="42"/>
      <c r="G33" s="42"/>
      <c r="H33" s="42">
        <v>6000</v>
      </c>
      <c r="I33" s="42">
        <v>2000</v>
      </c>
      <c r="J33" s="42">
        <v>2010</v>
      </c>
      <c r="K33" s="42">
        <v>2010</v>
      </c>
      <c r="L33" s="42">
        <v>2010</v>
      </c>
      <c r="M33" s="42">
        <v>3010</v>
      </c>
    </row>
    <row r="34" spans="1:13" ht="15" x14ac:dyDescent="0.2">
      <c r="A34" s="8" t="s">
        <v>6</v>
      </c>
      <c r="B34" s="43">
        <f t="shared" ref="B34:M34" si="4">SUM(B25:B33)</f>
        <v>0</v>
      </c>
      <c r="C34" s="43">
        <f t="shared" si="4"/>
        <v>0</v>
      </c>
      <c r="D34" s="43">
        <f t="shared" si="4"/>
        <v>0</v>
      </c>
      <c r="E34" s="43">
        <f t="shared" si="4"/>
        <v>0</v>
      </c>
      <c r="F34" s="43">
        <f t="shared" si="4"/>
        <v>0</v>
      </c>
      <c r="G34" s="43">
        <f t="shared" si="4"/>
        <v>0</v>
      </c>
      <c r="H34" s="43">
        <f t="shared" si="4"/>
        <v>3990</v>
      </c>
      <c r="I34" s="43">
        <f t="shared" si="4"/>
        <v>6820</v>
      </c>
      <c r="J34" s="43">
        <f t="shared" si="4"/>
        <v>9660</v>
      </c>
      <c r="K34" s="43">
        <f t="shared" si="4"/>
        <v>12500</v>
      </c>
      <c r="L34" s="43">
        <f t="shared" si="4"/>
        <v>15340</v>
      </c>
      <c r="M34" s="43">
        <f t="shared" si="4"/>
        <v>3840</v>
      </c>
    </row>
    <row r="35" spans="1:13" ht="15" x14ac:dyDescent="0.2">
      <c r="A35" s="8" t="s">
        <v>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>
        <v>15340</v>
      </c>
      <c r="M35" s="44"/>
    </row>
    <row r="36" spans="1:13" ht="15" x14ac:dyDescent="0.2">
      <c r="A36" s="8" t="s">
        <v>111</v>
      </c>
      <c r="B36" s="43">
        <f t="shared" ref="B36:L36" si="5">B34-B35</f>
        <v>0</v>
      </c>
      <c r="C36" s="43">
        <f t="shared" si="5"/>
        <v>0</v>
      </c>
      <c r="D36" s="43">
        <f t="shared" si="5"/>
        <v>0</v>
      </c>
      <c r="E36" s="43">
        <f t="shared" si="5"/>
        <v>0</v>
      </c>
      <c r="F36" s="43">
        <f t="shared" si="5"/>
        <v>0</v>
      </c>
      <c r="G36" s="43">
        <f t="shared" si="5"/>
        <v>0</v>
      </c>
      <c r="H36" s="43">
        <f t="shared" si="5"/>
        <v>3990</v>
      </c>
      <c r="I36" s="43">
        <f t="shared" si="5"/>
        <v>6820</v>
      </c>
      <c r="J36" s="43">
        <f t="shared" si="5"/>
        <v>9660</v>
      </c>
      <c r="K36" s="43">
        <f t="shared" si="5"/>
        <v>12500</v>
      </c>
      <c r="L36" s="43">
        <f t="shared" si="5"/>
        <v>0</v>
      </c>
      <c r="M36" s="43">
        <f>M34-M35</f>
        <v>3840</v>
      </c>
    </row>
    <row r="39" spans="1:13" ht="15" x14ac:dyDescent="0.2">
      <c r="A39" s="8" t="s">
        <v>557</v>
      </c>
    </row>
    <row r="42" spans="1:13" ht="15" x14ac:dyDescent="0.2">
      <c r="A42" s="8"/>
      <c r="B42" s="79">
        <v>44562</v>
      </c>
      <c r="C42" s="79">
        <v>44593</v>
      </c>
      <c r="D42" s="79">
        <v>44621</v>
      </c>
      <c r="E42" s="79">
        <v>44652</v>
      </c>
      <c r="F42" s="79">
        <v>44682</v>
      </c>
      <c r="G42" s="79">
        <v>44713</v>
      </c>
      <c r="H42" s="79">
        <v>44743</v>
      </c>
      <c r="I42" s="79">
        <v>44774</v>
      </c>
      <c r="J42" s="79">
        <v>44805</v>
      </c>
      <c r="K42" s="79">
        <v>44835</v>
      </c>
      <c r="L42" s="79">
        <v>44866</v>
      </c>
      <c r="M42" s="79">
        <v>44896</v>
      </c>
    </row>
    <row r="43" spans="1:13" ht="15" x14ac:dyDescent="0.2">
      <c r="A43" s="8" t="s">
        <v>110</v>
      </c>
      <c r="B43" s="42"/>
      <c r="C43" s="42">
        <f t="shared" ref="C43:M43" si="6">B54</f>
        <v>0</v>
      </c>
      <c r="D43" s="42">
        <f t="shared" si="6"/>
        <v>0</v>
      </c>
      <c r="E43" s="42">
        <f t="shared" si="6"/>
        <v>0</v>
      </c>
      <c r="F43" s="42">
        <f t="shared" si="6"/>
        <v>0</v>
      </c>
      <c r="G43" s="42">
        <f t="shared" si="6"/>
        <v>0</v>
      </c>
      <c r="H43" s="42">
        <f t="shared" si="6"/>
        <v>0</v>
      </c>
      <c r="I43" s="42">
        <f t="shared" si="6"/>
        <v>0</v>
      </c>
      <c r="J43" s="42">
        <f t="shared" si="6"/>
        <v>0</v>
      </c>
      <c r="K43" s="42">
        <f t="shared" si="6"/>
        <v>0</v>
      </c>
      <c r="L43" s="42">
        <f t="shared" si="6"/>
        <v>0</v>
      </c>
      <c r="M43" s="42">
        <f t="shared" si="6"/>
        <v>0</v>
      </c>
    </row>
    <row r="44" spans="1:13" ht="15" x14ac:dyDescent="0.2">
      <c r="A44" s="8" t="s">
        <v>344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5" x14ac:dyDescent="0.2">
      <c r="A45" s="8" t="s">
        <v>231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ht="15" x14ac:dyDescent="0.2">
      <c r="A46" s="8" t="s">
        <v>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ht="15" x14ac:dyDescent="0.2">
      <c r="A47" s="8" t="s">
        <v>9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ht="15" x14ac:dyDescent="0.2">
      <c r="A48" s="8" t="s">
        <v>73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ht="15" x14ac:dyDescent="0.2">
      <c r="A49" s="8" t="s">
        <v>409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ht="15" x14ac:dyDescent="0.2">
      <c r="A50" s="8" t="s">
        <v>137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>
        <v>822</v>
      </c>
    </row>
    <row r="51" spans="1:13" ht="15" x14ac:dyDescent="0.2">
      <c r="A51" s="8" t="s">
        <v>5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>
        <v>17178</v>
      </c>
    </row>
    <row r="52" spans="1:13" ht="15" x14ac:dyDescent="0.2">
      <c r="A52" s="8" t="s">
        <v>6</v>
      </c>
      <c r="B52" s="43">
        <f t="shared" ref="B52:M52" si="7">SUM(B43:B51)</f>
        <v>0</v>
      </c>
      <c r="C52" s="43">
        <f t="shared" si="7"/>
        <v>0</v>
      </c>
      <c r="D52" s="43">
        <f t="shared" si="7"/>
        <v>0</v>
      </c>
      <c r="E52" s="43">
        <f t="shared" si="7"/>
        <v>0</v>
      </c>
      <c r="F52" s="43">
        <f t="shared" si="7"/>
        <v>0</v>
      </c>
      <c r="G52" s="43">
        <f t="shared" si="7"/>
        <v>0</v>
      </c>
      <c r="H52" s="43">
        <f t="shared" si="7"/>
        <v>0</v>
      </c>
      <c r="I52" s="43">
        <f t="shared" si="7"/>
        <v>0</v>
      </c>
      <c r="J52" s="43">
        <f t="shared" si="7"/>
        <v>0</v>
      </c>
      <c r="K52" s="43">
        <f t="shared" si="7"/>
        <v>0</v>
      </c>
      <c r="L52" s="43">
        <f t="shared" si="7"/>
        <v>0</v>
      </c>
      <c r="M52" s="43">
        <f t="shared" si="7"/>
        <v>18000</v>
      </c>
    </row>
    <row r="53" spans="1:13" ht="15" x14ac:dyDescent="0.2">
      <c r="A53" s="8" t="s">
        <v>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>
        <v>18000</v>
      </c>
    </row>
    <row r="54" spans="1:13" ht="15" x14ac:dyDescent="0.2">
      <c r="A54" s="8" t="s">
        <v>111</v>
      </c>
      <c r="B54" s="43">
        <f t="shared" ref="B54:L54" si="8">B52-B53</f>
        <v>0</v>
      </c>
      <c r="C54" s="43">
        <f t="shared" si="8"/>
        <v>0</v>
      </c>
      <c r="D54" s="43">
        <f t="shared" si="8"/>
        <v>0</v>
      </c>
      <c r="E54" s="43">
        <f t="shared" si="8"/>
        <v>0</v>
      </c>
      <c r="F54" s="43">
        <f t="shared" si="8"/>
        <v>0</v>
      </c>
      <c r="G54" s="43">
        <f t="shared" si="8"/>
        <v>0</v>
      </c>
      <c r="H54" s="43">
        <f t="shared" si="8"/>
        <v>0</v>
      </c>
      <c r="I54" s="43">
        <f t="shared" si="8"/>
        <v>0</v>
      </c>
      <c r="J54" s="43">
        <f t="shared" si="8"/>
        <v>0</v>
      </c>
      <c r="K54" s="43">
        <f t="shared" si="8"/>
        <v>0</v>
      </c>
      <c r="L54" s="43">
        <f t="shared" si="8"/>
        <v>0</v>
      </c>
      <c r="M54" s="43">
        <f>M52-M53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0"/>
  <dimension ref="A4:M89"/>
  <sheetViews>
    <sheetView topLeftCell="A19" workbookViewId="0">
      <selection activeCell="M20" sqref="M20"/>
    </sheetView>
  </sheetViews>
  <sheetFormatPr baseColWidth="10" defaultRowHeight="12.75" x14ac:dyDescent="0.2"/>
  <cols>
    <col min="1" max="1" width="31.5703125" customWidth="1"/>
    <col min="8" max="10" width="12.7109375" customWidth="1"/>
    <col min="11" max="11" width="13" customWidth="1"/>
    <col min="12" max="12" width="13.28515625" customWidth="1"/>
    <col min="13" max="13" width="13.5703125" customWidth="1"/>
  </cols>
  <sheetData>
    <row r="4" spans="1:13" ht="20.25" x14ac:dyDescent="0.3">
      <c r="A4" s="11" t="s">
        <v>11</v>
      </c>
      <c r="B4" s="216" t="s">
        <v>93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7" spans="1:13" x14ac:dyDescent="0.2">
      <c r="A7" s="50" t="s">
        <v>0</v>
      </c>
      <c r="B7" s="50" t="s">
        <v>1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</row>
    <row r="8" spans="1:13" x14ac:dyDescent="0.2">
      <c r="A8" s="78"/>
      <c r="B8" s="79">
        <v>45658</v>
      </c>
      <c r="C8" s="79">
        <v>45689</v>
      </c>
      <c r="D8" s="79">
        <v>45717</v>
      </c>
      <c r="E8" s="79">
        <v>45748</v>
      </c>
      <c r="F8" s="79">
        <v>45778</v>
      </c>
      <c r="G8" s="79">
        <v>45809</v>
      </c>
      <c r="H8" s="79">
        <v>45839</v>
      </c>
      <c r="I8" s="79">
        <v>45870</v>
      </c>
      <c r="J8" s="79">
        <v>45901</v>
      </c>
      <c r="K8" s="79">
        <v>45931</v>
      </c>
      <c r="L8" s="79">
        <v>45962</v>
      </c>
      <c r="M8" s="79">
        <v>45992</v>
      </c>
    </row>
    <row r="9" spans="1:13" x14ac:dyDescent="0.2">
      <c r="A9" s="78" t="s">
        <v>110</v>
      </c>
      <c r="B9" s="42"/>
      <c r="C9" s="42">
        <f t="shared" ref="C9:M9" si="0">B20</f>
        <v>150000</v>
      </c>
      <c r="D9" s="42">
        <f t="shared" si="0"/>
        <v>300000</v>
      </c>
      <c r="E9" s="42">
        <f t="shared" si="0"/>
        <v>450000</v>
      </c>
      <c r="F9" s="42">
        <f t="shared" si="0"/>
        <v>600000</v>
      </c>
      <c r="G9" s="42">
        <f t="shared" si="0"/>
        <v>750000</v>
      </c>
      <c r="H9" s="42">
        <f t="shared" si="0"/>
        <v>900000</v>
      </c>
      <c r="I9" s="42">
        <f t="shared" si="0"/>
        <v>1050000</v>
      </c>
      <c r="J9" s="42">
        <f t="shared" si="0"/>
        <v>1200000</v>
      </c>
      <c r="K9" s="42">
        <f t="shared" si="0"/>
        <v>1350000</v>
      </c>
      <c r="L9" s="42">
        <f t="shared" si="0"/>
        <v>1500000</v>
      </c>
      <c r="M9" s="42">
        <f t="shared" si="0"/>
        <v>1650000</v>
      </c>
    </row>
    <row r="10" spans="1:13" x14ac:dyDescent="0.2">
      <c r="A10" s="78" t="s">
        <v>76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143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138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137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5</v>
      </c>
      <c r="B17" s="42">
        <v>150000</v>
      </c>
      <c r="C17" s="42">
        <v>150000</v>
      </c>
      <c r="D17" s="42">
        <v>150000</v>
      </c>
      <c r="E17" s="42">
        <v>150000</v>
      </c>
      <c r="F17" s="42">
        <v>150000</v>
      </c>
      <c r="G17" s="42">
        <v>150000</v>
      </c>
      <c r="H17" s="42">
        <v>150000</v>
      </c>
      <c r="I17" s="42">
        <v>150000</v>
      </c>
      <c r="J17" s="42">
        <v>150000</v>
      </c>
      <c r="K17" s="42">
        <v>150000</v>
      </c>
      <c r="L17" s="42">
        <v>150000</v>
      </c>
      <c r="M17" s="42">
        <v>150000</v>
      </c>
    </row>
    <row r="18" spans="1:13" x14ac:dyDescent="0.2">
      <c r="A18" s="78" t="s">
        <v>6</v>
      </c>
      <c r="B18" s="43">
        <f>SUM(B9:B17)</f>
        <v>150000</v>
      </c>
      <c r="C18" s="43">
        <f t="shared" ref="C18:M18" si="1">SUM(C9:C17)</f>
        <v>300000</v>
      </c>
      <c r="D18" s="43">
        <f t="shared" si="1"/>
        <v>450000</v>
      </c>
      <c r="E18" s="43">
        <f t="shared" si="1"/>
        <v>600000</v>
      </c>
      <c r="F18" s="43">
        <f t="shared" si="1"/>
        <v>750000</v>
      </c>
      <c r="G18" s="43">
        <f t="shared" si="1"/>
        <v>900000</v>
      </c>
      <c r="H18" s="43">
        <f t="shared" si="1"/>
        <v>1050000</v>
      </c>
      <c r="I18" s="43">
        <f t="shared" si="1"/>
        <v>1200000</v>
      </c>
      <c r="J18" s="43">
        <f t="shared" si="1"/>
        <v>1350000</v>
      </c>
      <c r="K18" s="43">
        <f t="shared" si="1"/>
        <v>1500000</v>
      </c>
      <c r="L18" s="43">
        <f t="shared" si="1"/>
        <v>1650000</v>
      </c>
      <c r="M18" s="43">
        <f t="shared" si="1"/>
        <v>1800000</v>
      </c>
    </row>
    <row r="19" spans="1:13" x14ac:dyDescent="0.2">
      <c r="A19" s="78" t="s">
        <v>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>
        <v>1800000</v>
      </c>
    </row>
    <row r="20" spans="1:13" x14ac:dyDescent="0.2">
      <c r="A20" s="78" t="s">
        <v>111</v>
      </c>
      <c r="B20" s="43">
        <f>B18-B19</f>
        <v>150000</v>
      </c>
      <c r="C20" s="43">
        <f>C18-C19</f>
        <v>300000</v>
      </c>
      <c r="D20" s="43">
        <f t="shared" ref="D20:M20" si="2">D18-D19</f>
        <v>450000</v>
      </c>
      <c r="E20" s="43">
        <f t="shared" si="2"/>
        <v>600000</v>
      </c>
      <c r="F20" s="43">
        <f t="shared" si="2"/>
        <v>750000</v>
      </c>
      <c r="G20" s="43">
        <f t="shared" si="2"/>
        <v>900000</v>
      </c>
      <c r="H20" s="43">
        <f t="shared" si="2"/>
        <v>1050000</v>
      </c>
      <c r="I20" s="43">
        <f t="shared" si="2"/>
        <v>1200000</v>
      </c>
      <c r="J20" s="43">
        <f t="shared" si="2"/>
        <v>1350000</v>
      </c>
      <c r="K20" s="43">
        <f t="shared" si="2"/>
        <v>1500000</v>
      </c>
      <c r="L20" s="43">
        <f t="shared" si="2"/>
        <v>1650000</v>
      </c>
      <c r="M20" s="43">
        <f t="shared" si="2"/>
        <v>0</v>
      </c>
    </row>
    <row r="22" spans="1:13" x14ac:dyDescent="0.2">
      <c r="A22" s="50" t="s">
        <v>0</v>
      </c>
      <c r="B22" s="50" t="s">
        <v>1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9">
        <v>45292</v>
      </c>
      <c r="C23" s="79">
        <v>45323</v>
      </c>
      <c r="D23" s="79">
        <v>45352</v>
      </c>
      <c r="E23" s="79">
        <v>45383</v>
      </c>
      <c r="F23" s="79">
        <v>45413</v>
      </c>
      <c r="G23" s="79">
        <v>45444</v>
      </c>
      <c r="H23" s="79">
        <v>45474</v>
      </c>
      <c r="I23" s="79">
        <v>45505</v>
      </c>
      <c r="J23" s="79">
        <v>45536</v>
      </c>
      <c r="K23" s="79">
        <v>45566</v>
      </c>
      <c r="L23" s="79">
        <v>45597</v>
      </c>
      <c r="M23" s="79">
        <v>45627</v>
      </c>
    </row>
    <row r="24" spans="1:13" x14ac:dyDescent="0.2">
      <c r="A24" s="78" t="s">
        <v>110</v>
      </c>
      <c r="B24" s="42"/>
      <c r="C24" s="42">
        <f>B35</f>
        <v>80000</v>
      </c>
      <c r="D24" s="42">
        <f t="shared" ref="D24:J24" si="3">C35</f>
        <v>160000</v>
      </c>
      <c r="E24" s="42">
        <f t="shared" si="3"/>
        <v>240000</v>
      </c>
      <c r="F24" s="42">
        <f t="shared" si="3"/>
        <v>320000</v>
      </c>
      <c r="G24" s="42">
        <f t="shared" si="3"/>
        <v>400000</v>
      </c>
      <c r="H24" s="42">
        <f t="shared" si="3"/>
        <v>480000</v>
      </c>
      <c r="I24" s="42">
        <f t="shared" si="3"/>
        <v>560000</v>
      </c>
      <c r="J24" s="42">
        <f t="shared" si="3"/>
        <v>640000</v>
      </c>
      <c r="K24" s="42">
        <f>J35</f>
        <v>720000</v>
      </c>
      <c r="L24" s="42">
        <f>K35</f>
        <v>800000</v>
      </c>
      <c r="M24" s="42">
        <f>L35</f>
        <v>880000</v>
      </c>
    </row>
    <row r="25" spans="1:13" x14ac:dyDescent="0.2">
      <c r="A25" s="78" t="s">
        <v>76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143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138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137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80000</v>
      </c>
      <c r="C32" s="42">
        <v>80000</v>
      </c>
      <c r="D32" s="42">
        <v>80000</v>
      </c>
      <c r="E32" s="42">
        <v>80000</v>
      </c>
      <c r="F32" s="42">
        <v>80000</v>
      </c>
      <c r="G32" s="42">
        <v>80000</v>
      </c>
      <c r="H32" s="42">
        <v>80000</v>
      </c>
      <c r="I32" s="42">
        <v>80000</v>
      </c>
      <c r="J32" s="42">
        <v>80000</v>
      </c>
      <c r="K32" s="42">
        <v>80000</v>
      </c>
      <c r="L32" s="42">
        <v>80000</v>
      </c>
      <c r="M32" s="42">
        <v>80000</v>
      </c>
    </row>
    <row r="33" spans="1:13" x14ac:dyDescent="0.2">
      <c r="A33" s="78" t="s">
        <v>6</v>
      </c>
      <c r="B33" s="43">
        <f>SUM(B24:B32)</f>
        <v>80000</v>
      </c>
      <c r="C33" s="43">
        <f t="shared" ref="C33:M33" si="4">SUM(C24:C32)</f>
        <v>160000</v>
      </c>
      <c r="D33" s="43">
        <f t="shared" si="4"/>
        <v>240000</v>
      </c>
      <c r="E33" s="43">
        <f t="shared" si="4"/>
        <v>320000</v>
      </c>
      <c r="F33" s="43">
        <f t="shared" si="4"/>
        <v>400000</v>
      </c>
      <c r="G33" s="43">
        <f t="shared" si="4"/>
        <v>480000</v>
      </c>
      <c r="H33" s="43">
        <f t="shared" si="4"/>
        <v>560000</v>
      </c>
      <c r="I33" s="43">
        <f t="shared" si="4"/>
        <v>640000</v>
      </c>
      <c r="J33" s="43">
        <f t="shared" si="4"/>
        <v>720000</v>
      </c>
      <c r="K33" s="43">
        <f t="shared" si="4"/>
        <v>800000</v>
      </c>
      <c r="L33" s="43">
        <f t="shared" si="4"/>
        <v>880000</v>
      </c>
      <c r="M33" s="43">
        <f t="shared" si="4"/>
        <v>960000</v>
      </c>
    </row>
    <row r="34" spans="1:13" x14ac:dyDescent="0.2">
      <c r="A34" s="78" t="s">
        <v>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>
        <v>960000</v>
      </c>
    </row>
    <row r="35" spans="1:13" x14ac:dyDescent="0.2">
      <c r="A35" s="78" t="s">
        <v>111</v>
      </c>
      <c r="B35" s="43">
        <f>B33-B34</f>
        <v>80000</v>
      </c>
      <c r="C35" s="43">
        <f>C33-C34</f>
        <v>160000</v>
      </c>
      <c r="D35" s="43">
        <f t="shared" ref="D35:M35" si="5">D33-D34</f>
        <v>240000</v>
      </c>
      <c r="E35" s="43">
        <f t="shared" si="5"/>
        <v>320000</v>
      </c>
      <c r="F35" s="43">
        <f t="shared" si="5"/>
        <v>400000</v>
      </c>
      <c r="G35" s="43">
        <f t="shared" si="5"/>
        <v>480000</v>
      </c>
      <c r="H35" s="43">
        <f t="shared" si="5"/>
        <v>560000</v>
      </c>
      <c r="I35" s="43">
        <f t="shared" si="5"/>
        <v>640000</v>
      </c>
      <c r="J35" s="43">
        <f t="shared" si="5"/>
        <v>720000</v>
      </c>
      <c r="K35" s="43">
        <f t="shared" si="5"/>
        <v>800000</v>
      </c>
      <c r="L35" s="43">
        <f t="shared" si="5"/>
        <v>880000</v>
      </c>
      <c r="M35" s="43">
        <f t="shared" si="5"/>
        <v>0</v>
      </c>
    </row>
    <row r="36" spans="1:13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x14ac:dyDescent="0.2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spans="1:13" x14ac:dyDescent="0.2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spans="1:13" x14ac:dyDescent="0.2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x14ac:dyDescent="0.2">
      <c r="A40" s="80" t="s">
        <v>0</v>
      </c>
      <c r="B40" s="80" t="s">
        <v>1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</row>
    <row r="41" spans="1:13" x14ac:dyDescent="0.2">
      <c r="A41" s="81"/>
      <c r="B41" s="82">
        <v>42736</v>
      </c>
      <c r="C41" s="82">
        <v>42767</v>
      </c>
      <c r="D41" s="82">
        <v>42795</v>
      </c>
      <c r="E41" s="82">
        <v>42826</v>
      </c>
      <c r="F41" s="82">
        <v>42856</v>
      </c>
      <c r="G41" s="82">
        <v>42887</v>
      </c>
      <c r="H41" s="82">
        <v>42917</v>
      </c>
      <c r="I41" s="82">
        <v>42948</v>
      </c>
      <c r="J41" s="82">
        <v>42979</v>
      </c>
      <c r="K41" s="82">
        <v>43009</v>
      </c>
      <c r="L41" s="82">
        <v>43040</v>
      </c>
      <c r="M41" s="82">
        <v>43070</v>
      </c>
    </row>
    <row r="42" spans="1:13" x14ac:dyDescent="0.2">
      <c r="A42" s="78" t="s">
        <v>110</v>
      </c>
      <c r="B42" s="42"/>
      <c r="C42" s="42">
        <f t="shared" ref="C42:M42" si="6">B53</f>
        <v>2500</v>
      </c>
      <c r="D42" s="42">
        <f t="shared" si="6"/>
        <v>5000</v>
      </c>
      <c r="E42" s="42">
        <f t="shared" si="6"/>
        <v>7500</v>
      </c>
      <c r="F42" s="42">
        <f t="shared" si="6"/>
        <v>10000</v>
      </c>
      <c r="G42" s="42">
        <f t="shared" si="6"/>
        <v>12500</v>
      </c>
      <c r="H42" s="42">
        <f t="shared" si="6"/>
        <v>15000</v>
      </c>
      <c r="I42" s="42">
        <f t="shared" si="6"/>
        <v>17500</v>
      </c>
      <c r="J42" s="42">
        <f t="shared" si="6"/>
        <v>20000</v>
      </c>
      <c r="K42" s="42">
        <f t="shared" si="6"/>
        <v>22500</v>
      </c>
      <c r="L42" s="42">
        <f t="shared" si="6"/>
        <v>25000</v>
      </c>
      <c r="M42" s="42">
        <f t="shared" si="6"/>
        <v>27500</v>
      </c>
    </row>
    <row r="43" spans="1:13" x14ac:dyDescent="0.2">
      <c r="A43" s="78" t="s">
        <v>2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9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73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74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75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5</v>
      </c>
      <c r="B50" s="42">
        <v>2500</v>
      </c>
      <c r="C50" s="42">
        <v>2500</v>
      </c>
      <c r="D50" s="42">
        <v>2500</v>
      </c>
      <c r="E50" s="42">
        <v>2500</v>
      </c>
      <c r="F50" s="42">
        <v>2500</v>
      </c>
      <c r="G50" s="42">
        <v>2500</v>
      </c>
      <c r="H50" s="42">
        <v>2500</v>
      </c>
      <c r="I50" s="42">
        <v>2500</v>
      </c>
      <c r="J50" s="42">
        <v>2500</v>
      </c>
      <c r="K50" s="42">
        <v>2500</v>
      </c>
      <c r="L50" s="42">
        <v>2500</v>
      </c>
      <c r="M50" s="42">
        <v>2500</v>
      </c>
    </row>
    <row r="51" spans="1:13" x14ac:dyDescent="0.2">
      <c r="A51" s="78" t="s">
        <v>6</v>
      </c>
      <c r="B51" s="43">
        <f t="shared" ref="B51:M51" si="7">SUM(B42:B50)</f>
        <v>2500</v>
      </c>
      <c r="C51" s="43">
        <f t="shared" si="7"/>
        <v>5000</v>
      </c>
      <c r="D51" s="43">
        <f t="shared" si="7"/>
        <v>7500</v>
      </c>
      <c r="E51" s="43">
        <f t="shared" si="7"/>
        <v>10000</v>
      </c>
      <c r="F51" s="43">
        <f t="shared" si="7"/>
        <v>12500</v>
      </c>
      <c r="G51" s="43">
        <f t="shared" si="7"/>
        <v>15000</v>
      </c>
      <c r="H51" s="43">
        <f t="shared" si="7"/>
        <v>17500</v>
      </c>
      <c r="I51" s="43">
        <f t="shared" si="7"/>
        <v>20000</v>
      </c>
      <c r="J51" s="43">
        <f t="shared" si="7"/>
        <v>22500</v>
      </c>
      <c r="K51" s="43">
        <f t="shared" si="7"/>
        <v>25000</v>
      </c>
      <c r="L51" s="43">
        <f t="shared" si="7"/>
        <v>27500</v>
      </c>
      <c r="M51" s="43">
        <f t="shared" si="7"/>
        <v>30000</v>
      </c>
    </row>
    <row r="52" spans="1:13" ht="13.5" thickBot="1" x14ac:dyDescent="0.25">
      <c r="A52" s="78" t="s">
        <v>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>
        <f>14000+16000</f>
        <v>30000</v>
      </c>
    </row>
    <row r="53" spans="1:13" ht="13.5" thickBot="1" x14ac:dyDescent="0.25">
      <c r="A53" s="78" t="s">
        <v>111</v>
      </c>
      <c r="B53" s="45">
        <f t="shared" ref="B53:M53" si="8">B51-B52</f>
        <v>2500</v>
      </c>
      <c r="C53" s="46">
        <f t="shared" si="8"/>
        <v>5000</v>
      </c>
      <c r="D53" s="46">
        <f t="shared" si="8"/>
        <v>7500</v>
      </c>
      <c r="E53" s="46">
        <f t="shared" si="8"/>
        <v>10000</v>
      </c>
      <c r="F53" s="46">
        <f t="shared" si="8"/>
        <v>12500</v>
      </c>
      <c r="G53" s="46">
        <f t="shared" si="8"/>
        <v>15000</v>
      </c>
      <c r="H53" s="46">
        <f t="shared" si="8"/>
        <v>17500</v>
      </c>
      <c r="I53" s="46">
        <f t="shared" si="8"/>
        <v>20000</v>
      </c>
      <c r="J53" s="46">
        <f t="shared" si="8"/>
        <v>22500</v>
      </c>
      <c r="K53" s="46">
        <f t="shared" si="8"/>
        <v>25000</v>
      </c>
      <c r="L53" s="46">
        <f t="shared" si="8"/>
        <v>27500</v>
      </c>
      <c r="M53" s="47">
        <f t="shared" si="8"/>
        <v>0</v>
      </c>
    </row>
    <row r="54" spans="1:13" x14ac:dyDescent="0.2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</row>
    <row r="55" spans="1:13" x14ac:dyDescent="0.2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</row>
    <row r="56" spans="1:13" x14ac:dyDescent="0.2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</row>
    <row r="57" spans="1:13" x14ac:dyDescent="0.2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</row>
    <row r="59" spans="1:13" ht="15.75" x14ac:dyDescent="0.25">
      <c r="A59" s="31" t="s">
        <v>0</v>
      </c>
      <c r="B59" s="31" t="s">
        <v>1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">
      <c r="A60" s="8"/>
      <c r="B60" s="79">
        <v>41640</v>
      </c>
      <c r="C60" s="79">
        <v>41671</v>
      </c>
      <c r="D60" s="79">
        <v>41699</v>
      </c>
      <c r="E60" s="79">
        <v>41730</v>
      </c>
      <c r="F60" s="79">
        <v>41760</v>
      </c>
      <c r="G60" s="79">
        <v>41791</v>
      </c>
      <c r="H60" s="79">
        <v>41821</v>
      </c>
      <c r="I60" s="79">
        <v>41852</v>
      </c>
      <c r="J60" s="79">
        <v>41883</v>
      </c>
      <c r="K60" s="79">
        <v>41913</v>
      </c>
      <c r="L60" s="79">
        <v>41944</v>
      </c>
      <c r="M60" s="79">
        <v>41974</v>
      </c>
    </row>
    <row r="61" spans="1:13" ht="15" x14ac:dyDescent="0.2">
      <c r="A61" s="8" t="s">
        <v>110</v>
      </c>
      <c r="B61" s="42">
        <v>4400</v>
      </c>
      <c r="C61" s="42">
        <f t="shared" ref="C61:M61" si="9">B72</f>
        <v>5200</v>
      </c>
      <c r="D61" s="42">
        <f t="shared" si="9"/>
        <v>6000</v>
      </c>
      <c r="E61" s="42">
        <f t="shared" si="9"/>
        <v>6800</v>
      </c>
      <c r="F61" s="42">
        <f t="shared" si="9"/>
        <v>7600</v>
      </c>
      <c r="G61" s="42">
        <f t="shared" si="9"/>
        <v>8400</v>
      </c>
      <c r="H61" s="42">
        <f t="shared" si="9"/>
        <v>9200</v>
      </c>
      <c r="I61" s="42">
        <f t="shared" si="9"/>
        <v>10000</v>
      </c>
      <c r="J61" s="42">
        <f t="shared" si="9"/>
        <v>10800</v>
      </c>
      <c r="K61" s="42">
        <f t="shared" si="9"/>
        <v>11600</v>
      </c>
      <c r="L61" s="42">
        <f t="shared" si="9"/>
        <v>0</v>
      </c>
      <c r="M61" s="42">
        <f t="shared" si="9"/>
        <v>1200</v>
      </c>
    </row>
    <row r="62" spans="1:13" ht="15" x14ac:dyDescent="0.2">
      <c r="A62" s="8" t="s">
        <v>76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 ht="15" x14ac:dyDescent="0.2">
      <c r="A63" s="8" t="s">
        <v>213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ht="15" x14ac:dyDescent="0.2">
      <c r="A64" s="8" t="s">
        <v>143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</row>
    <row r="65" spans="1:13" ht="15" x14ac:dyDescent="0.2">
      <c r="A65" s="8" t="s">
        <v>9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</row>
    <row r="66" spans="1:13" ht="15" x14ac:dyDescent="0.2">
      <c r="A66" s="8" t="s">
        <v>73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</row>
    <row r="67" spans="1:13" ht="15" x14ac:dyDescent="0.2">
      <c r="A67" s="8" t="s">
        <v>138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ht="15" x14ac:dyDescent="0.2">
      <c r="A68" s="8" t="s">
        <v>137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ht="15" x14ac:dyDescent="0.2">
      <c r="A69" s="8" t="s">
        <v>5</v>
      </c>
      <c r="B69" s="42">
        <v>800</v>
      </c>
      <c r="C69" s="42">
        <v>800</v>
      </c>
      <c r="D69" s="42">
        <v>800</v>
      </c>
      <c r="E69" s="42">
        <v>800</v>
      </c>
      <c r="F69" s="42">
        <v>800</v>
      </c>
      <c r="G69" s="42">
        <v>800</v>
      </c>
      <c r="H69" s="42">
        <v>800</v>
      </c>
      <c r="I69" s="42">
        <v>800</v>
      </c>
      <c r="J69" s="42">
        <v>800</v>
      </c>
      <c r="K69" s="42">
        <v>800</v>
      </c>
      <c r="L69" s="42">
        <v>1200</v>
      </c>
      <c r="M69" s="42">
        <v>1200</v>
      </c>
    </row>
    <row r="70" spans="1:13" ht="15" x14ac:dyDescent="0.2">
      <c r="A70" s="8" t="s">
        <v>6</v>
      </c>
      <c r="B70" s="43">
        <f t="shared" ref="B70:M70" si="10">SUM(B61:B69)</f>
        <v>5200</v>
      </c>
      <c r="C70" s="43">
        <f t="shared" si="10"/>
        <v>6000</v>
      </c>
      <c r="D70" s="43">
        <f t="shared" si="10"/>
        <v>6800</v>
      </c>
      <c r="E70" s="43">
        <f t="shared" si="10"/>
        <v>7600</v>
      </c>
      <c r="F70" s="43">
        <f t="shared" si="10"/>
        <v>8400</v>
      </c>
      <c r="G70" s="43">
        <f t="shared" si="10"/>
        <v>9200</v>
      </c>
      <c r="H70" s="43">
        <f t="shared" si="10"/>
        <v>10000</v>
      </c>
      <c r="I70" s="43">
        <f t="shared" si="10"/>
        <v>10800</v>
      </c>
      <c r="J70" s="43">
        <f t="shared" si="10"/>
        <v>11600</v>
      </c>
      <c r="K70" s="43">
        <f t="shared" si="10"/>
        <v>12400</v>
      </c>
      <c r="L70" s="43">
        <f t="shared" si="10"/>
        <v>1200</v>
      </c>
      <c r="M70" s="43">
        <f t="shared" si="10"/>
        <v>2400</v>
      </c>
    </row>
    <row r="71" spans="1:13" ht="15" x14ac:dyDescent="0.2">
      <c r="A71" s="8" t="s">
        <v>7</v>
      </c>
      <c r="B71" s="44"/>
      <c r="C71" s="44"/>
      <c r="D71" s="44"/>
      <c r="E71" s="44"/>
      <c r="F71" s="44"/>
      <c r="G71" s="44"/>
      <c r="H71" s="44"/>
      <c r="I71" s="44"/>
      <c r="J71" s="44"/>
      <c r="K71" s="44">
        <v>12400</v>
      </c>
      <c r="L71" s="44"/>
      <c r="M71" s="44"/>
    </row>
    <row r="72" spans="1:13" ht="15" x14ac:dyDescent="0.2">
      <c r="A72" s="8" t="s">
        <v>111</v>
      </c>
      <c r="B72" s="43">
        <f t="shared" ref="B72:M72" si="11">B70-B71</f>
        <v>5200</v>
      </c>
      <c r="C72" s="43">
        <f t="shared" si="11"/>
        <v>6000</v>
      </c>
      <c r="D72" s="43">
        <f t="shared" si="11"/>
        <v>6800</v>
      </c>
      <c r="E72" s="43">
        <f t="shared" si="11"/>
        <v>7600</v>
      </c>
      <c r="F72" s="43">
        <f t="shared" si="11"/>
        <v>8400</v>
      </c>
      <c r="G72" s="43">
        <f t="shared" si="11"/>
        <v>9200</v>
      </c>
      <c r="H72" s="43">
        <f t="shared" si="11"/>
        <v>10000</v>
      </c>
      <c r="I72" s="43">
        <f t="shared" si="11"/>
        <v>10800</v>
      </c>
      <c r="J72" s="43">
        <f t="shared" si="11"/>
        <v>11600</v>
      </c>
      <c r="K72" s="43">
        <f t="shared" si="11"/>
        <v>0</v>
      </c>
      <c r="L72" s="43">
        <f t="shared" si="11"/>
        <v>1200</v>
      </c>
      <c r="M72" s="43">
        <f t="shared" si="11"/>
        <v>2400</v>
      </c>
    </row>
    <row r="73" spans="1:13" x14ac:dyDescent="0.2"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spans="1:13" x14ac:dyDescent="0.2"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spans="1:13" x14ac:dyDescent="0.2"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</row>
    <row r="76" spans="1:13" ht="15.75" x14ac:dyDescent="0.25">
      <c r="A76" s="31" t="s">
        <v>0</v>
      </c>
      <c r="B76" s="50" t="s">
        <v>1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</row>
    <row r="77" spans="1:13" ht="15" x14ac:dyDescent="0.2">
      <c r="A77" s="8"/>
      <c r="B77" s="79">
        <v>42005</v>
      </c>
      <c r="C77" s="79">
        <v>42036</v>
      </c>
      <c r="D77" s="79">
        <v>42064</v>
      </c>
      <c r="E77" s="79">
        <v>42095</v>
      </c>
      <c r="F77" s="79">
        <v>42125</v>
      </c>
      <c r="G77" s="79">
        <v>42156</v>
      </c>
      <c r="H77" s="79">
        <v>42186</v>
      </c>
      <c r="I77" s="79">
        <v>42217</v>
      </c>
      <c r="J77" s="79">
        <v>42248</v>
      </c>
      <c r="K77" s="79">
        <v>42278</v>
      </c>
      <c r="L77" s="79">
        <v>42309</v>
      </c>
      <c r="M77" s="79">
        <v>42339</v>
      </c>
    </row>
    <row r="78" spans="1:13" ht="15" x14ac:dyDescent="0.2">
      <c r="A78" s="8" t="s">
        <v>110</v>
      </c>
      <c r="B78" s="42">
        <v>2400</v>
      </c>
      <c r="C78" s="42">
        <f t="shared" ref="C78:M78" si="12">B89</f>
        <v>3600</v>
      </c>
      <c r="D78" s="42">
        <f t="shared" si="12"/>
        <v>4800</v>
      </c>
      <c r="E78" s="42">
        <f t="shared" si="12"/>
        <v>6000</v>
      </c>
      <c r="F78" s="42">
        <f t="shared" si="12"/>
        <v>7200</v>
      </c>
      <c r="G78" s="42">
        <f t="shared" si="12"/>
        <v>8400</v>
      </c>
      <c r="H78" s="42">
        <f t="shared" si="12"/>
        <v>9600</v>
      </c>
      <c r="I78" s="42">
        <f t="shared" si="12"/>
        <v>10800</v>
      </c>
      <c r="J78" s="42">
        <f t="shared" si="12"/>
        <v>12000</v>
      </c>
      <c r="K78" s="42">
        <f t="shared" si="12"/>
        <v>13200</v>
      </c>
      <c r="L78" s="42">
        <f t="shared" si="12"/>
        <v>14400</v>
      </c>
      <c r="M78" s="42">
        <f t="shared" si="12"/>
        <v>15900</v>
      </c>
    </row>
    <row r="79" spans="1:13" ht="15" x14ac:dyDescent="0.2">
      <c r="A79" s="8" t="s">
        <v>76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</row>
    <row r="80" spans="1:13" ht="15" x14ac:dyDescent="0.2">
      <c r="A80" s="8" t="s">
        <v>213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spans="1:13" ht="15" x14ac:dyDescent="0.2">
      <c r="A81" s="8" t="s">
        <v>143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spans="1:13" ht="15" x14ac:dyDescent="0.2">
      <c r="A82" s="8" t="s">
        <v>9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</row>
    <row r="83" spans="1:13" ht="15" x14ac:dyDescent="0.2">
      <c r="A83" s="8" t="s">
        <v>73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</row>
    <row r="84" spans="1:13" ht="15" x14ac:dyDescent="0.2">
      <c r="A84" s="8" t="s">
        <v>138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</row>
    <row r="85" spans="1:13" ht="15" x14ac:dyDescent="0.2">
      <c r="A85" s="8" t="s">
        <v>137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</row>
    <row r="86" spans="1:13" ht="15" x14ac:dyDescent="0.2">
      <c r="A86" s="8" t="s">
        <v>5</v>
      </c>
      <c r="B86" s="42">
        <v>1200</v>
      </c>
      <c r="C86" s="42">
        <v>1200</v>
      </c>
      <c r="D86" s="42">
        <v>1200</v>
      </c>
      <c r="E86" s="42">
        <v>1200</v>
      </c>
      <c r="F86" s="42">
        <v>1200</v>
      </c>
      <c r="G86" s="42">
        <v>1200</v>
      </c>
      <c r="H86" s="42">
        <v>1200</v>
      </c>
      <c r="I86" s="42">
        <v>1200</v>
      </c>
      <c r="J86" s="42">
        <v>1200</v>
      </c>
      <c r="K86" s="42">
        <v>1200</v>
      </c>
      <c r="L86" s="42">
        <v>1500</v>
      </c>
      <c r="M86" s="42">
        <v>1500</v>
      </c>
    </row>
    <row r="87" spans="1:13" ht="15" x14ac:dyDescent="0.2">
      <c r="A87" s="8" t="s">
        <v>6</v>
      </c>
      <c r="B87" s="43">
        <f t="shared" ref="B87:M87" si="13">SUM(B78:B86)</f>
        <v>3600</v>
      </c>
      <c r="C87" s="43">
        <f t="shared" si="13"/>
        <v>4800</v>
      </c>
      <c r="D87" s="43">
        <f t="shared" si="13"/>
        <v>6000</v>
      </c>
      <c r="E87" s="43">
        <f t="shared" si="13"/>
        <v>7200</v>
      </c>
      <c r="F87" s="43">
        <f t="shared" si="13"/>
        <v>8400</v>
      </c>
      <c r="G87" s="43">
        <f t="shared" si="13"/>
        <v>9600</v>
      </c>
      <c r="H87" s="43">
        <f t="shared" si="13"/>
        <v>10800</v>
      </c>
      <c r="I87" s="43">
        <f t="shared" si="13"/>
        <v>12000</v>
      </c>
      <c r="J87" s="43">
        <f t="shared" si="13"/>
        <v>13200</v>
      </c>
      <c r="K87" s="43">
        <f t="shared" si="13"/>
        <v>14400</v>
      </c>
      <c r="L87" s="43">
        <f t="shared" si="13"/>
        <v>15900</v>
      </c>
      <c r="M87" s="43">
        <f t="shared" si="13"/>
        <v>17400</v>
      </c>
    </row>
    <row r="88" spans="1:13" ht="15" x14ac:dyDescent="0.2">
      <c r="A88" s="8" t="s">
        <v>7</v>
      </c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>
        <v>17400</v>
      </c>
    </row>
    <row r="89" spans="1:13" ht="15" x14ac:dyDescent="0.2">
      <c r="A89" s="8" t="s">
        <v>111</v>
      </c>
      <c r="B89" s="43">
        <f t="shared" ref="B89:M89" si="14">B87-B88</f>
        <v>3600</v>
      </c>
      <c r="C89" s="43">
        <f t="shared" si="14"/>
        <v>4800</v>
      </c>
      <c r="D89" s="43">
        <f t="shared" si="14"/>
        <v>6000</v>
      </c>
      <c r="E89" s="43">
        <f t="shared" si="14"/>
        <v>7200</v>
      </c>
      <c r="F89" s="43">
        <f t="shared" si="14"/>
        <v>8400</v>
      </c>
      <c r="G89" s="43">
        <f t="shared" si="14"/>
        <v>9600</v>
      </c>
      <c r="H89" s="43">
        <f t="shared" si="14"/>
        <v>10800</v>
      </c>
      <c r="I89" s="43">
        <f t="shared" si="14"/>
        <v>12000</v>
      </c>
      <c r="J89" s="43">
        <f t="shared" si="14"/>
        <v>13200</v>
      </c>
      <c r="K89" s="43">
        <f t="shared" si="14"/>
        <v>14400</v>
      </c>
      <c r="L89" s="43">
        <f t="shared" si="14"/>
        <v>15900</v>
      </c>
      <c r="M89" s="43">
        <f t="shared" si="14"/>
        <v>0</v>
      </c>
    </row>
  </sheetData>
  <mergeCells count="1">
    <mergeCell ref="B4:G4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1"/>
  <dimension ref="A3:M16"/>
  <sheetViews>
    <sheetView workbookViewId="0">
      <selection activeCell="D16" sqref="D16"/>
    </sheetView>
  </sheetViews>
  <sheetFormatPr baseColWidth="10" defaultRowHeight="12.75" x14ac:dyDescent="0.2"/>
  <cols>
    <col min="1" max="1" width="33.7109375" customWidth="1"/>
  </cols>
  <sheetData>
    <row r="3" spans="1:13" x14ac:dyDescent="0.2">
      <c r="A3" s="50" t="s">
        <v>0</v>
      </c>
      <c r="B3" s="50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x14ac:dyDescent="0.2">
      <c r="A4" s="65"/>
      <c r="B4" s="68">
        <v>44927</v>
      </c>
      <c r="C4" s="68">
        <v>44958</v>
      </c>
      <c r="D4" s="68">
        <v>44986</v>
      </c>
      <c r="E4" s="68">
        <v>45017</v>
      </c>
      <c r="F4" s="68">
        <v>45047</v>
      </c>
      <c r="G4" s="68">
        <v>45078</v>
      </c>
      <c r="H4" s="68">
        <v>45108</v>
      </c>
      <c r="I4" s="68">
        <v>45139</v>
      </c>
      <c r="J4" s="68">
        <v>45170</v>
      </c>
      <c r="K4" s="68">
        <v>45200</v>
      </c>
      <c r="L4" s="68">
        <v>45231</v>
      </c>
      <c r="M4" s="68">
        <v>45261</v>
      </c>
    </row>
    <row r="5" spans="1:13" x14ac:dyDescent="0.2">
      <c r="A5" s="65" t="s">
        <v>110</v>
      </c>
      <c r="B5" s="69"/>
      <c r="C5" s="69">
        <f t="shared" ref="C5:M5" si="0">B16</f>
        <v>0</v>
      </c>
      <c r="D5" s="69">
        <f t="shared" si="0"/>
        <v>0</v>
      </c>
      <c r="E5" s="69">
        <f t="shared" si="0"/>
        <v>0</v>
      </c>
      <c r="F5" s="69">
        <f t="shared" si="0"/>
        <v>0</v>
      </c>
      <c r="G5" s="69">
        <f t="shared" si="0"/>
        <v>0</v>
      </c>
      <c r="H5" s="69">
        <f t="shared" si="0"/>
        <v>0</v>
      </c>
      <c r="I5" s="69">
        <f t="shared" si="0"/>
        <v>0</v>
      </c>
      <c r="J5" s="69">
        <f t="shared" si="0"/>
        <v>0</v>
      </c>
      <c r="K5" s="69">
        <f t="shared" si="0"/>
        <v>0</v>
      </c>
      <c r="L5" s="69">
        <f t="shared" si="0"/>
        <v>0</v>
      </c>
      <c r="M5" s="69">
        <f t="shared" si="0"/>
        <v>0</v>
      </c>
    </row>
    <row r="6" spans="1:13" x14ac:dyDescent="0.2">
      <c r="A6" s="65" t="s">
        <v>76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>
        <v>0</v>
      </c>
      <c r="M6" s="69">
        <v>0</v>
      </c>
    </row>
    <row r="7" spans="1:13" x14ac:dyDescent="0.2">
      <c r="A7" s="65" t="s">
        <v>3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160"/>
      <c r="M7" s="69"/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160"/>
      <c r="L8" s="69"/>
      <c r="M8" s="69"/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613</v>
      </c>
      <c r="B10" s="69"/>
      <c r="C10" s="69"/>
      <c r="D10" s="69">
        <v>2390</v>
      </c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209</v>
      </c>
      <c r="B11" s="69"/>
      <c r="C11" s="69"/>
      <c r="D11" s="69">
        <v>5800</v>
      </c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75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6</v>
      </c>
      <c r="B14" s="70">
        <f t="shared" ref="B14:M14" si="1">SUM(B5:B13)</f>
        <v>0</v>
      </c>
      <c r="C14" s="70">
        <f t="shared" si="1"/>
        <v>0</v>
      </c>
      <c r="D14" s="70">
        <f t="shared" si="1"/>
        <v>8190</v>
      </c>
      <c r="E14" s="70">
        <f t="shared" si="1"/>
        <v>0</v>
      </c>
      <c r="F14" s="70">
        <f t="shared" si="1"/>
        <v>0</v>
      </c>
      <c r="G14" s="70">
        <f t="shared" si="1"/>
        <v>0</v>
      </c>
      <c r="H14" s="70">
        <f t="shared" si="1"/>
        <v>0</v>
      </c>
      <c r="I14" s="70">
        <f t="shared" si="1"/>
        <v>0</v>
      </c>
      <c r="J14" s="70">
        <f t="shared" si="1"/>
        <v>0</v>
      </c>
      <c r="K14" s="70">
        <f t="shared" si="1"/>
        <v>0</v>
      </c>
      <c r="L14" s="70">
        <f t="shared" si="1"/>
        <v>0</v>
      </c>
      <c r="M14" s="70">
        <f t="shared" si="1"/>
        <v>0</v>
      </c>
    </row>
    <row r="15" spans="1:13" x14ac:dyDescent="0.2">
      <c r="A15" s="65" t="s">
        <v>7</v>
      </c>
      <c r="B15" s="71"/>
      <c r="C15" s="71"/>
      <c r="D15" s="71">
        <v>8190</v>
      </c>
      <c r="E15" s="71"/>
      <c r="F15" s="71"/>
      <c r="G15" s="71"/>
      <c r="H15" s="71"/>
      <c r="I15" s="71"/>
      <c r="J15" s="71"/>
      <c r="K15" s="71"/>
      <c r="L15" s="71"/>
      <c r="M15" s="71"/>
    </row>
    <row r="16" spans="1:13" x14ac:dyDescent="0.2">
      <c r="A16" s="65" t="s">
        <v>111</v>
      </c>
      <c r="B16" s="70">
        <f t="shared" ref="B16:M16" si="2">B14-B15</f>
        <v>0</v>
      </c>
      <c r="C16" s="70">
        <f t="shared" si="2"/>
        <v>0</v>
      </c>
      <c r="D16" s="70">
        <f t="shared" si="2"/>
        <v>0</v>
      </c>
      <c r="E16" s="70">
        <f t="shared" si="2"/>
        <v>0</v>
      </c>
      <c r="F16" s="70">
        <f t="shared" si="2"/>
        <v>0</v>
      </c>
      <c r="G16" s="70">
        <f t="shared" si="2"/>
        <v>0</v>
      </c>
      <c r="H16" s="70">
        <f t="shared" si="2"/>
        <v>0</v>
      </c>
      <c r="I16" s="70">
        <f t="shared" si="2"/>
        <v>0</v>
      </c>
      <c r="J16" s="70">
        <f t="shared" si="2"/>
        <v>0</v>
      </c>
      <c r="K16" s="70">
        <f t="shared" si="2"/>
        <v>0</v>
      </c>
      <c r="L16" s="70">
        <f t="shared" si="2"/>
        <v>0</v>
      </c>
      <c r="M16" s="70">
        <f t="shared" si="2"/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2"/>
  <dimension ref="A4:N53"/>
  <sheetViews>
    <sheetView workbookViewId="0">
      <selection activeCell="G39" sqref="G39"/>
    </sheetView>
  </sheetViews>
  <sheetFormatPr baseColWidth="10" defaultRowHeight="12.75" x14ac:dyDescent="0.2"/>
  <cols>
    <col min="1" max="1" width="31.140625" customWidth="1"/>
    <col min="2" max="2" width="13.85546875" bestFit="1" customWidth="1"/>
    <col min="4" max="4" width="12.5703125" bestFit="1" customWidth="1"/>
    <col min="6" max="6" width="13.85546875" bestFit="1" customWidth="1"/>
    <col min="7" max="7" width="12.5703125" bestFit="1" customWidth="1"/>
  </cols>
  <sheetData>
    <row r="4" spans="1:14" x14ac:dyDescent="0.2">
      <c r="A4" t="s">
        <v>203</v>
      </c>
    </row>
    <row r="6" spans="1:14" x14ac:dyDescent="0.2">
      <c r="A6" s="80" t="s">
        <v>0</v>
      </c>
      <c r="B6" s="80" t="s">
        <v>1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4" x14ac:dyDescent="0.2">
      <c r="A7" s="81"/>
      <c r="B7" s="82">
        <v>45658</v>
      </c>
      <c r="C7" s="82">
        <v>45689</v>
      </c>
      <c r="D7" s="82">
        <v>45717</v>
      </c>
      <c r="E7" s="82">
        <v>45748</v>
      </c>
      <c r="F7" s="82">
        <v>45778</v>
      </c>
      <c r="G7" s="82">
        <v>45809</v>
      </c>
      <c r="H7" s="82">
        <v>45839</v>
      </c>
      <c r="I7" s="82">
        <v>45870</v>
      </c>
      <c r="J7" s="82">
        <v>45901</v>
      </c>
      <c r="K7" s="82">
        <v>45931</v>
      </c>
      <c r="L7" s="82">
        <v>45962</v>
      </c>
      <c r="M7" s="82">
        <v>45992</v>
      </c>
    </row>
    <row r="8" spans="1:14" x14ac:dyDescent="0.2">
      <c r="A8" s="78" t="s">
        <v>110</v>
      </c>
      <c r="B8" s="42">
        <f>M3</f>
        <v>0</v>
      </c>
      <c r="C8" s="42">
        <f t="shared" ref="C8:M8" si="0">B19</f>
        <v>47300</v>
      </c>
      <c r="D8" s="42">
        <f t="shared" si="0"/>
        <v>0</v>
      </c>
      <c r="E8" s="42">
        <f t="shared" si="0"/>
        <v>47300</v>
      </c>
      <c r="F8" s="42">
        <f t="shared" si="0"/>
        <v>0</v>
      </c>
      <c r="G8" s="42">
        <f t="shared" si="0"/>
        <v>52300</v>
      </c>
      <c r="H8" s="42">
        <f t="shared" si="0"/>
        <v>0</v>
      </c>
      <c r="I8" s="42">
        <f t="shared" si="0"/>
        <v>0</v>
      </c>
      <c r="J8" s="42">
        <f t="shared" si="0"/>
        <v>60500</v>
      </c>
      <c r="K8" s="42">
        <f t="shared" si="0"/>
        <v>0</v>
      </c>
      <c r="L8" s="42">
        <f t="shared" si="0"/>
        <v>60500</v>
      </c>
      <c r="M8" s="42">
        <f t="shared" si="0"/>
        <v>120500</v>
      </c>
    </row>
    <row r="9" spans="1:14" x14ac:dyDescent="0.2">
      <c r="A9" s="78" t="s">
        <v>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2">
      <c r="A11" s="78" t="s">
        <v>4</v>
      </c>
      <c r="B11" s="42">
        <v>22300</v>
      </c>
      <c r="C11" s="42">
        <v>22300</v>
      </c>
      <c r="D11" s="42">
        <v>22300</v>
      </c>
      <c r="E11" s="42">
        <v>22300</v>
      </c>
      <c r="F11" s="42">
        <v>22300</v>
      </c>
      <c r="G11" s="42">
        <v>22300</v>
      </c>
      <c r="H11" s="42">
        <v>25500</v>
      </c>
      <c r="I11" s="42">
        <v>25500</v>
      </c>
      <c r="J11" s="42">
        <v>25500</v>
      </c>
      <c r="K11" s="42">
        <v>25500</v>
      </c>
      <c r="L11" s="42">
        <v>25000</v>
      </c>
      <c r="M11" s="42">
        <v>25000</v>
      </c>
    </row>
    <row r="12" spans="1:14" x14ac:dyDescent="0.2">
      <c r="A12" s="78" t="s">
        <v>416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 x14ac:dyDescent="0.2">
      <c r="A14" s="78" t="s">
        <v>74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4" x14ac:dyDescent="0.2">
      <c r="A15" s="78" t="s">
        <v>243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55"/>
    </row>
    <row r="16" spans="1:14" x14ac:dyDescent="0.2">
      <c r="A16" s="78" t="s">
        <v>5</v>
      </c>
      <c r="B16" s="42">
        <v>25000</v>
      </c>
      <c r="C16" s="42">
        <v>25000</v>
      </c>
      <c r="D16" s="42">
        <v>25000</v>
      </c>
      <c r="E16" s="42">
        <v>25000</v>
      </c>
      <c r="F16" s="42">
        <v>30000</v>
      </c>
      <c r="G16" s="42">
        <v>30000</v>
      </c>
      <c r="H16" s="42">
        <v>35000</v>
      </c>
      <c r="I16" s="42">
        <v>35000</v>
      </c>
      <c r="J16" s="42">
        <v>35000</v>
      </c>
      <c r="K16" s="42">
        <v>35000</v>
      </c>
      <c r="L16" s="42">
        <v>35000</v>
      </c>
      <c r="M16" s="42">
        <v>35000</v>
      </c>
    </row>
    <row r="17" spans="1:13" x14ac:dyDescent="0.2">
      <c r="A17" s="78" t="s">
        <v>6</v>
      </c>
      <c r="B17" s="43">
        <f>SUM(B8:B16)</f>
        <v>47300</v>
      </c>
      <c r="C17" s="43">
        <f t="shared" ref="C17:M17" si="1">SUM(C8:C16)</f>
        <v>94600</v>
      </c>
      <c r="D17" s="43">
        <f t="shared" si="1"/>
        <v>47300</v>
      </c>
      <c r="E17" s="43">
        <f t="shared" si="1"/>
        <v>94600</v>
      </c>
      <c r="F17" s="43">
        <f t="shared" si="1"/>
        <v>52300</v>
      </c>
      <c r="G17" s="43">
        <f t="shared" si="1"/>
        <v>104600</v>
      </c>
      <c r="H17" s="43">
        <f t="shared" si="1"/>
        <v>60500</v>
      </c>
      <c r="I17" s="43">
        <f t="shared" si="1"/>
        <v>60500</v>
      </c>
      <c r="J17" s="43">
        <f t="shared" si="1"/>
        <v>121000</v>
      </c>
      <c r="K17" s="43">
        <f t="shared" si="1"/>
        <v>60500</v>
      </c>
      <c r="L17" s="43">
        <f t="shared" si="1"/>
        <v>120500</v>
      </c>
      <c r="M17" s="43">
        <f t="shared" si="1"/>
        <v>180500</v>
      </c>
    </row>
    <row r="18" spans="1:13" ht="13.5" thickBot="1" x14ac:dyDescent="0.25">
      <c r="A18" s="78" t="s">
        <v>7</v>
      </c>
      <c r="B18" s="44"/>
      <c r="C18" s="44">
        <v>94600</v>
      </c>
      <c r="D18" s="44"/>
      <c r="E18" s="44">
        <v>94600</v>
      </c>
      <c r="F18" s="44"/>
      <c r="G18" s="44">
        <v>104600</v>
      </c>
      <c r="H18" s="44">
        <v>60500</v>
      </c>
      <c r="I18" s="44"/>
      <c r="J18" s="44">
        <v>121000</v>
      </c>
      <c r="K18" s="44"/>
      <c r="L18" s="44"/>
      <c r="M18" s="44">
        <v>180500</v>
      </c>
    </row>
    <row r="19" spans="1:13" ht="13.5" thickBot="1" x14ac:dyDescent="0.25">
      <c r="A19" s="78" t="s">
        <v>111</v>
      </c>
      <c r="B19" s="45">
        <f t="shared" ref="B19:M19" si="2">B17-B18</f>
        <v>47300</v>
      </c>
      <c r="C19" s="46">
        <f t="shared" si="2"/>
        <v>0</v>
      </c>
      <c r="D19" s="46">
        <f t="shared" si="2"/>
        <v>47300</v>
      </c>
      <c r="E19" s="46">
        <f>E17-E18</f>
        <v>0</v>
      </c>
      <c r="F19" s="46">
        <f t="shared" si="2"/>
        <v>52300</v>
      </c>
      <c r="G19" s="46">
        <f>G17-G18</f>
        <v>0</v>
      </c>
      <c r="H19" s="46">
        <f t="shared" si="2"/>
        <v>0</v>
      </c>
      <c r="I19" s="46">
        <f t="shared" si="2"/>
        <v>60500</v>
      </c>
      <c r="J19" s="46">
        <f t="shared" si="2"/>
        <v>0</v>
      </c>
      <c r="K19" s="46">
        <f t="shared" si="2"/>
        <v>60500</v>
      </c>
      <c r="L19" s="46">
        <f t="shared" si="2"/>
        <v>120500</v>
      </c>
      <c r="M19" s="47">
        <f t="shared" si="2"/>
        <v>0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2">
      <c r="A24" s="78" t="s">
        <v>110</v>
      </c>
      <c r="B24" s="42">
        <f>M19</f>
        <v>0</v>
      </c>
      <c r="C24" s="42">
        <f t="shared" ref="C24:M24" si="3">B35</f>
        <v>70000</v>
      </c>
      <c r="D24" s="42">
        <f t="shared" si="3"/>
        <v>0</v>
      </c>
      <c r="E24" s="42">
        <f t="shared" si="3"/>
        <v>70000</v>
      </c>
      <c r="F24" s="42">
        <f t="shared" si="3"/>
        <v>0</v>
      </c>
      <c r="G24" s="42">
        <f t="shared" si="3"/>
        <v>70000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30000</v>
      </c>
      <c r="C27" s="42">
        <v>30000</v>
      </c>
      <c r="D27" s="42">
        <v>30000</v>
      </c>
      <c r="E27" s="42">
        <v>30000</v>
      </c>
      <c r="F27" s="42">
        <v>30000</v>
      </c>
      <c r="G27" s="42">
        <v>30000</v>
      </c>
      <c r="H27" s="42"/>
      <c r="I27" s="42"/>
      <c r="J27" s="42"/>
      <c r="K27" s="42"/>
      <c r="L27" s="42"/>
      <c r="M27" s="42"/>
    </row>
    <row r="28" spans="1:13" x14ac:dyDescent="0.2">
      <c r="A28" s="78" t="s">
        <v>396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180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40000</v>
      </c>
      <c r="C32" s="42">
        <v>40000</v>
      </c>
      <c r="D32" s="42">
        <v>40000</v>
      </c>
      <c r="E32" s="42">
        <v>40000</v>
      </c>
      <c r="F32" s="42">
        <v>40000</v>
      </c>
      <c r="G32" s="42">
        <v>50000</v>
      </c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 t="shared" ref="B33:M33" si="4">SUM(B24:B32)</f>
        <v>70000</v>
      </c>
      <c r="C33" s="43">
        <f t="shared" si="4"/>
        <v>140000</v>
      </c>
      <c r="D33" s="43">
        <f t="shared" si="4"/>
        <v>70000</v>
      </c>
      <c r="E33" s="43">
        <f t="shared" si="4"/>
        <v>140000</v>
      </c>
      <c r="F33" s="43">
        <f t="shared" si="4"/>
        <v>70000</v>
      </c>
      <c r="G33" s="43">
        <f>SUM(G24:G32)</f>
        <v>150000</v>
      </c>
      <c r="H33" s="43">
        <f t="shared" si="4"/>
        <v>0</v>
      </c>
      <c r="I33" s="43">
        <f t="shared" si="4"/>
        <v>0</v>
      </c>
      <c r="J33" s="43">
        <f t="shared" si="4"/>
        <v>0</v>
      </c>
      <c r="K33" s="43">
        <f t="shared" si="4"/>
        <v>0</v>
      </c>
      <c r="L33" s="43">
        <f t="shared" si="4"/>
        <v>0</v>
      </c>
      <c r="M33" s="43">
        <f t="shared" si="4"/>
        <v>0</v>
      </c>
    </row>
    <row r="34" spans="1:13" ht="13.5" thickBot="1" x14ac:dyDescent="0.25">
      <c r="A34" s="78" t="s">
        <v>7</v>
      </c>
      <c r="B34" s="44"/>
      <c r="C34" s="44">
        <f>80000+60000</f>
        <v>140000</v>
      </c>
      <c r="D34" s="44"/>
      <c r="E34" s="44">
        <v>140000</v>
      </c>
      <c r="F34" s="44"/>
      <c r="G34" s="44">
        <v>150000</v>
      </c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70000</v>
      </c>
      <c r="C35" s="46">
        <f t="shared" si="5"/>
        <v>0</v>
      </c>
      <c r="D35" s="46">
        <f t="shared" si="5"/>
        <v>70000</v>
      </c>
      <c r="E35" s="46">
        <f t="shared" si="5"/>
        <v>0</v>
      </c>
      <c r="F35" s="46">
        <f t="shared" si="5"/>
        <v>70000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6">
        <f t="shared" si="5"/>
        <v>0</v>
      </c>
    </row>
    <row r="36" spans="1:13" x14ac:dyDescent="0.2">
      <c r="G36" s="128">
        <v>46182</v>
      </c>
      <c r="J36" s="128"/>
    </row>
    <row r="39" spans="1:13" x14ac:dyDescent="0.2">
      <c r="D39" s="159"/>
      <c r="E39" s="159"/>
    </row>
    <row r="40" spans="1:13" ht="15.75" x14ac:dyDescent="0.25">
      <c r="A40" s="32" t="s">
        <v>0</v>
      </c>
      <c r="B40" s="32" t="s">
        <v>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 ht="15.75" x14ac:dyDescent="0.2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 ht="15" x14ac:dyDescent="0.2">
      <c r="A42" s="8" t="s">
        <v>110</v>
      </c>
      <c r="B42" s="28">
        <f>M37</f>
        <v>0</v>
      </c>
      <c r="C42" s="28">
        <f>B53</f>
        <v>47000</v>
      </c>
      <c r="D42" s="28">
        <f>C53</f>
        <v>47000</v>
      </c>
      <c r="E42" s="28">
        <f>D53</f>
        <v>47000</v>
      </c>
      <c r="F42" s="28">
        <f>E53</f>
        <v>47000</v>
      </c>
      <c r="G42" s="28"/>
      <c r="H42" s="28">
        <f t="shared" ref="H42:M42" si="6">G53</f>
        <v>0</v>
      </c>
      <c r="I42" s="28">
        <f t="shared" si="6"/>
        <v>0</v>
      </c>
      <c r="J42" s="28">
        <f t="shared" si="6"/>
        <v>0</v>
      </c>
      <c r="K42" s="28">
        <f t="shared" si="6"/>
        <v>0</v>
      </c>
      <c r="L42" s="28">
        <f t="shared" si="6"/>
        <v>0</v>
      </c>
      <c r="M42" s="28">
        <f t="shared" si="6"/>
        <v>0</v>
      </c>
    </row>
    <row r="43" spans="1:13" ht="15" x14ac:dyDescent="0.2">
      <c r="A43" s="8" t="s">
        <v>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ht="15" x14ac:dyDescent="0.2">
      <c r="A44" s="8" t="s">
        <v>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15" x14ac:dyDescent="0.2">
      <c r="A45" s="8" t="s">
        <v>4</v>
      </c>
      <c r="B45" s="28">
        <v>22000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ht="15" x14ac:dyDescent="0.2">
      <c r="A46" s="8" t="s">
        <v>416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ht="15" x14ac:dyDescent="0.2">
      <c r="A47" s="8" t="s">
        <v>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15" x14ac:dyDescent="0.2">
      <c r="A48" s="8" t="s">
        <v>74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15" x14ac:dyDescent="0.2">
      <c r="A49" s="8" t="s">
        <v>243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15" x14ac:dyDescent="0.2">
      <c r="A50" s="8" t="s">
        <v>5</v>
      </c>
      <c r="B50" s="28">
        <v>25000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ht="15" x14ac:dyDescent="0.2">
      <c r="A51" s="8" t="s">
        <v>6</v>
      </c>
      <c r="B51" s="29">
        <f>SUM(B42:B50)</f>
        <v>47000</v>
      </c>
      <c r="C51" s="29">
        <f t="shared" ref="C51:M51" si="7">SUM(C42:C50)</f>
        <v>47000</v>
      </c>
      <c r="D51" s="29">
        <f t="shared" si="7"/>
        <v>47000</v>
      </c>
      <c r="E51" s="29">
        <f t="shared" si="7"/>
        <v>47000</v>
      </c>
      <c r="F51" s="29">
        <f t="shared" si="7"/>
        <v>47000</v>
      </c>
      <c r="G51" s="29">
        <f t="shared" si="7"/>
        <v>0</v>
      </c>
      <c r="H51" s="29">
        <f t="shared" si="7"/>
        <v>0</v>
      </c>
      <c r="I51" s="29">
        <f t="shared" si="7"/>
        <v>0</v>
      </c>
      <c r="J51" s="29">
        <f t="shared" si="7"/>
        <v>0</v>
      </c>
      <c r="K51" s="29">
        <f t="shared" si="7"/>
        <v>0</v>
      </c>
      <c r="L51" s="29">
        <f t="shared" si="7"/>
        <v>0</v>
      </c>
      <c r="M51" s="29">
        <f t="shared" si="7"/>
        <v>0</v>
      </c>
    </row>
    <row r="52" spans="1:13" ht="15.75" thickBot="1" x14ac:dyDescent="0.25">
      <c r="A52" s="8" t="s">
        <v>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ht="15.75" thickBot="1" x14ac:dyDescent="0.25">
      <c r="A53" s="8" t="s">
        <v>111</v>
      </c>
      <c r="B53" s="35">
        <f t="shared" ref="B53:G53" si="8">B51-B52</f>
        <v>47000</v>
      </c>
      <c r="C53" s="36">
        <f t="shared" si="8"/>
        <v>47000</v>
      </c>
      <c r="D53" s="36">
        <f t="shared" si="8"/>
        <v>47000</v>
      </c>
      <c r="E53" s="36">
        <f t="shared" si="8"/>
        <v>47000</v>
      </c>
      <c r="F53" s="36">
        <f t="shared" si="8"/>
        <v>47000</v>
      </c>
      <c r="G53" s="36">
        <f t="shared" si="8"/>
        <v>0</v>
      </c>
      <c r="H53" s="36">
        <f t="shared" ref="H53:M53" si="9">H51-H52</f>
        <v>0</v>
      </c>
      <c r="I53" s="36">
        <f t="shared" si="9"/>
        <v>0</v>
      </c>
      <c r="J53" s="36">
        <f t="shared" si="9"/>
        <v>0</v>
      </c>
      <c r="K53" s="36">
        <f t="shared" si="9"/>
        <v>0</v>
      </c>
      <c r="L53" s="36">
        <f t="shared" si="9"/>
        <v>0</v>
      </c>
      <c r="M53" s="37">
        <f t="shared" si="9"/>
        <v>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3"/>
  <dimension ref="A3:M33"/>
  <sheetViews>
    <sheetView topLeftCell="A13" workbookViewId="0">
      <selection activeCell="F25" sqref="F25"/>
    </sheetView>
  </sheetViews>
  <sheetFormatPr baseColWidth="10" defaultRowHeight="12.75" x14ac:dyDescent="0.2"/>
  <cols>
    <col min="1" max="1" width="25.85546875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M5" si="0">C16</f>
        <v>0</v>
      </c>
      <c r="E5" s="42">
        <f t="shared" si="0"/>
        <v>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 t="shared" si="0"/>
        <v>0</v>
      </c>
      <c r="M5" s="42">
        <f t="shared" si="0"/>
        <v>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v>32000</v>
      </c>
      <c r="C8" s="42">
        <v>36000</v>
      </c>
      <c r="D8" s="42">
        <v>48000</v>
      </c>
      <c r="E8" s="42">
        <v>49100</v>
      </c>
      <c r="F8" s="42">
        <v>49100</v>
      </c>
      <c r="G8" s="42">
        <v>58000</v>
      </c>
      <c r="H8" s="42">
        <v>58104</v>
      </c>
      <c r="I8" s="42">
        <v>58200</v>
      </c>
      <c r="J8" s="42">
        <v>58200</v>
      </c>
      <c r="K8" s="42">
        <v>58200</v>
      </c>
      <c r="L8" s="42">
        <v>58200</v>
      </c>
      <c r="M8" s="42">
        <v>58600</v>
      </c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601</v>
      </c>
      <c r="B10" s="42">
        <v>15300</v>
      </c>
      <c r="C10" s="42">
        <v>22700</v>
      </c>
      <c r="D10" s="42">
        <v>22700</v>
      </c>
      <c r="E10" s="42">
        <v>22700</v>
      </c>
      <c r="F10" s="42">
        <v>22700</v>
      </c>
      <c r="G10" s="42">
        <v>22700</v>
      </c>
      <c r="H10" s="42">
        <v>22700</v>
      </c>
      <c r="I10" s="42">
        <v>35000</v>
      </c>
      <c r="J10" s="42">
        <v>35000</v>
      </c>
      <c r="K10" s="42">
        <v>35000</v>
      </c>
      <c r="L10" s="42">
        <v>35000</v>
      </c>
      <c r="M10" s="42">
        <v>35000</v>
      </c>
    </row>
    <row r="11" spans="1:13" x14ac:dyDescent="0.2">
      <c r="A11" s="78" t="s">
        <v>504</v>
      </c>
      <c r="B11" s="42">
        <v>42900</v>
      </c>
      <c r="C11" s="42">
        <v>57000</v>
      </c>
      <c r="D11" s="42">
        <v>57000</v>
      </c>
      <c r="E11" s="42">
        <v>57000</v>
      </c>
      <c r="F11" s="42">
        <v>57000</v>
      </c>
      <c r="G11" s="42">
        <v>57000</v>
      </c>
      <c r="H11" s="42">
        <v>57000</v>
      </c>
      <c r="I11" s="42">
        <v>65000</v>
      </c>
      <c r="J11" s="42">
        <v>65000</v>
      </c>
      <c r="K11" s="42">
        <v>65000</v>
      </c>
      <c r="L11" s="42">
        <v>65000</v>
      </c>
      <c r="M11" s="42">
        <v>65000</v>
      </c>
    </row>
    <row r="12" spans="1:13" x14ac:dyDescent="0.2">
      <c r="A12" s="7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90000</v>
      </c>
      <c r="C13" s="42">
        <v>90000</v>
      </c>
      <c r="D13" s="42">
        <v>90000</v>
      </c>
      <c r="E13" s="42">
        <v>100000</v>
      </c>
      <c r="F13" s="42">
        <v>100000</v>
      </c>
      <c r="G13" s="42">
        <v>100000</v>
      </c>
      <c r="H13" s="42">
        <v>100000</v>
      </c>
      <c r="I13" s="42">
        <v>120000</v>
      </c>
      <c r="J13" s="42">
        <v>120000</v>
      </c>
      <c r="K13" s="42">
        <v>120000</v>
      </c>
      <c r="L13" s="42">
        <v>130000</v>
      </c>
      <c r="M13" s="42">
        <v>130000</v>
      </c>
    </row>
    <row r="14" spans="1:13" x14ac:dyDescent="0.2">
      <c r="A14" s="78" t="s">
        <v>6</v>
      </c>
      <c r="B14" s="43">
        <f>SUM(B5:B13)</f>
        <v>180200</v>
      </c>
      <c r="C14" s="43">
        <f t="shared" ref="C14:M14" si="1">SUM(C5:C13)</f>
        <v>205700</v>
      </c>
      <c r="D14" s="43">
        <f t="shared" si="1"/>
        <v>217700</v>
      </c>
      <c r="E14" s="43">
        <f t="shared" si="1"/>
        <v>228800</v>
      </c>
      <c r="F14" s="43">
        <f t="shared" si="1"/>
        <v>228800</v>
      </c>
      <c r="G14" s="43">
        <f t="shared" si="1"/>
        <v>237700</v>
      </c>
      <c r="H14" s="43">
        <f t="shared" si="1"/>
        <v>237804</v>
      </c>
      <c r="I14" s="43">
        <f t="shared" si="1"/>
        <v>278200</v>
      </c>
      <c r="J14" s="43">
        <f t="shared" si="1"/>
        <v>278200</v>
      </c>
      <c r="K14" s="43">
        <f t="shared" si="1"/>
        <v>278200</v>
      </c>
      <c r="L14" s="43">
        <f t="shared" si="1"/>
        <v>288200</v>
      </c>
      <c r="M14" s="43">
        <f t="shared" si="1"/>
        <v>288600</v>
      </c>
    </row>
    <row r="15" spans="1:13" ht="13.5" thickBot="1" x14ac:dyDescent="0.25">
      <c r="A15" s="78" t="s">
        <v>7</v>
      </c>
      <c r="B15" s="44">
        <v>180200</v>
      </c>
      <c r="C15" s="44">
        <f>48720+156980</f>
        <v>205700</v>
      </c>
      <c r="D15" s="44">
        <v>217700</v>
      </c>
      <c r="E15" s="44">
        <v>228800</v>
      </c>
      <c r="F15" s="44">
        <f>133910+94890</f>
        <v>228800</v>
      </c>
      <c r="G15" s="44">
        <v>237700</v>
      </c>
      <c r="H15" s="44">
        <v>237804</v>
      </c>
      <c r="I15" s="44">
        <f>248700+29500</f>
        <v>278200</v>
      </c>
      <c r="J15" s="44">
        <v>278200</v>
      </c>
      <c r="K15" s="44">
        <v>278200</v>
      </c>
      <c r="L15" s="44">
        <v>288200</v>
      </c>
      <c r="M15" s="44">
        <v>288600</v>
      </c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7">
        <f t="shared" si="2"/>
        <v>0</v>
      </c>
    </row>
    <row r="19" spans="1:13" x14ac:dyDescent="0.2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3" x14ac:dyDescent="0.2">
      <c r="A20" s="81"/>
      <c r="B20" s="82">
        <v>46023</v>
      </c>
      <c r="C20" s="82">
        <v>46054</v>
      </c>
      <c r="D20" s="82">
        <v>46082</v>
      </c>
      <c r="E20" s="82">
        <v>46113</v>
      </c>
      <c r="F20" s="82">
        <v>46143</v>
      </c>
      <c r="G20" s="82">
        <v>46174</v>
      </c>
      <c r="H20" s="82">
        <v>46204</v>
      </c>
      <c r="I20" s="82">
        <v>46235</v>
      </c>
      <c r="J20" s="82">
        <v>46266</v>
      </c>
      <c r="K20" s="82">
        <v>46296</v>
      </c>
      <c r="L20" s="82">
        <v>46327</v>
      </c>
      <c r="M20" s="82">
        <v>46357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312900</v>
      </c>
      <c r="H21" s="42">
        <f t="shared" si="3"/>
        <v>312900</v>
      </c>
      <c r="I21" s="42">
        <f t="shared" si="3"/>
        <v>312900</v>
      </c>
      <c r="J21" s="42">
        <f t="shared" si="3"/>
        <v>312900</v>
      </c>
      <c r="K21" s="42">
        <f t="shared" si="3"/>
        <v>312900</v>
      </c>
      <c r="L21" s="42">
        <f t="shared" si="3"/>
        <v>312900</v>
      </c>
      <c r="M21" s="42">
        <f t="shared" si="3"/>
        <v>312900</v>
      </c>
    </row>
    <row r="22" spans="1:13" x14ac:dyDescent="0.2">
      <c r="A22" s="7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58600</v>
      </c>
      <c r="C24" s="42">
        <v>58700</v>
      </c>
      <c r="D24" s="42">
        <v>59000</v>
      </c>
      <c r="E24" s="42">
        <v>60000</v>
      </c>
      <c r="F24" s="42">
        <v>59400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447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448</v>
      </c>
      <c r="B27" s="42">
        <v>74000</v>
      </c>
      <c r="C27" s="42">
        <v>74000</v>
      </c>
      <c r="D27" s="42">
        <v>74000</v>
      </c>
      <c r="E27" s="42">
        <v>74000</v>
      </c>
      <c r="F27" s="42">
        <v>74000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577</v>
      </c>
      <c r="B28" s="42">
        <v>49500</v>
      </c>
      <c r="C28" s="42">
        <v>49500</v>
      </c>
      <c r="D28" s="42">
        <v>49500</v>
      </c>
      <c r="E28" s="42">
        <v>49500</v>
      </c>
      <c r="F28" s="42">
        <v>49500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130000</v>
      </c>
      <c r="C29" s="42">
        <v>130000</v>
      </c>
      <c r="D29" s="42">
        <v>130000</v>
      </c>
      <c r="E29" s="42">
        <v>130000</v>
      </c>
      <c r="F29" s="42">
        <v>130000</v>
      </c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312100</v>
      </c>
      <c r="C30" s="43">
        <f t="shared" si="4"/>
        <v>312200</v>
      </c>
      <c r="D30" s="43">
        <f t="shared" si="4"/>
        <v>312500</v>
      </c>
      <c r="E30" s="43">
        <f t="shared" si="4"/>
        <v>313500</v>
      </c>
      <c r="F30" s="43">
        <f t="shared" si="4"/>
        <v>312900</v>
      </c>
      <c r="G30" s="43">
        <f t="shared" si="4"/>
        <v>312900</v>
      </c>
      <c r="H30" s="43">
        <f t="shared" si="4"/>
        <v>312900</v>
      </c>
      <c r="I30" s="43">
        <f t="shared" si="4"/>
        <v>312900</v>
      </c>
      <c r="J30" s="43">
        <f t="shared" si="4"/>
        <v>312900</v>
      </c>
      <c r="K30" s="43">
        <f t="shared" si="4"/>
        <v>312900</v>
      </c>
      <c r="L30" s="43">
        <f t="shared" si="4"/>
        <v>312900</v>
      </c>
      <c r="M30" s="43">
        <f t="shared" si="4"/>
        <v>312900</v>
      </c>
    </row>
    <row r="31" spans="1:13" ht="13.5" thickBot="1" x14ac:dyDescent="0.25">
      <c r="A31" s="78" t="s">
        <v>7</v>
      </c>
      <c r="B31" s="44">
        <v>312100</v>
      </c>
      <c r="C31" s="44">
        <v>312200</v>
      </c>
      <c r="D31" s="44">
        <v>312500</v>
      </c>
      <c r="E31" s="44">
        <v>313500</v>
      </c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M32" si="5">B30-B31</f>
        <v>0</v>
      </c>
      <c r="C32" s="46">
        <f t="shared" si="5"/>
        <v>0</v>
      </c>
      <c r="D32" s="46">
        <f t="shared" si="5"/>
        <v>0</v>
      </c>
      <c r="E32" s="46">
        <f t="shared" si="5"/>
        <v>0</v>
      </c>
      <c r="F32" s="46">
        <f t="shared" si="5"/>
        <v>312900</v>
      </c>
      <c r="G32" s="46">
        <f t="shared" si="5"/>
        <v>312900</v>
      </c>
      <c r="H32" s="46">
        <f t="shared" si="5"/>
        <v>312900</v>
      </c>
      <c r="I32" s="46">
        <f t="shared" si="5"/>
        <v>312900</v>
      </c>
      <c r="J32" s="46">
        <f t="shared" si="5"/>
        <v>312900</v>
      </c>
      <c r="K32" s="46">
        <f t="shared" si="5"/>
        <v>312900</v>
      </c>
      <c r="L32" s="46">
        <f t="shared" si="5"/>
        <v>312900</v>
      </c>
      <c r="M32" s="47">
        <f t="shared" si="5"/>
        <v>312900</v>
      </c>
    </row>
    <row r="33" spans="2:5" x14ac:dyDescent="0.2">
      <c r="B33" s="128">
        <v>45322</v>
      </c>
      <c r="E33" t="s">
        <v>792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4"/>
  <dimension ref="A1:M34"/>
  <sheetViews>
    <sheetView topLeftCell="A22" workbookViewId="0">
      <selection activeCell="F34" sqref="F34"/>
    </sheetView>
  </sheetViews>
  <sheetFormatPr baseColWidth="10" defaultRowHeight="20.25" x14ac:dyDescent="0.3"/>
  <cols>
    <col min="1" max="1" width="34.85546875" style="2" customWidth="1"/>
    <col min="2" max="2" width="12" style="2" customWidth="1"/>
    <col min="3" max="4" width="11.28515625" style="2" bestFit="1" customWidth="1"/>
    <col min="5" max="5" width="11.7109375" style="2" customWidth="1"/>
    <col min="6" max="6" width="11.42578125" style="2"/>
    <col min="7" max="7" width="11.28515625" style="2" bestFit="1" customWidth="1"/>
    <col min="8" max="8" width="11" style="2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538</v>
      </c>
      <c r="C2" s="216"/>
      <c r="D2" s="216"/>
      <c r="E2" s="216"/>
      <c r="F2" s="216"/>
      <c r="G2" s="216"/>
    </row>
    <row r="5" spans="1:13" x14ac:dyDescent="0.3">
      <c r="A5" s="80" t="s">
        <v>0</v>
      </c>
      <c r="B5" s="80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x14ac:dyDescent="0.3">
      <c r="A6" s="81"/>
      <c r="B6" s="82">
        <v>45658</v>
      </c>
      <c r="C6" s="82">
        <v>45689</v>
      </c>
      <c r="D6" s="82">
        <v>45717</v>
      </c>
      <c r="E6" s="82">
        <v>45748</v>
      </c>
      <c r="F6" s="82">
        <v>45778</v>
      </c>
      <c r="G6" s="82">
        <v>45809</v>
      </c>
      <c r="H6" s="82">
        <v>45839</v>
      </c>
      <c r="I6" s="82">
        <v>45870</v>
      </c>
      <c r="J6" s="82">
        <v>45901</v>
      </c>
      <c r="K6" s="82">
        <v>45931</v>
      </c>
      <c r="L6" s="82">
        <v>45962</v>
      </c>
      <c r="M6" s="82">
        <v>45992</v>
      </c>
    </row>
    <row r="7" spans="1:13" x14ac:dyDescent="0.3">
      <c r="A7" s="78" t="s">
        <v>110</v>
      </c>
      <c r="B7" s="42"/>
      <c r="C7" s="42">
        <f>B18</f>
        <v>0</v>
      </c>
      <c r="D7" s="42">
        <f t="shared" ref="D7:M7" si="0">C18</f>
        <v>0</v>
      </c>
      <c r="E7" s="42">
        <f t="shared" si="0"/>
        <v>54000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 t="shared" si="0"/>
        <v>64000</v>
      </c>
      <c r="L7" s="42">
        <f t="shared" si="0"/>
        <v>0</v>
      </c>
      <c r="M7" s="42">
        <f t="shared" si="0"/>
        <v>64000</v>
      </c>
    </row>
    <row r="8" spans="1:13" x14ac:dyDescent="0.3">
      <c r="A8" s="78" t="s">
        <v>547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548</v>
      </c>
      <c r="B9" s="42">
        <v>54000</v>
      </c>
      <c r="C9" s="42">
        <v>54000</v>
      </c>
      <c r="D9" s="42">
        <v>54000</v>
      </c>
      <c r="E9" s="42">
        <v>54000</v>
      </c>
      <c r="F9" s="42">
        <v>54000</v>
      </c>
      <c r="G9" s="42">
        <v>54000</v>
      </c>
      <c r="H9" s="42">
        <v>54000</v>
      </c>
      <c r="I9" s="42">
        <v>64000</v>
      </c>
      <c r="J9" s="42">
        <v>64000</v>
      </c>
      <c r="K9" s="42">
        <v>64000</v>
      </c>
      <c r="L9" s="42">
        <v>64000</v>
      </c>
      <c r="M9" s="42">
        <v>64000</v>
      </c>
    </row>
    <row r="10" spans="1:13" x14ac:dyDescent="0.3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>
        <v>20000</v>
      </c>
    </row>
    <row r="16" spans="1:13" x14ac:dyDescent="0.3">
      <c r="A16" s="78" t="s">
        <v>6</v>
      </c>
      <c r="B16" s="43">
        <f t="shared" ref="B16:M16" si="1">SUM(B7:B15)</f>
        <v>54000</v>
      </c>
      <c r="C16" s="43">
        <f t="shared" si="1"/>
        <v>54000</v>
      </c>
      <c r="D16" s="43">
        <f t="shared" si="1"/>
        <v>54000</v>
      </c>
      <c r="E16" s="43">
        <f t="shared" si="1"/>
        <v>108000</v>
      </c>
      <c r="F16" s="43">
        <f t="shared" si="1"/>
        <v>54000</v>
      </c>
      <c r="G16" s="43">
        <f t="shared" si="1"/>
        <v>54000</v>
      </c>
      <c r="H16" s="43">
        <f t="shared" si="1"/>
        <v>54000</v>
      </c>
      <c r="I16" s="43">
        <f t="shared" si="1"/>
        <v>64000</v>
      </c>
      <c r="J16" s="43">
        <f t="shared" si="1"/>
        <v>64000</v>
      </c>
      <c r="K16" s="43">
        <f t="shared" si="1"/>
        <v>128000</v>
      </c>
      <c r="L16" s="43">
        <f t="shared" si="1"/>
        <v>64000</v>
      </c>
      <c r="M16" s="43">
        <f t="shared" si="1"/>
        <v>148000</v>
      </c>
    </row>
    <row r="17" spans="1:13" ht="21" thickBot="1" x14ac:dyDescent="0.35">
      <c r="A17" s="78" t="s">
        <v>7</v>
      </c>
      <c r="B17" s="44">
        <v>54000</v>
      </c>
      <c r="C17" s="44">
        <v>54000</v>
      </c>
      <c r="D17" s="44"/>
      <c r="E17" s="44">
        <v>108000</v>
      </c>
      <c r="F17" s="44">
        <v>54000</v>
      </c>
      <c r="G17" s="44">
        <v>54000</v>
      </c>
      <c r="H17" s="44">
        <v>54000</v>
      </c>
      <c r="I17" s="44">
        <v>64000</v>
      </c>
      <c r="J17" s="44"/>
      <c r="K17" s="44">
        <v>128000</v>
      </c>
      <c r="L17" s="44"/>
      <c r="M17" s="44">
        <v>148000</v>
      </c>
    </row>
    <row r="18" spans="1:13" ht="21" thickBot="1" x14ac:dyDescent="0.35">
      <c r="A18" s="78" t="s">
        <v>111</v>
      </c>
      <c r="B18" s="45">
        <f t="shared" ref="B18:M18" si="2">B16-B17</f>
        <v>0</v>
      </c>
      <c r="C18" s="46">
        <f t="shared" si="2"/>
        <v>0</v>
      </c>
      <c r="D18" s="46">
        <f t="shared" si="2"/>
        <v>54000</v>
      </c>
      <c r="E18" s="46">
        <f t="shared" si="2"/>
        <v>0</v>
      </c>
      <c r="F18" s="46">
        <f t="shared" si="2"/>
        <v>0</v>
      </c>
      <c r="G18" s="46">
        <f t="shared" si="2"/>
        <v>0</v>
      </c>
      <c r="H18" s="46">
        <f t="shared" si="2"/>
        <v>0</v>
      </c>
      <c r="I18" s="46">
        <f t="shared" si="2"/>
        <v>0</v>
      </c>
      <c r="J18" s="46">
        <f t="shared" si="2"/>
        <v>64000</v>
      </c>
      <c r="K18" s="46">
        <f t="shared" si="2"/>
        <v>0</v>
      </c>
      <c r="L18" s="46">
        <f t="shared" si="2"/>
        <v>64000</v>
      </c>
      <c r="M18" s="47">
        <f t="shared" si="2"/>
        <v>0</v>
      </c>
    </row>
    <row r="19" spans="1:13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149">
        <v>44550</v>
      </c>
      <c r="M19" s="78"/>
    </row>
    <row r="20" spans="1:13" x14ac:dyDescent="0.3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3">
      <c r="A21" s="80" t="s">
        <v>0</v>
      </c>
      <c r="B21" s="80" t="s">
        <v>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x14ac:dyDescent="0.3">
      <c r="A22" s="81"/>
      <c r="B22" s="82">
        <v>46023</v>
      </c>
      <c r="C22" s="82">
        <v>46054</v>
      </c>
      <c r="D22" s="82">
        <v>46082</v>
      </c>
      <c r="E22" s="82">
        <v>46113</v>
      </c>
      <c r="F22" s="82">
        <v>46143</v>
      </c>
      <c r="G22" s="82">
        <v>46174</v>
      </c>
      <c r="H22" s="82">
        <v>46204</v>
      </c>
      <c r="I22" s="82">
        <v>46235</v>
      </c>
      <c r="J22" s="82">
        <v>46266</v>
      </c>
      <c r="K22" s="82">
        <v>46296</v>
      </c>
      <c r="L22" s="82">
        <v>46327</v>
      </c>
      <c r="M22" s="82">
        <v>46357</v>
      </c>
    </row>
    <row r="23" spans="1:13" x14ac:dyDescent="0.3">
      <c r="A23" s="78" t="s">
        <v>110</v>
      </c>
      <c r="B23" s="42"/>
      <c r="C23" s="42">
        <f>B34</f>
        <v>82000</v>
      </c>
      <c r="D23" s="42">
        <f t="shared" ref="D23:M23" si="3">C34</f>
        <v>58000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3">
      <c r="A24" s="78" t="s">
        <v>547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560</v>
      </c>
      <c r="B25" s="42">
        <v>62000</v>
      </c>
      <c r="C25" s="42">
        <v>56000</v>
      </c>
      <c r="D25" s="42">
        <v>56000</v>
      </c>
      <c r="E25" s="42">
        <v>56000</v>
      </c>
      <c r="F25" s="42">
        <v>56000</v>
      </c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4</v>
      </c>
      <c r="B26" s="42"/>
      <c r="C26" s="42"/>
      <c r="D26" s="42"/>
      <c r="E26" s="42">
        <v>30000</v>
      </c>
      <c r="F26" s="42">
        <v>30000</v>
      </c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180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5</v>
      </c>
      <c r="B31" s="42">
        <v>20000</v>
      </c>
      <c r="C31" s="42">
        <v>20000</v>
      </c>
      <c r="D31" s="42">
        <v>20000</v>
      </c>
      <c r="E31" s="42">
        <v>25000</v>
      </c>
      <c r="F31" s="42">
        <v>25000</v>
      </c>
      <c r="G31" s="42"/>
      <c r="H31" s="42"/>
      <c r="I31" s="42"/>
      <c r="J31" s="42"/>
      <c r="K31" s="42"/>
      <c r="L31" s="42"/>
      <c r="M31" s="42"/>
    </row>
    <row r="32" spans="1:13" x14ac:dyDescent="0.3">
      <c r="A32" s="78" t="s">
        <v>6</v>
      </c>
      <c r="B32" s="43">
        <f t="shared" ref="B32:M32" si="4">SUM(B23:B31)</f>
        <v>82000</v>
      </c>
      <c r="C32" s="43">
        <f t="shared" si="4"/>
        <v>158000</v>
      </c>
      <c r="D32" s="43">
        <f t="shared" si="4"/>
        <v>134000</v>
      </c>
      <c r="E32" s="43">
        <f t="shared" si="4"/>
        <v>111000</v>
      </c>
      <c r="F32" s="43">
        <f t="shared" si="4"/>
        <v>111000</v>
      </c>
      <c r="G32" s="43">
        <f t="shared" si="4"/>
        <v>0</v>
      </c>
      <c r="H32" s="43">
        <f t="shared" si="4"/>
        <v>0</v>
      </c>
      <c r="I32" s="43">
        <f t="shared" si="4"/>
        <v>0</v>
      </c>
      <c r="J32" s="43">
        <f t="shared" si="4"/>
        <v>0</v>
      </c>
      <c r="K32" s="43">
        <f t="shared" si="4"/>
        <v>0</v>
      </c>
      <c r="L32" s="43">
        <f t="shared" si="4"/>
        <v>0</v>
      </c>
      <c r="M32" s="43">
        <f t="shared" si="4"/>
        <v>0</v>
      </c>
    </row>
    <row r="33" spans="1:13" ht="21" thickBot="1" x14ac:dyDescent="0.35">
      <c r="A33" s="78" t="s">
        <v>7</v>
      </c>
      <c r="B33" s="44"/>
      <c r="C33" s="44">
        <v>100000</v>
      </c>
      <c r="D33" s="44">
        <v>134000</v>
      </c>
      <c r="E33" s="44">
        <v>111000</v>
      </c>
      <c r="F33" s="44">
        <v>111000</v>
      </c>
      <c r="G33" s="44"/>
      <c r="H33" s="44"/>
      <c r="I33" s="44"/>
      <c r="J33" s="44"/>
      <c r="K33" s="44"/>
      <c r="L33" s="44"/>
      <c r="M33" s="44"/>
    </row>
    <row r="34" spans="1:13" ht="21" thickBot="1" x14ac:dyDescent="0.35">
      <c r="A34" s="78" t="s">
        <v>111</v>
      </c>
      <c r="B34" s="45">
        <f t="shared" ref="B34:M34" si="5">B32-B33</f>
        <v>82000</v>
      </c>
      <c r="C34" s="46">
        <f t="shared" si="5"/>
        <v>58000</v>
      </c>
      <c r="D34" s="46">
        <f t="shared" si="5"/>
        <v>0</v>
      </c>
      <c r="E34" s="46">
        <f t="shared" si="5"/>
        <v>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7">
        <f t="shared" si="5"/>
        <v>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5"/>
  <dimension ref="A3:M56"/>
  <sheetViews>
    <sheetView workbookViewId="0">
      <selection activeCell="M20" sqref="M20"/>
    </sheetView>
  </sheetViews>
  <sheetFormatPr baseColWidth="10" defaultRowHeight="12.75" x14ac:dyDescent="0.2"/>
  <cols>
    <col min="1" max="1" width="28.5703125" customWidth="1"/>
    <col min="2" max="2" width="12.140625" bestFit="1" customWidth="1"/>
    <col min="7" max="7" width="11.85546875" customWidth="1"/>
    <col min="8" max="8" width="13.42578125" customWidth="1"/>
    <col min="9" max="9" width="12.7109375" customWidth="1"/>
    <col min="10" max="11" width="12.42578125" customWidth="1"/>
    <col min="12" max="12" width="13" customWidth="1"/>
    <col min="13" max="13" width="12.85546875" bestFit="1" customWidth="1"/>
  </cols>
  <sheetData>
    <row r="3" spans="1:13" ht="20.25" x14ac:dyDescent="0.3">
      <c r="A3" s="11" t="s">
        <v>11</v>
      </c>
      <c r="B3" s="216" t="s">
        <v>94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7" spans="1:13" ht="15.75" x14ac:dyDescent="0.25">
      <c r="A7" s="31" t="s">
        <v>0</v>
      </c>
      <c r="B7" s="31" t="s">
        <v>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.75" x14ac:dyDescent="0.25">
      <c r="A8" s="8"/>
      <c r="B8" s="15">
        <v>45658</v>
      </c>
      <c r="C8" s="15">
        <v>45689</v>
      </c>
      <c r="D8" s="15">
        <v>45717</v>
      </c>
      <c r="E8" s="15">
        <v>45748</v>
      </c>
      <c r="F8" s="15">
        <v>45778</v>
      </c>
      <c r="G8" s="15">
        <v>45809</v>
      </c>
      <c r="H8" s="15">
        <v>45839</v>
      </c>
      <c r="I8" s="15">
        <v>45870</v>
      </c>
      <c r="J8" s="15">
        <v>45901</v>
      </c>
      <c r="K8" s="15">
        <v>45931</v>
      </c>
      <c r="L8" s="15">
        <v>45962</v>
      </c>
      <c r="M8" s="15">
        <v>45992</v>
      </c>
    </row>
    <row r="9" spans="1:13" ht="15" x14ac:dyDescent="0.2">
      <c r="A9" s="8" t="s">
        <v>110</v>
      </c>
      <c r="B9" s="69"/>
      <c r="C9" s="69">
        <f>B20</f>
        <v>160000</v>
      </c>
      <c r="D9" s="69">
        <f t="shared" ref="D9:J9" si="0">C20</f>
        <v>320000</v>
      </c>
      <c r="E9" s="69">
        <f t="shared" si="0"/>
        <v>480000</v>
      </c>
      <c r="F9" s="69">
        <f t="shared" si="0"/>
        <v>640000</v>
      </c>
      <c r="G9" s="69">
        <f t="shared" si="0"/>
        <v>800000</v>
      </c>
      <c r="H9" s="69">
        <f t="shared" si="0"/>
        <v>960000</v>
      </c>
      <c r="I9" s="69">
        <f t="shared" si="0"/>
        <v>1120000</v>
      </c>
      <c r="J9" s="69">
        <f t="shared" si="0"/>
        <v>1280000</v>
      </c>
      <c r="K9" s="69">
        <f>J20</f>
        <v>1460000</v>
      </c>
      <c r="L9" s="69">
        <f>K20</f>
        <v>1640000</v>
      </c>
      <c r="M9" s="69">
        <f>L20</f>
        <v>1820000</v>
      </c>
    </row>
    <row r="10" spans="1:13" x14ac:dyDescent="0.2">
      <c r="A10" s="78" t="s">
        <v>76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78" t="s">
        <v>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78" t="s">
        <v>143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78" t="s">
        <v>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78" t="s">
        <v>73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78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7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13" x14ac:dyDescent="0.2">
      <c r="A17" s="78" t="s">
        <v>5</v>
      </c>
      <c r="B17" s="69">
        <v>160000</v>
      </c>
      <c r="C17" s="69">
        <v>160000</v>
      </c>
      <c r="D17" s="69">
        <v>160000</v>
      </c>
      <c r="E17" s="69">
        <v>160000</v>
      </c>
      <c r="F17" s="69">
        <v>160000</v>
      </c>
      <c r="G17" s="69">
        <v>160000</v>
      </c>
      <c r="H17" s="69">
        <v>160000</v>
      </c>
      <c r="I17" s="69">
        <v>160000</v>
      </c>
      <c r="J17" s="69">
        <v>180000</v>
      </c>
      <c r="K17" s="69">
        <v>180000</v>
      </c>
      <c r="L17" s="69">
        <v>180000</v>
      </c>
      <c r="M17" s="69">
        <v>180000</v>
      </c>
    </row>
    <row r="18" spans="1:13" x14ac:dyDescent="0.2">
      <c r="A18" s="78" t="s">
        <v>6</v>
      </c>
      <c r="B18" s="70">
        <f>SUM(B9:B17)</f>
        <v>160000</v>
      </c>
      <c r="C18" s="70">
        <f t="shared" ref="C18:M18" si="1">SUM(C9:C17)</f>
        <v>320000</v>
      </c>
      <c r="D18" s="70">
        <f t="shared" si="1"/>
        <v>480000</v>
      </c>
      <c r="E18" s="70">
        <f t="shared" si="1"/>
        <v>640000</v>
      </c>
      <c r="F18" s="70">
        <f t="shared" si="1"/>
        <v>800000</v>
      </c>
      <c r="G18" s="70">
        <f t="shared" si="1"/>
        <v>960000</v>
      </c>
      <c r="H18" s="70">
        <f t="shared" si="1"/>
        <v>1120000</v>
      </c>
      <c r="I18" s="70">
        <f t="shared" si="1"/>
        <v>1280000</v>
      </c>
      <c r="J18" s="70">
        <f t="shared" si="1"/>
        <v>1460000</v>
      </c>
      <c r="K18" s="70">
        <f t="shared" si="1"/>
        <v>1640000</v>
      </c>
      <c r="L18" s="70">
        <f t="shared" si="1"/>
        <v>1820000</v>
      </c>
      <c r="M18" s="70">
        <f t="shared" si="1"/>
        <v>2000000</v>
      </c>
    </row>
    <row r="19" spans="1:13" x14ac:dyDescent="0.2">
      <c r="A19" s="78" t="s">
        <v>147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>
        <f>1000000+1000000</f>
        <v>2000000</v>
      </c>
    </row>
    <row r="20" spans="1:13" x14ac:dyDescent="0.2">
      <c r="A20" s="78" t="s">
        <v>111</v>
      </c>
      <c r="B20" s="70">
        <f>B18-B19</f>
        <v>160000</v>
      </c>
      <c r="C20" s="70">
        <f>C18-C19</f>
        <v>320000</v>
      </c>
      <c r="D20" s="70">
        <f t="shared" ref="D20:M20" si="2">D18-D19</f>
        <v>480000</v>
      </c>
      <c r="E20" s="70">
        <f t="shared" si="2"/>
        <v>640000</v>
      </c>
      <c r="F20" s="70">
        <f t="shared" si="2"/>
        <v>800000</v>
      </c>
      <c r="G20" s="70">
        <f t="shared" si="2"/>
        <v>960000</v>
      </c>
      <c r="H20" s="70">
        <f t="shared" si="2"/>
        <v>1120000</v>
      </c>
      <c r="I20" s="70">
        <f t="shared" si="2"/>
        <v>1280000</v>
      </c>
      <c r="J20" s="70">
        <f t="shared" si="2"/>
        <v>1460000</v>
      </c>
      <c r="K20" s="70">
        <f t="shared" si="2"/>
        <v>1640000</v>
      </c>
      <c r="L20" s="70">
        <f t="shared" si="2"/>
        <v>1820000</v>
      </c>
      <c r="M20" s="70">
        <f t="shared" si="2"/>
        <v>0</v>
      </c>
    </row>
    <row r="25" spans="1:13" ht="15.75" x14ac:dyDescent="0.25">
      <c r="A25" s="32" t="s">
        <v>0</v>
      </c>
      <c r="B25" s="32" t="s">
        <v>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81"/>
      <c r="B26" s="82">
        <v>44927</v>
      </c>
      <c r="C26" s="82">
        <v>44958</v>
      </c>
      <c r="D26" s="82">
        <v>44986</v>
      </c>
      <c r="E26" s="82">
        <v>45017</v>
      </c>
      <c r="F26" s="82">
        <v>45047</v>
      </c>
      <c r="G26" s="82">
        <v>45078</v>
      </c>
      <c r="H26" s="82">
        <v>45108</v>
      </c>
      <c r="I26" s="82">
        <v>45139</v>
      </c>
      <c r="J26" s="82">
        <v>45170</v>
      </c>
      <c r="K26" s="82">
        <v>45200</v>
      </c>
      <c r="L26" s="82">
        <v>45231</v>
      </c>
      <c r="M26" s="82">
        <v>45261</v>
      </c>
    </row>
    <row r="27" spans="1:13" x14ac:dyDescent="0.2">
      <c r="A27" s="78" t="s">
        <v>110</v>
      </c>
      <c r="B27" s="42"/>
      <c r="C27" s="42">
        <f t="shared" ref="C27:M27" si="3">B38</f>
        <v>50000</v>
      </c>
      <c r="D27" s="42">
        <f t="shared" si="3"/>
        <v>100000</v>
      </c>
      <c r="E27" s="42">
        <f t="shared" si="3"/>
        <v>150000</v>
      </c>
      <c r="F27" s="42">
        <f t="shared" si="3"/>
        <v>200000</v>
      </c>
      <c r="G27" s="42">
        <f t="shared" si="3"/>
        <v>250000</v>
      </c>
      <c r="H27" s="42">
        <f t="shared" si="3"/>
        <v>300000</v>
      </c>
      <c r="I27" s="42">
        <f t="shared" si="3"/>
        <v>350000</v>
      </c>
      <c r="J27" s="42">
        <f t="shared" si="3"/>
        <v>400000</v>
      </c>
      <c r="K27" s="42">
        <f t="shared" si="3"/>
        <v>450000</v>
      </c>
      <c r="L27" s="42">
        <f t="shared" si="3"/>
        <v>500000</v>
      </c>
      <c r="M27" s="42">
        <f t="shared" si="3"/>
        <v>550000</v>
      </c>
    </row>
    <row r="28" spans="1:13" x14ac:dyDescent="0.2">
      <c r="A28" s="78" t="s">
        <v>2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74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75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5</v>
      </c>
      <c r="B35" s="42">
        <v>50000</v>
      </c>
      <c r="C35" s="42">
        <v>50000</v>
      </c>
      <c r="D35" s="42">
        <v>50000</v>
      </c>
      <c r="E35" s="42">
        <v>50000</v>
      </c>
      <c r="F35" s="42">
        <v>50000</v>
      </c>
      <c r="G35" s="42">
        <v>50000</v>
      </c>
      <c r="H35" s="42">
        <v>50000</v>
      </c>
      <c r="I35" s="42">
        <v>50000</v>
      </c>
      <c r="J35" s="42">
        <v>50000</v>
      </c>
      <c r="K35" s="42">
        <v>50000</v>
      </c>
      <c r="L35" s="42">
        <v>50000</v>
      </c>
      <c r="M35" s="42">
        <v>50000</v>
      </c>
    </row>
    <row r="36" spans="1:13" x14ac:dyDescent="0.2">
      <c r="A36" s="78" t="s">
        <v>6</v>
      </c>
      <c r="B36" s="43">
        <f t="shared" ref="B36:M36" si="4">SUM(B27:B35)</f>
        <v>50000</v>
      </c>
      <c r="C36" s="43">
        <f t="shared" si="4"/>
        <v>100000</v>
      </c>
      <c r="D36" s="43">
        <f t="shared" si="4"/>
        <v>150000</v>
      </c>
      <c r="E36" s="43">
        <f t="shared" si="4"/>
        <v>200000</v>
      </c>
      <c r="F36" s="43">
        <f t="shared" si="4"/>
        <v>250000</v>
      </c>
      <c r="G36" s="43">
        <f t="shared" si="4"/>
        <v>300000</v>
      </c>
      <c r="H36" s="43">
        <f t="shared" si="4"/>
        <v>350000</v>
      </c>
      <c r="I36" s="43">
        <f t="shared" si="4"/>
        <v>400000</v>
      </c>
      <c r="J36" s="43">
        <f t="shared" si="4"/>
        <v>450000</v>
      </c>
      <c r="K36" s="43">
        <f t="shared" si="4"/>
        <v>500000</v>
      </c>
      <c r="L36" s="43">
        <f t="shared" si="4"/>
        <v>550000</v>
      </c>
      <c r="M36" s="43">
        <f t="shared" si="4"/>
        <v>600000</v>
      </c>
    </row>
    <row r="37" spans="1:13" ht="13.5" thickBot="1" x14ac:dyDescent="0.25">
      <c r="A37" s="78" t="s">
        <v>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>
        <v>600000</v>
      </c>
    </row>
    <row r="38" spans="1:13" ht="13.5" thickBot="1" x14ac:dyDescent="0.25">
      <c r="A38" s="78" t="s">
        <v>111</v>
      </c>
      <c r="B38" s="45">
        <f t="shared" ref="B38:M38" si="5">B36-B37</f>
        <v>50000</v>
      </c>
      <c r="C38" s="46">
        <f t="shared" si="5"/>
        <v>100000</v>
      </c>
      <c r="D38" s="46">
        <f t="shared" si="5"/>
        <v>150000</v>
      </c>
      <c r="E38" s="46">
        <f t="shared" si="5"/>
        <v>200000</v>
      </c>
      <c r="F38" s="46">
        <f t="shared" si="5"/>
        <v>250000</v>
      </c>
      <c r="G38" s="46">
        <f t="shared" si="5"/>
        <v>300000</v>
      </c>
      <c r="H38" s="46">
        <f t="shared" si="5"/>
        <v>350000</v>
      </c>
      <c r="I38" s="46">
        <f t="shared" si="5"/>
        <v>400000</v>
      </c>
      <c r="J38" s="46">
        <f t="shared" si="5"/>
        <v>450000</v>
      </c>
      <c r="K38" s="46">
        <f t="shared" si="5"/>
        <v>500000</v>
      </c>
      <c r="L38" s="46">
        <f t="shared" si="5"/>
        <v>550000</v>
      </c>
      <c r="M38" s="47">
        <f t="shared" si="5"/>
        <v>0</v>
      </c>
    </row>
    <row r="39" spans="1:13" ht="20.2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" x14ac:dyDescent="0.2">
      <c r="A40" s="40"/>
    </row>
    <row r="42" spans="1:13" x14ac:dyDescent="0.2">
      <c r="A42" t="s">
        <v>676</v>
      </c>
    </row>
    <row r="44" spans="1:13" ht="15.75" x14ac:dyDescent="0.25">
      <c r="A44" s="8"/>
      <c r="B44" s="15">
        <v>45292</v>
      </c>
      <c r="C44" s="15">
        <v>45323</v>
      </c>
      <c r="D44" s="15">
        <v>45352</v>
      </c>
      <c r="E44" s="15">
        <v>45383</v>
      </c>
      <c r="F44" s="15">
        <v>45413</v>
      </c>
      <c r="G44" s="15">
        <v>45444</v>
      </c>
      <c r="H44" s="15">
        <v>45474</v>
      </c>
      <c r="I44" s="15">
        <v>45505</v>
      </c>
      <c r="J44" s="15">
        <v>45536</v>
      </c>
      <c r="K44" s="15">
        <v>45566</v>
      </c>
      <c r="L44" s="15">
        <v>45597</v>
      </c>
      <c r="M44" s="15">
        <v>45627</v>
      </c>
    </row>
    <row r="45" spans="1:13" ht="15" x14ac:dyDescent="0.2">
      <c r="A45" s="8" t="s">
        <v>110</v>
      </c>
      <c r="B45" s="42"/>
      <c r="C45" s="42">
        <f t="shared" ref="C45:M45" si="6">B56</f>
        <v>80000</v>
      </c>
      <c r="D45" s="42">
        <f t="shared" si="6"/>
        <v>160000</v>
      </c>
      <c r="E45" s="42">
        <f t="shared" si="6"/>
        <v>240000</v>
      </c>
      <c r="F45" s="42">
        <f t="shared" si="6"/>
        <v>320000</v>
      </c>
      <c r="G45" s="42">
        <f t="shared" si="6"/>
        <v>400000</v>
      </c>
      <c r="H45" s="42">
        <f t="shared" si="6"/>
        <v>480000</v>
      </c>
      <c r="I45" s="42">
        <f t="shared" si="6"/>
        <v>560000</v>
      </c>
      <c r="J45" s="42">
        <f t="shared" si="6"/>
        <v>640000</v>
      </c>
      <c r="K45" s="42">
        <f t="shared" si="6"/>
        <v>730000</v>
      </c>
      <c r="L45" s="42">
        <f t="shared" si="6"/>
        <v>820000</v>
      </c>
      <c r="M45" s="42">
        <f t="shared" si="6"/>
        <v>910000</v>
      </c>
    </row>
    <row r="46" spans="1:13" x14ac:dyDescent="0.2">
      <c r="A46" s="78" t="s">
        <v>76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3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143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9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2">
      <c r="A53" s="78" t="s">
        <v>5</v>
      </c>
      <c r="B53" s="42">
        <v>80000</v>
      </c>
      <c r="C53" s="42">
        <v>80000</v>
      </c>
      <c r="D53" s="42">
        <v>80000</v>
      </c>
      <c r="E53" s="42">
        <v>80000</v>
      </c>
      <c r="F53" s="42">
        <v>80000</v>
      </c>
      <c r="G53" s="42">
        <v>80000</v>
      </c>
      <c r="H53" s="42">
        <v>80000</v>
      </c>
      <c r="I53" s="42">
        <v>80000</v>
      </c>
      <c r="J53" s="42">
        <v>90000</v>
      </c>
      <c r="K53" s="42">
        <v>90000</v>
      </c>
      <c r="L53" s="42">
        <v>90000</v>
      </c>
      <c r="M53" s="42">
        <v>90000</v>
      </c>
    </row>
    <row r="54" spans="1:13" x14ac:dyDescent="0.2">
      <c r="A54" s="78" t="s">
        <v>6</v>
      </c>
      <c r="B54" s="43">
        <f>SUM(B45:B53)</f>
        <v>80000</v>
      </c>
      <c r="C54" s="43">
        <f t="shared" ref="C54:M54" si="7">SUM(C45:C53)</f>
        <v>160000</v>
      </c>
      <c r="D54" s="43">
        <f t="shared" si="7"/>
        <v>240000</v>
      </c>
      <c r="E54" s="43">
        <f t="shared" si="7"/>
        <v>320000</v>
      </c>
      <c r="F54" s="43">
        <f t="shared" si="7"/>
        <v>400000</v>
      </c>
      <c r="G54" s="43">
        <f t="shared" si="7"/>
        <v>480000</v>
      </c>
      <c r="H54" s="43">
        <f t="shared" si="7"/>
        <v>560000</v>
      </c>
      <c r="I54" s="43">
        <f t="shared" si="7"/>
        <v>640000</v>
      </c>
      <c r="J54" s="43">
        <f t="shared" si="7"/>
        <v>730000</v>
      </c>
      <c r="K54" s="43">
        <f t="shared" si="7"/>
        <v>820000</v>
      </c>
      <c r="L54" s="43">
        <f t="shared" si="7"/>
        <v>910000</v>
      </c>
      <c r="M54" s="43">
        <f t="shared" si="7"/>
        <v>1000000</v>
      </c>
    </row>
    <row r="55" spans="1:13" x14ac:dyDescent="0.2">
      <c r="A55" s="78" t="s">
        <v>147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>
        <v>1000000</v>
      </c>
    </row>
    <row r="56" spans="1:13" x14ac:dyDescent="0.2">
      <c r="A56" s="78" t="s">
        <v>111</v>
      </c>
      <c r="B56" s="43">
        <f>B54-B55</f>
        <v>80000</v>
      </c>
      <c r="C56" s="43">
        <f>C54-C55</f>
        <v>160000</v>
      </c>
      <c r="D56" s="43">
        <f t="shared" ref="D56:M56" si="8">D54-D55</f>
        <v>240000</v>
      </c>
      <c r="E56" s="43">
        <f t="shared" si="8"/>
        <v>320000</v>
      </c>
      <c r="F56" s="43">
        <f t="shared" si="8"/>
        <v>400000</v>
      </c>
      <c r="G56" s="43">
        <f t="shared" si="8"/>
        <v>480000</v>
      </c>
      <c r="H56" s="43">
        <f t="shared" si="8"/>
        <v>560000</v>
      </c>
      <c r="I56" s="43">
        <f t="shared" si="8"/>
        <v>640000</v>
      </c>
      <c r="J56" s="43">
        <f t="shared" si="8"/>
        <v>730000</v>
      </c>
      <c r="K56" s="43">
        <f t="shared" si="8"/>
        <v>820000</v>
      </c>
      <c r="L56" s="43">
        <f t="shared" si="8"/>
        <v>910000</v>
      </c>
      <c r="M56" s="43">
        <f t="shared" si="8"/>
        <v>0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6"/>
  <dimension ref="A2:M52"/>
  <sheetViews>
    <sheetView zoomScaleNormal="100" workbookViewId="0">
      <selection activeCell="F14" sqref="F14"/>
    </sheetView>
  </sheetViews>
  <sheetFormatPr baseColWidth="10" defaultRowHeight="12.75" x14ac:dyDescent="0.2"/>
  <cols>
    <col min="1" max="1" width="26.140625" bestFit="1" customWidth="1"/>
  </cols>
  <sheetData>
    <row r="2" spans="1:13" x14ac:dyDescent="0.2">
      <c r="A2" s="80" t="s">
        <v>0</v>
      </c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x14ac:dyDescent="0.2">
      <c r="A3" s="138"/>
      <c r="B3" s="136">
        <v>46023</v>
      </c>
      <c r="C3" s="136">
        <v>46054</v>
      </c>
      <c r="D3" s="136">
        <v>46082</v>
      </c>
      <c r="E3" s="136">
        <v>46113</v>
      </c>
      <c r="F3" s="136">
        <v>46143</v>
      </c>
      <c r="G3" s="136">
        <v>46174</v>
      </c>
      <c r="H3" s="136">
        <v>46204</v>
      </c>
      <c r="I3" s="136">
        <v>46235</v>
      </c>
      <c r="J3" s="136">
        <v>46266</v>
      </c>
      <c r="K3" s="136">
        <v>46296</v>
      </c>
      <c r="L3" s="136">
        <v>46327</v>
      </c>
      <c r="M3" s="136">
        <v>46357</v>
      </c>
    </row>
    <row r="4" spans="1:13" x14ac:dyDescent="0.2">
      <c r="A4" s="139" t="s">
        <v>110</v>
      </c>
      <c r="B4" s="137">
        <v>0</v>
      </c>
      <c r="C4" s="42">
        <f>B15</f>
        <v>100000</v>
      </c>
      <c r="D4" s="42">
        <f t="shared" ref="D4:M4" si="0">C15</f>
        <v>200000</v>
      </c>
      <c r="E4" s="42">
        <f t="shared" si="0"/>
        <v>300000</v>
      </c>
      <c r="F4" s="42">
        <f t="shared" si="0"/>
        <v>400000</v>
      </c>
      <c r="G4" s="42">
        <f t="shared" si="0"/>
        <v>500000</v>
      </c>
      <c r="H4" s="42">
        <f t="shared" si="0"/>
        <v>500000</v>
      </c>
      <c r="I4" s="42">
        <f t="shared" si="0"/>
        <v>500000</v>
      </c>
      <c r="J4" s="42">
        <f t="shared" si="0"/>
        <v>500000</v>
      </c>
      <c r="K4" s="42">
        <f t="shared" si="0"/>
        <v>500000</v>
      </c>
      <c r="L4" s="42">
        <f t="shared" si="0"/>
        <v>500000</v>
      </c>
      <c r="M4" s="42">
        <f t="shared" si="0"/>
        <v>500000</v>
      </c>
    </row>
    <row r="5" spans="1:13" x14ac:dyDescent="0.2">
      <c r="A5" s="139" t="s">
        <v>2</v>
      </c>
      <c r="B5" s="137"/>
      <c r="C5" s="42"/>
      <c r="D5" s="42"/>
      <c r="E5" s="42"/>
      <c r="F5" s="42"/>
      <c r="G5" s="42"/>
      <c r="H5" s="42"/>
      <c r="I5" s="42"/>
      <c r="J5" s="42"/>
      <c r="K5" s="42">
        <v>0</v>
      </c>
      <c r="L5" s="42"/>
      <c r="M5" s="42"/>
    </row>
    <row r="6" spans="1:13" x14ac:dyDescent="0.2">
      <c r="A6" s="139" t="s">
        <v>3</v>
      </c>
      <c r="B6" s="137"/>
      <c r="C6" s="42"/>
      <c r="D6" s="42"/>
      <c r="E6" s="42"/>
      <c r="F6" s="42"/>
      <c r="G6" s="42"/>
      <c r="H6" s="42"/>
      <c r="I6" s="42"/>
      <c r="J6" s="42"/>
      <c r="K6" s="42">
        <v>0</v>
      </c>
      <c r="L6" s="42"/>
      <c r="M6" s="42"/>
    </row>
    <row r="7" spans="1:13" x14ac:dyDescent="0.2">
      <c r="A7" s="139" t="s">
        <v>4</v>
      </c>
      <c r="B7" s="137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139" t="s">
        <v>9</v>
      </c>
      <c r="B8" s="137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139" t="s">
        <v>73</v>
      </c>
      <c r="B9" s="137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139" t="s">
        <v>74</v>
      </c>
      <c r="B10" s="137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139" t="s">
        <v>202</v>
      </c>
      <c r="B11" s="137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139" t="s">
        <v>5</v>
      </c>
      <c r="B12" s="137">
        <v>100000</v>
      </c>
      <c r="C12" s="137">
        <v>100000</v>
      </c>
      <c r="D12" s="137">
        <v>100000</v>
      </c>
      <c r="E12" s="137">
        <v>100000</v>
      </c>
      <c r="F12" s="42">
        <v>100000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</row>
    <row r="13" spans="1:13" x14ac:dyDescent="0.2">
      <c r="A13" s="139" t="s">
        <v>6</v>
      </c>
      <c r="B13" s="143">
        <f>SUM(B4:B12)+M33</f>
        <v>100000</v>
      </c>
      <c r="C13" s="43">
        <f t="shared" ref="C13:M13" si="1">SUM(C4:C12)</f>
        <v>200000</v>
      </c>
      <c r="D13" s="43">
        <f t="shared" si="1"/>
        <v>300000</v>
      </c>
      <c r="E13" s="43">
        <f t="shared" si="1"/>
        <v>400000</v>
      </c>
      <c r="F13" s="43">
        <f t="shared" si="1"/>
        <v>500000</v>
      </c>
      <c r="G13" s="43">
        <f t="shared" si="1"/>
        <v>500000</v>
      </c>
      <c r="H13" s="43">
        <f t="shared" si="1"/>
        <v>500000</v>
      </c>
      <c r="I13" s="43">
        <f t="shared" si="1"/>
        <v>500000</v>
      </c>
      <c r="J13" s="43">
        <f t="shared" si="1"/>
        <v>500000</v>
      </c>
      <c r="K13" s="43">
        <f t="shared" si="1"/>
        <v>500000</v>
      </c>
      <c r="L13" s="43">
        <f t="shared" si="1"/>
        <v>500000</v>
      </c>
      <c r="M13" s="137">
        <f t="shared" si="1"/>
        <v>500000</v>
      </c>
    </row>
    <row r="14" spans="1:13" x14ac:dyDescent="0.2">
      <c r="A14" s="139" t="s">
        <v>7</v>
      </c>
      <c r="B14" s="144"/>
      <c r="C14" s="145"/>
      <c r="D14" s="145">
        <v>0</v>
      </c>
      <c r="E14" s="145"/>
      <c r="F14" s="145"/>
      <c r="G14" s="145">
        <v>0</v>
      </c>
      <c r="H14" s="145"/>
      <c r="I14" s="145"/>
      <c r="J14" s="145">
        <v>0</v>
      </c>
      <c r="K14" s="145"/>
      <c r="L14" s="145">
        <v>0</v>
      </c>
      <c r="M14" s="146">
        <v>0</v>
      </c>
    </row>
    <row r="15" spans="1:13" ht="13.5" thickBot="1" x14ac:dyDescent="0.25">
      <c r="A15" s="140" t="s">
        <v>111</v>
      </c>
      <c r="B15" s="141">
        <f t="shared" ref="B15:M15" si="2">B13-B14</f>
        <v>100000</v>
      </c>
      <c r="C15" s="141">
        <f t="shared" si="2"/>
        <v>200000</v>
      </c>
      <c r="D15" s="141">
        <f t="shared" si="2"/>
        <v>300000</v>
      </c>
      <c r="E15" s="141">
        <f t="shared" si="2"/>
        <v>400000</v>
      </c>
      <c r="F15" s="141">
        <f t="shared" si="2"/>
        <v>500000</v>
      </c>
      <c r="G15" s="141">
        <f t="shared" si="2"/>
        <v>500000</v>
      </c>
      <c r="H15" s="141">
        <f t="shared" si="2"/>
        <v>500000</v>
      </c>
      <c r="I15" s="141">
        <f t="shared" si="2"/>
        <v>500000</v>
      </c>
      <c r="J15" s="141">
        <f t="shared" si="2"/>
        <v>500000</v>
      </c>
      <c r="K15" s="141">
        <f t="shared" si="2"/>
        <v>500000</v>
      </c>
      <c r="L15" s="141">
        <f t="shared" si="2"/>
        <v>500000</v>
      </c>
      <c r="M15" s="142">
        <f t="shared" si="2"/>
        <v>500000</v>
      </c>
    </row>
    <row r="20" spans="1:13" x14ac:dyDescent="0.2">
      <c r="A20" s="80" t="s">
        <v>0</v>
      </c>
      <c r="B20" s="80" t="s">
        <v>1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x14ac:dyDescent="0.2">
      <c r="A21" s="138"/>
      <c r="B21" s="136">
        <v>45658</v>
      </c>
      <c r="C21" s="136">
        <v>45689</v>
      </c>
      <c r="D21" s="136">
        <v>45717</v>
      </c>
      <c r="E21" s="136">
        <v>45748</v>
      </c>
      <c r="F21" s="136">
        <v>45778</v>
      </c>
      <c r="G21" s="136">
        <v>45809</v>
      </c>
      <c r="H21" s="136">
        <v>45839</v>
      </c>
      <c r="I21" s="136">
        <v>45870</v>
      </c>
      <c r="J21" s="136">
        <v>45901</v>
      </c>
      <c r="K21" s="136">
        <v>45931</v>
      </c>
      <c r="L21" s="136">
        <v>45962</v>
      </c>
      <c r="M21" s="136">
        <v>45992</v>
      </c>
    </row>
    <row r="22" spans="1:13" x14ac:dyDescent="0.2">
      <c r="A22" s="139" t="s">
        <v>110</v>
      </c>
      <c r="B22" s="137"/>
      <c r="C22" s="42">
        <f t="shared" ref="C22:M22" si="3">B33</f>
        <v>80000</v>
      </c>
      <c r="D22" s="42">
        <f t="shared" si="3"/>
        <v>160000</v>
      </c>
      <c r="E22" s="42">
        <f t="shared" si="3"/>
        <v>250000</v>
      </c>
      <c r="F22" s="42">
        <f t="shared" si="3"/>
        <v>300000</v>
      </c>
      <c r="G22" s="42">
        <f t="shared" si="3"/>
        <v>350000</v>
      </c>
      <c r="H22" s="42">
        <f t="shared" si="3"/>
        <v>400000</v>
      </c>
      <c r="I22" s="42">
        <f t="shared" si="3"/>
        <v>0</v>
      </c>
      <c r="J22" s="42">
        <f t="shared" si="3"/>
        <v>80000</v>
      </c>
      <c r="K22" s="42">
        <f t="shared" si="3"/>
        <v>160000</v>
      </c>
      <c r="L22" s="42">
        <f t="shared" si="3"/>
        <v>240000</v>
      </c>
      <c r="M22" s="42">
        <f t="shared" si="3"/>
        <v>320000</v>
      </c>
    </row>
    <row r="23" spans="1:13" x14ac:dyDescent="0.2">
      <c r="A23" s="139" t="s">
        <v>2</v>
      </c>
      <c r="B23" s="137"/>
      <c r="C23" s="42"/>
      <c r="D23" s="42"/>
      <c r="E23" s="42"/>
      <c r="F23" s="42"/>
      <c r="G23" s="42"/>
      <c r="H23" s="42"/>
      <c r="I23" s="42"/>
      <c r="J23" s="42"/>
      <c r="K23" s="42">
        <v>0</v>
      </c>
      <c r="L23" s="42"/>
      <c r="M23" s="42"/>
    </row>
    <row r="24" spans="1:13" x14ac:dyDescent="0.2">
      <c r="A24" s="139" t="s">
        <v>3</v>
      </c>
      <c r="B24" s="137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139" t="s">
        <v>4</v>
      </c>
      <c r="B25" s="137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139" t="s">
        <v>9</v>
      </c>
      <c r="B26" s="137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139" t="s">
        <v>73</v>
      </c>
      <c r="B27" s="137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139" t="s">
        <v>74</v>
      </c>
      <c r="B28" s="137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139" t="s">
        <v>202</v>
      </c>
      <c r="B29" s="137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139" t="s">
        <v>5</v>
      </c>
      <c r="B30" s="137">
        <v>80000</v>
      </c>
      <c r="C30" s="137">
        <v>80000</v>
      </c>
      <c r="D30" s="137">
        <v>90000</v>
      </c>
      <c r="E30" s="137">
        <v>50000</v>
      </c>
      <c r="F30" s="137">
        <v>50000</v>
      </c>
      <c r="G30" s="42">
        <v>50000</v>
      </c>
      <c r="H30" s="42">
        <v>50000</v>
      </c>
      <c r="I30" s="42">
        <v>80000</v>
      </c>
      <c r="J30" s="42">
        <v>80000</v>
      </c>
      <c r="K30" s="42">
        <v>80000</v>
      </c>
      <c r="L30" s="42">
        <v>80000</v>
      </c>
      <c r="M30" s="42">
        <v>80000</v>
      </c>
    </row>
    <row r="31" spans="1:13" x14ac:dyDescent="0.2">
      <c r="A31" s="139" t="s">
        <v>6</v>
      </c>
      <c r="B31" s="143">
        <f t="shared" ref="B31:M31" si="4">SUM(B22:B30)</f>
        <v>80000</v>
      </c>
      <c r="C31" s="43">
        <f t="shared" si="4"/>
        <v>160000</v>
      </c>
      <c r="D31" s="43">
        <f t="shared" si="4"/>
        <v>250000</v>
      </c>
      <c r="E31" s="43">
        <f t="shared" si="4"/>
        <v>300000</v>
      </c>
      <c r="F31" s="43">
        <f t="shared" si="4"/>
        <v>350000</v>
      </c>
      <c r="G31" s="43">
        <f t="shared" si="4"/>
        <v>400000</v>
      </c>
      <c r="H31" s="43">
        <f t="shared" si="4"/>
        <v>450000</v>
      </c>
      <c r="I31" s="43">
        <f>SUM(I22:I30)</f>
        <v>80000</v>
      </c>
      <c r="J31" s="43">
        <f t="shared" si="4"/>
        <v>160000</v>
      </c>
      <c r="K31" s="43">
        <f t="shared" si="4"/>
        <v>240000</v>
      </c>
      <c r="L31" s="43">
        <f t="shared" si="4"/>
        <v>320000</v>
      </c>
      <c r="M31" s="137">
        <f t="shared" si="4"/>
        <v>400000</v>
      </c>
    </row>
    <row r="32" spans="1:13" x14ac:dyDescent="0.2">
      <c r="A32" s="139" t="s">
        <v>7</v>
      </c>
      <c r="B32" s="144"/>
      <c r="C32" s="145"/>
      <c r="D32" s="145"/>
      <c r="E32" s="145"/>
      <c r="F32" s="145">
        <v>0</v>
      </c>
      <c r="G32" s="145">
        <v>0</v>
      </c>
      <c r="H32" s="145">
        <v>450000</v>
      </c>
      <c r="I32" s="145">
        <v>0</v>
      </c>
      <c r="J32" s="145">
        <v>0</v>
      </c>
      <c r="K32" s="145">
        <v>0</v>
      </c>
      <c r="L32" s="145">
        <v>0</v>
      </c>
      <c r="M32" s="145">
        <v>400000</v>
      </c>
    </row>
    <row r="33" spans="1:13" ht="13.5" thickBot="1" x14ac:dyDescent="0.25">
      <c r="A33" s="140" t="s">
        <v>111</v>
      </c>
      <c r="B33" s="141">
        <f t="shared" ref="B33:M33" si="5">B31-B32</f>
        <v>80000</v>
      </c>
      <c r="C33" s="141">
        <f t="shared" si="5"/>
        <v>160000</v>
      </c>
      <c r="D33" s="141">
        <f t="shared" si="5"/>
        <v>250000</v>
      </c>
      <c r="E33" s="141">
        <f t="shared" si="5"/>
        <v>300000</v>
      </c>
      <c r="F33" s="141">
        <f t="shared" si="5"/>
        <v>350000</v>
      </c>
      <c r="G33" s="141">
        <f t="shared" si="5"/>
        <v>400000</v>
      </c>
      <c r="H33" s="141">
        <f>H31-H32</f>
        <v>0</v>
      </c>
      <c r="I33" s="141">
        <f t="shared" si="5"/>
        <v>80000</v>
      </c>
      <c r="J33" s="141">
        <f t="shared" si="5"/>
        <v>160000</v>
      </c>
      <c r="K33" s="141">
        <f t="shared" si="5"/>
        <v>240000</v>
      </c>
      <c r="L33" s="141">
        <f t="shared" si="5"/>
        <v>320000</v>
      </c>
      <c r="M33" s="142">
        <f t="shared" si="5"/>
        <v>0</v>
      </c>
    </row>
    <row r="35" spans="1:13" x14ac:dyDescent="0.2">
      <c r="L35" s="159"/>
    </row>
    <row r="39" spans="1:13" x14ac:dyDescent="0.2">
      <c r="A39" s="80" t="s">
        <v>0</v>
      </c>
      <c r="B39" s="80" t="s">
        <v>1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</row>
    <row r="40" spans="1:13" x14ac:dyDescent="0.2">
      <c r="A40" s="138"/>
      <c r="B40" s="136">
        <v>45292</v>
      </c>
      <c r="C40" s="136">
        <v>45323</v>
      </c>
      <c r="D40" s="136">
        <v>45352</v>
      </c>
      <c r="E40" s="136">
        <v>45383</v>
      </c>
      <c r="F40" s="136">
        <v>45413</v>
      </c>
      <c r="G40" s="136">
        <v>45444</v>
      </c>
      <c r="H40" s="136">
        <v>45474</v>
      </c>
      <c r="I40" s="136">
        <v>45505</v>
      </c>
      <c r="J40" s="136">
        <v>45536</v>
      </c>
      <c r="K40" s="136">
        <v>45566</v>
      </c>
      <c r="L40" s="136">
        <v>45597</v>
      </c>
      <c r="M40" s="136">
        <v>45627</v>
      </c>
    </row>
    <row r="41" spans="1:13" x14ac:dyDescent="0.2">
      <c r="A41" s="139" t="s">
        <v>110</v>
      </c>
      <c r="B41" s="137">
        <v>75000</v>
      </c>
      <c r="C41" s="42">
        <f>B52</f>
        <v>135000</v>
      </c>
      <c r="D41" s="42">
        <f t="shared" ref="D41:M41" si="6">C52</f>
        <v>195000</v>
      </c>
      <c r="E41" s="42">
        <f t="shared" si="6"/>
        <v>55000</v>
      </c>
      <c r="F41" s="42">
        <f t="shared" si="6"/>
        <v>115000</v>
      </c>
      <c r="G41" s="42">
        <f t="shared" si="6"/>
        <v>0</v>
      </c>
      <c r="H41" s="42">
        <f t="shared" si="6"/>
        <v>70000</v>
      </c>
      <c r="I41" s="42">
        <f t="shared" si="6"/>
        <v>140000</v>
      </c>
      <c r="J41" s="42">
        <f t="shared" si="6"/>
        <v>210000</v>
      </c>
      <c r="K41" s="42">
        <f t="shared" si="6"/>
        <v>80000</v>
      </c>
      <c r="L41" s="42">
        <f t="shared" si="6"/>
        <v>150000</v>
      </c>
      <c r="M41" s="42">
        <f t="shared" si="6"/>
        <v>220000</v>
      </c>
    </row>
    <row r="42" spans="1:13" x14ac:dyDescent="0.2">
      <c r="A42" s="139" t="s">
        <v>2</v>
      </c>
      <c r="B42" s="137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139" t="s">
        <v>3</v>
      </c>
      <c r="B43" s="137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139" t="s">
        <v>4</v>
      </c>
      <c r="B44" s="137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139" t="s">
        <v>9</v>
      </c>
      <c r="B45" s="137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139" t="s">
        <v>73</v>
      </c>
      <c r="B46" s="137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139" t="s">
        <v>74</v>
      </c>
      <c r="B47" s="137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139" t="s">
        <v>202</v>
      </c>
      <c r="B48" s="137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139" t="s">
        <v>5</v>
      </c>
      <c r="B49" s="137">
        <v>60000</v>
      </c>
      <c r="C49" s="137">
        <v>60000</v>
      </c>
      <c r="D49" s="137">
        <v>60000</v>
      </c>
      <c r="E49" s="137">
        <v>60000</v>
      </c>
      <c r="F49" s="42">
        <v>60000</v>
      </c>
      <c r="G49" s="42">
        <v>70000</v>
      </c>
      <c r="H49" s="42">
        <v>70000</v>
      </c>
      <c r="I49" s="42">
        <v>70000</v>
      </c>
      <c r="J49" s="42">
        <v>70000</v>
      </c>
      <c r="K49" s="42">
        <v>70000</v>
      </c>
      <c r="L49" s="42">
        <v>70000</v>
      </c>
      <c r="M49" s="42">
        <v>80000</v>
      </c>
    </row>
    <row r="50" spans="1:13" x14ac:dyDescent="0.2">
      <c r="A50" s="139" t="s">
        <v>6</v>
      </c>
      <c r="B50" s="143">
        <f t="shared" ref="B50:M50" si="7">SUM(B41:B49)</f>
        <v>135000</v>
      </c>
      <c r="C50" s="43">
        <f t="shared" si="7"/>
        <v>195000</v>
      </c>
      <c r="D50" s="43">
        <f t="shared" si="7"/>
        <v>255000</v>
      </c>
      <c r="E50" s="43">
        <f t="shared" si="7"/>
        <v>115000</v>
      </c>
      <c r="F50" s="43">
        <f t="shared" si="7"/>
        <v>175000</v>
      </c>
      <c r="G50" s="43">
        <f t="shared" si="7"/>
        <v>70000</v>
      </c>
      <c r="H50" s="43">
        <f t="shared" si="7"/>
        <v>140000</v>
      </c>
      <c r="I50" s="43">
        <f t="shared" si="7"/>
        <v>210000</v>
      </c>
      <c r="J50" s="43">
        <f t="shared" si="7"/>
        <v>280000</v>
      </c>
      <c r="K50" s="43">
        <f t="shared" si="7"/>
        <v>150000</v>
      </c>
      <c r="L50" s="43">
        <f t="shared" si="7"/>
        <v>220000</v>
      </c>
      <c r="M50" s="137">
        <f t="shared" si="7"/>
        <v>300000</v>
      </c>
    </row>
    <row r="51" spans="1:13" x14ac:dyDescent="0.2">
      <c r="A51" s="139" t="s">
        <v>7</v>
      </c>
      <c r="B51" s="144"/>
      <c r="C51" s="145"/>
      <c r="D51" s="145">
        <v>200000</v>
      </c>
      <c r="E51" s="145"/>
      <c r="F51" s="145">
        <v>175000</v>
      </c>
      <c r="G51" s="145"/>
      <c r="H51" s="145"/>
      <c r="I51" s="145"/>
      <c r="J51" s="145">
        <v>200000</v>
      </c>
      <c r="K51" s="145"/>
      <c r="L51" s="145"/>
      <c r="M51" s="146">
        <v>300000</v>
      </c>
    </row>
    <row r="52" spans="1:13" ht="13.5" thickBot="1" x14ac:dyDescent="0.25">
      <c r="A52" s="140" t="s">
        <v>111</v>
      </c>
      <c r="B52" s="141">
        <f t="shared" ref="B52:M52" si="8">B50-B51</f>
        <v>135000</v>
      </c>
      <c r="C52" s="141">
        <f t="shared" si="8"/>
        <v>195000</v>
      </c>
      <c r="D52" s="141">
        <f t="shared" si="8"/>
        <v>55000</v>
      </c>
      <c r="E52" s="141">
        <f t="shared" si="8"/>
        <v>115000</v>
      </c>
      <c r="F52" s="141">
        <f t="shared" si="8"/>
        <v>0</v>
      </c>
      <c r="G52" s="141">
        <f t="shared" si="8"/>
        <v>70000</v>
      </c>
      <c r="H52" s="141">
        <f t="shared" si="8"/>
        <v>140000</v>
      </c>
      <c r="I52" s="141">
        <f t="shared" si="8"/>
        <v>210000</v>
      </c>
      <c r="J52" s="141">
        <f t="shared" si="8"/>
        <v>80000</v>
      </c>
      <c r="K52" s="141">
        <f t="shared" si="8"/>
        <v>150000</v>
      </c>
      <c r="L52" s="141">
        <f t="shared" si="8"/>
        <v>220000</v>
      </c>
      <c r="M52" s="142">
        <f t="shared" si="8"/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7"/>
  <dimension ref="A3:M44"/>
  <sheetViews>
    <sheetView workbookViewId="0">
      <selection activeCell="D13" sqref="D13"/>
    </sheetView>
  </sheetViews>
  <sheetFormatPr baseColWidth="10" defaultRowHeight="12.75" x14ac:dyDescent="0.2"/>
  <cols>
    <col min="1" max="1" width="34.85546875" customWidth="1"/>
    <col min="3" max="3" width="12.85546875" bestFit="1" customWidth="1"/>
    <col min="11" max="11" width="12.140625" customWidth="1"/>
    <col min="12" max="12" width="12" customWidth="1"/>
    <col min="13" max="13" width="13.42578125" bestFit="1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138"/>
      <c r="B4" s="136">
        <v>46023</v>
      </c>
      <c r="C4" s="136">
        <v>46054</v>
      </c>
      <c r="D4" s="136">
        <v>46082</v>
      </c>
      <c r="E4" s="136">
        <v>46113</v>
      </c>
      <c r="F4" s="136">
        <v>46143</v>
      </c>
      <c r="G4" s="136">
        <v>46174</v>
      </c>
      <c r="H4" s="136">
        <v>46204</v>
      </c>
      <c r="I4" s="136">
        <v>46235</v>
      </c>
      <c r="J4" s="136">
        <v>46266</v>
      </c>
      <c r="K4" s="136">
        <v>46296</v>
      </c>
      <c r="L4" s="136">
        <v>46327</v>
      </c>
      <c r="M4" s="136">
        <v>46357</v>
      </c>
    </row>
    <row r="5" spans="1:13" x14ac:dyDescent="0.2">
      <c r="A5" s="139" t="s">
        <v>110</v>
      </c>
      <c r="B5" s="137">
        <f>M32</f>
        <v>0</v>
      </c>
      <c r="C5" s="42">
        <f>B16</f>
        <v>100000</v>
      </c>
      <c r="D5" s="42">
        <f t="shared" ref="D5:I5" si="0">C16</f>
        <v>0</v>
      </c>
      <c r="E5" s="42">
        <f t="shared" si="0"/>
        <v>120000</v>
      </c>
      <c r="F5" s="42">
        <f t="shared" si="0"/>
        <v>120000</v>
      </c>
      <c r="G5" s="42">
        <f t="shared" si="0"/>
        <v>120000</v>
      </c>
      <c r="H5" s="42">
        <f>G16</f>
        <v>120000</v>
      </c>
      <c r="I5" s="42">
        <f t="shared" si="0"/>
        <v>120000</v>
      </c>
      <c r="J5" s="42">
        <f>I16</f>
        <v>120000</v>
      </c>
      <c r="K5" s="42">
        <f>J16</f>
        <v>120000</v>
      </c>
      <c r="L5" s="42">
        <f>K16</f>
        <v>120000</v>
      </c>
      <c r="M5" s="42">
        <f>L16</f>
        <v>120000</v>
      </c>
    </row>
    <row r="6" spans="1:13" x14ac:dyDescent="0.2">
      <c r="A6" s="139" t="s">
        <v>2</v>
      </c>
      <c r="B6" s="137"/>
      <c r="C6" s="42"/>
      <c r="D6" s="42"/>
      <c r="E6" s="42"/>
      <c r="F6" s="42"/>
      <c r="G6" s="42"/>
      <c r="H6" s="42"/>
      <c r="I6" s="42"/>
      <c r="J6" s="42"/>
      <c r="K6" s="42">
        <v>0</v>
      </c>
      <c r="L6" s="42"/>
      <c r="M6" s="42"/>
    </row>
    <row r="7" spans="1:13" x14ac:dyDescent="0.2">
      <c r="A7" s="139" t="s">
        <v>3</v>
      </c>
      <c r="B7" s="137"/>
      <c r="C7" s="42"/>
      <c r="D7" s="42"/>
      <c r="E7" s="42"/>
      <c r="F7" s="42"/>
      <c r="G7" s="42"/>
      <c r="H7" s="42"/>
      <c r="I7" s="42"/>
      <c r="J7" s="42"/>
      <c r="K7" s="42">
        <v>0</v>
      </c>
      <c r="L7" s="42"/>
      <c r="M7" s="42"/>
    </row>
    <row r="8" spans="1:13" x14ac:dyDescent="0.2">
      <c r="A8" s="139" t="s">
        <v>4</v>
      </c>
      <c r="B8" s="137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139" t="s">
        <v>9</v>
      </c>
      <c r="B9" s="137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139" t="s">
        <v>73</v>
      </c>
      <c r="B10" s="137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139" t="s">
        <v>74</v>
      </c>
      <c r="B11" s="137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139" t="s">
        <v>202</v>
      </c>
      <c r="B12" s="137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139" t="s">
        <v>5</v>
      </c>
      <c r="B13" s="137">
        <v>100000</v>
      </c>
      <c r="C13" s="137">
        <v>100000</v>
      </c>
      <c r="D13" s="137">
        <v>120000</v>
      </c>
      <c r="E13" s="137"/>
      <c r="F13" s="137"/>
      <c r="G13" s="137"/>
      <c r="H13" s="137"/>
      <c r="I13" s="137"/>
      <c r="J13" s="137"/>
      <c r="K13" s="137"/>
      <c r="L13" s="137"/>
      <c r="M13" s="137"/>
    </row>
    <row r="14" spans="1:13" x14ac:dyDescent="0.2">
      <c r="A14" s="139" t="s">
        <v>6</v>
      </c>
      <c r="B14" s="143">
        <f>SUM(B5:B13)+M34</f>
        <v>100000</v>
      </c>
      <c r="C14" s="43">
        <f t="shared" ref="C14:M14" si="1">SUM(C5:C13)</f>
        <v>200000</v>
      </c>
      <c r="D14" s="43">
        <f t="shared" si="1"/>
        <v>120000</v>
      </c>
      <c r="E14" s="43">
        <f t="shared" si="1"/>
        <v>120000</v>
      </c>
      <c r="F14" s="43">
        <f t="shared" si="1"/>
        <v>120000</v>
      </c>
      <c r="G14" s="43">
        <f t="shared" si="1"/>
        <v>120000</v>
      </c>
      <c r="H14" s="43">
        <f t="shared" si="1"/>
        <v>120000</v>
      </c>
      <c r="I14" s="43">
        <f t="shared" si="1"/>
        <v>120000</v>
      </c>
      <c r="J14" s="43">
        <f t="shared" si="1"/>
        <v>120000</v>
      </c>
      <c r="K14" s="43">
        <f t="shared" si="1"/>
        <v>120000</v>
      </c>
      <c r="L14" s="43">
        <f t="shared" si="1"/>
        <v>120000</v>
      </c>
      <c r="M14" s="43">
        <f t="shared" si="1"/>
        <v>120000</v>
      </c>
    </row>
    <row r="15" spans="1:13" x14ac:dyDescent="0.2">
      <c r="A15" s="139" t="s">
        <v>7</v>
      </c>
      <c r="B15" s="144"/>
      <c r="C15" s="145">
        <v>200000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6"/>
    </row>
    <row r="16" spans="1:13" ht="13.5" thickBot="1" x14ac:dyDescent="0.25">
      <c r="A16" s="140" t="s">
        <v>111</v>
      </c>
      <c r="B16" s="141">
        <f t="shared" ref="B16:M16" si="2">B14-B15</f>
        <v>100000</v>
      </c>
      <c r="C16" s="141">
        <f t="shared" si="2"/>
        <v>0</v>
      </c>
      <c r="D16" s="141">
        <f t="shared" si="2"/>
        <v>120000</v>
      </c>
      <c r="E16" s="141">
        <f t="shared" si="2"/>
        <v>120000</v>
      </c>
      <c r="F16" s="141">
        <f t="shared" si="2"/>
        <v>120000</v>
      </c>
      <c r="G16" s="141">
        <f t="shared" si="2"/>
        <v>120000</v>
      </c>
      <c r="H16" s="141">
        <f t="shared" si="2"/>
        <v>120000</v>
      </c>
      <c r="I16" s="141">
        <f t="shared" si="2"/>
        <v>120000</v>
      </c>
      <c r="J16" s="141">
        <f t="shared" si="2"/>
        <v>120000</v>
      </c>
      <c r="K16" s="141">
        <f t="shared" si="2"/>
        <v>120000</v>
      </c>
      <c r="L16" s="141">
        <f t="shared" si="2"/>
        <v>120000</v>
      </c>
      <c r="M16" s="141">
        <f t="shared" si="2"/>
        <v>120000</v>
      </c>
    </row>
    <row r="17" spans="1:13" x14ac:dyDescent="0.2">
      <c r="H17" s="179"/>
      <c r="M17" t="s">
        <v>724</v>
      </c>
    </row>
    <row r="18" spans="1:13" x14ac:dyDescent="0.2">
      <c r="M18" s="195" t="s">
        <v>728</v>
      </c>
    </row>
    <row r="19" spans="1:13" x14ac:dyDescent="0.2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3" x14ac:dyDescent="0.2">
      <c r="A20" s="138"/>
      <c r="B20" s="136">
        <v>45658</v>
      </c>
      <c r="C20" s="136">
        <v>45689</v>
      </c>
      <c r="D20" s="136">
        <v>45717</v>
      </c>
      <c r="E20" s="136">
        <v>45748</v>
      </c>
      <c r="F20" s="136">
        <v>45778</v>
      </c>
      <c r="G20" s="136">
        <v>45809</v>
      </c>
      <c r="H20" s="136">
        <v>45839</v>
      </c>
      <c r="I20" s="136">
        <v>45870</v>
      </c>
      <c r="J20" s="136">
        <v>45901</v>
      </c>
      <c r="K20" s="136">
        <v>45931</v>
      </c>
      <c r="L20" s="136">
        <v>45962</v>
      </c>
      <c r="M20" s="136">
        <v>45992</v>
      </c>
    </row>
    <row r="21" spans="1:13" x14ac:dyDescent="0.2">
      <c r="A21" s="139" t="s">
        <v>110</v>
      </c>
      <c r="B21" s="137"/>
      <c r="C21" s="42">
        <f t="shared" ref="C21:M21" si="3">B32</f>
        <v>60000</v>
      </c>
      <c r="D21" s="42">
        <f t="shared" si="3"/>
        <v>120000</v>
      </c>
      <c r="E21" s="42">
        <f t="shared" si="3"/>
        <v>180000</v>
      </c>
      <c r="F21" s="42">
        <f t="shared" si="3"/>
        <v>240000</v>
      </c>
      <c r="G21" s="42">
        <f t="shared" si="3"/>
        <v>300000</v>
      </c>
      <c r="H21" s="42">
        <f t="shared" si="3"/>
        <v>360000</v>
      </c>
      <c r="I21" s="42">
        <f t="shared" si="3"/>
        <v>420000</v>
      </c>
      <c r="J21" s="42">
        <f t="shared" si="3"/>
        <v>480000</v>
      </c>
      <c r="K21" s="42">
        <f t="shared" si="3"/>
        <v>540000</v>
      </c>
      <c r="L21" s="42">
        <f t="shared" si="3"/>
        <v>600000</v>
      </c>
      <c r="M21" s="42">
        <f t="shared" si="3"/>
        <v>600000</v>
      </c>
    </row>
    <row r="22" spans="1:13" x14ac:dyDescent="0.2">
      <c r="A22" s="139" t="s">
        <v>2</v>
      </c>
      <c r="B22" s="137"/>
      <c r="C22" s="42"/>
      <c r="D22" s="42"/>
      <c r="E22" s="42"/>
      <c r="F22" s="42"/>
      <c r="G22" s="42"/>
      <c r="H22" s="42"/>
      <c r="I22" s="42"/>
      <c r="J22" s="42"/>
      <c r="K22" s="42">
        <v>0</v>
      </c>
      <c r="L22" s="42"/>
      <c r="M22" s="42"/>
    </row>
    <row r="23" spans="1:13" x14ac:dyDescent="0.2">
      <c r="A23" s="139" t="s">
        <v>3</v>
      </c>
      <c r="B23" s="137"/>
      <c r="C23" s="42"/>
      <c r="D23" s="42"/>
      <c r="E23" s="42"/>
      <c r="F23" s="42"/>
      <c r="G23" s="42"/>
      <c r="H23" s="42"/>
      <c r="I23" s="42"/>
      <c r="J23" s="42"/>
      <c r="K23" s="42">
        <v>0</v>
      </c>
      <c r="L23" s="42"/>
      <c r="M23" s="42"/>
    </row>
    <row r="24" spans="1:13" x14ac:dyDescent="0.2">
      <c r="A24" s="139" t="s">
        <v>4</v>
      </c>
      <c r="B24" s="137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139" t="s">
        <v>9</v>
      </c>
      <c r="B25" s="137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139" t="s">
        <v>73</v>
      </c>
      <c r="B26" s="137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139" t="s">
        <v>74</v>
      </c>
      <c r="B27" s="137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139" t="s">
        <v>202</v>
      </c>
      <c r="B28" s="137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139" t="s">
        <v>5</v>
      </c>
      <c r="B29" s="137">
        <v>60000</v>
      </c>
      <c r="C29" s="137">
        <v>60000</v>
      </c>
      <c r="D29" s="137">
        <v>60000</v>
      </c>
      <c r="E29" s="137">
        <v>60000</v>
      </c>
      <c r="F29" s="137">
        <v>60000</v>
      </c>
      <c r="G29" s="137">
        <v>60000</v>
      </c>
      <c r="H29" s="137">
        <v>60000</v>
      </c>
      <c r="I29" s="137">
        <v>60000</v>
      </c>
      <c r="J29" s="137">
        <v>60000</v>
      </c>
      <c r="K29" s="137">
        <v>60000</v>
      </c>
      <c r="L29" s="42"/>
      <c r="M29" s="42"/>
    </row>
    <row r="30" spans="1:13" x14ac:dyDescent="0.2">
      <c r="A30" s="139" t="s">
        <v>6</v>
      </c>
      <c r="B30" s="143">
        <f>SUM(B21:B29)+M50</f>
        <v>60000</v>
      </c>
      <c r="C30" s="43">
        <f t="shared" ref="C30:M30" si="4">SUM(C21:C29)</f>
        <v>120000</v>
      </c>
      <c r="D30" s="43">
        <f t="shared" si="4"/>
        <v>180000</v>
      </c>
      <c r="E30" s="43">
        <f t="shared" si="4"/>
        <v>240000</v>
      </c>
      <c r="F30" s="43">
        <f t="shared" si="4"/>
        <v>300000</v>
      </c>
      <c r="G30" s="43">
        <f t="shared" si="4"/>
        <v>360000</v>
      </c>
      <c r="H30" s="43">
        <f t="shared" si="4"/>
        <v>420000</v>
      </c>
      <c r="I30" s="43">
        <f t="shared" si="4"/>
        <v>480000</v>
      </c>
      <c r="J30" s="43">
        <f t="shared" si="4"/>
        <v>540000</v>
      </c>
      <c r="K30" s="43">
        <f t="shared" si="4"/>
        <v>600000</v>
      </c>
      <c r="L30" s="43">
        <f t="shared" si="4"/>
        <v>600000</v>
      </c>
      <c r="M30" s="43">
        <f t="shared" si="4"/>
        <v>600000</v>
      </c>
    </row>
    <row r="31" spans="1:13" x14ac:dyDescent="0.2">
      <c r="A31" s="139" t="s">
        <v>7</v>
      </c>
      <c r="B31" s="144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>
        <v>600000</v>
      </c>
    </row>
    <row r="32" spans="1:13" ht="13.5" thickBot="1" x14ac:dyDescent="0.25">
      <c r="A32" s="140" t="s">
        <v>111</v>
      </c>
      <c r="B32" s="141">
        <f t="shared" ref="B32:M32" si="5">B30-B31</f>
        <v>60000</v>
      </c>
      <c r="C32" s="141">
        <f t="shared" si="5"/>
        <v>120000</v>
      </c>
      <c r="D32" s="141">
        <f t="shared" si="5"/>
        <v>180000</v>
      </c>
      <c r="E32" s="141">
        <f t="shared" si="5"/>
        <v>240000</v>
      </c>
      <c r="F32" s="141">
        <f t="shared" si="5"/>
        <v>300000</v>
      </c>
      <c r="G32" s="141">
        <f t="shared" si="5"/>
        <v>360000</v>
      </c>
      <c r="H32" s="141">
        <f t="shared" si="5"/>
        <v>420000</v>
      </c>
      <c r="I32" s="141">
        <f t="shared" si="5"/>
        <v>480000</v>
      </c>
      <c r="J32" s="141">
        <f t="shared" si="5"/>
        <v>540000</v>
      </c>
      <c r="K32" s="141">
        <f t="shared" si="5"/>
        <v>600000</v>
      </c>
      <c r="L32" s="141">
        <f t="shared" si="5"/>
        <v>600000</v>
      </c>
      <c r="M32" s="142">
        <f t="shared" si="5"/>
        <v>0</v>
      </c>
    </row>
    <row r="33" spans="1:12" x14ac:dyDescent="0.2">
      <c r="E33" s="128">
        <v>45058</v>
      </c>
    </row>
    <row r="34" spans="1:12" x14ac:dyDescent="0.2">
      <c r="B34" s="59">
        <v>46023</v>
      </c>
      <c r="C34" s="59">
        <v>46054</v>
      </c>
      <c r="L34" s="179"/>
    </row>
    <row r="38" spans="1:12" x14ac:dyDescent="0.2">
      <c r="A38" s="139" t="s">
        <v>5</v>
      </c>
      <c r="B38">
        <v>100000</v>
      </c>
      <c r="C38">
        <v>100000</v>
      </c>
    </row>
    <row r="43" spans="1:12" x14ac:dyDescent="0.2">
      <c r="C43" s="195">
        <v>200000</v>
      </c>
    </row>
    <row r="44" spans="1:12" x14ac:dyDescent="0.2">
      <c r="C44" t="s">
        <v>784</v>
      </c>
    </row>
  </sheetData>
  <phoneticPr fontId="4" type="noConversion"/>
  <pageMargins left="0.75" right="0.75" top="1" bottom="1" header="0" footer="0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8"/>
  <dimension ref="A2:M34"/>
  <sheetViews>
    <sheetView topLeftCell="A19" workbookViewId="0">
      <selection activeCell="M34" sqref="M34"/>
    </sheetView>
  </sheetViews>
  <sheetFormatPr baseColWidth="10" defaultRowHeight="12.75" x14ac:dyDescent="0.2"/>
  <cols>
    <col min="1" max="1" width="31.5703125" customWidth="1"/>
    <col min="6" max="6" width="12.85546875" customWidth="1"/>
    <col min="7" max="7" width="12.5703125" customWidth="1"/>
    <col min="8" max="8" width="12.7109375" customWidth="1"/>
    <col min="9" max="9" width="13" customWidth="1"/>
    <col min="10" max="10" width="13.140625" customWidth="1"/>
    <col min="11" max="11" width="12.7109375" customWidth="1"/>
    <col min="12" max="12" width="12.5703125" customWidth="1"/>
    <col min="13" max="13" width="12.7109375" customWidth="1"/>
  </cols>
  <sheetData>
    <row r="2" spans="1:13" ht="20.25" x14ac:dyDescent="0.3">
      <c r="A2" s="11" t="s">
        <v>11</v>
      </c>
      <c r="B2" s="216" t="s">
        <v>212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45292</v>
      </c>
      <c r="C5" s="79">
        <v>45323</v>
      </c>
      <c r="D5" s="79">
        <v>45352</v>
      </c>
      <c r="E5" s="79">
        <v>45383</v>
      </c>
      <c r="F5" s="79">
        <v>45413</v>
      </c>
      <c r="G5" s="79">
        <v>45444</v>
      </c>
      <c r="H5" s="79">
        <v>45474</v>
      </c>
      <c r="I5" s="79">
        <v>45505</v>
      </c>
      <c r="J5" s="79">
        <v>45536</v>
      </c>
      <c r="K5" s="79">
        <v>45566</v>
      </c>
      <c r="L5" s="79">
        <v>45597</v>
      </c>
      <c r="M5" s="79">
        <v>45627</v>
      </c>
    </row>
    <row r="6" spans="1:13" x14ac:dyDescent="0.2">
      <c r="A6" s="78" t="s">
        <v>110</v>
      </c>
      <c r="B6" s="42"/>
      <c r="C6" s="42">
        <f>B17</f>
        <v>50000</v>
      </c>
      <c r="D6" s="42">
        <f t="shared" ref="D6:M6" si="0">C17</f>
        <v>110000</v>
      </c>
      <c r="E6" s="42">
        <f t="shared" si="0"/>
        <v>170000</v>
      </c>
      <c r="F6" s="42">
        <f t="shared" si="0"/>
        <v>230000</v>
      </c>
      <c r="G6" s="42">
        <f t="shared" si="0"/>
        <v>290000</v>
      </c>
      <c r="H6" s="42">
        <f t="shared" si="0"/>
        <v>0</v>
      </c>
      <c r="I6" s="42">
        <f t="shared" si="0"/>
        <v>80000</v>
      </c>
      <c r="J6" s="42">
        <f t="shared" si="0"/>
        <v>160000</v>
      </c>
      <c r="K6" s="42">
        <f>J17</f>
        <v>240000</v>
      </c>
      <c r="L6" s="42">
        <f t="shared" si="0"/>
        <v>320000</v>
      </c>
      <c r="M6" s="42">
        <f t="shared" si="0"/>
        <v>400000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163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50000</v>
      </c>
      <c r="C14" s="42">
        <v>60000</v>
      </c>
      <c r="D14" s="42">
        <v>60000</v>
      </c>
      <c r="E14" s="42">
        <v>60000</v>
      </c>
      <c r="F14" s="42">
        <v>60000</v>
      </c>
      <c r="G14" s="42">
        <v>60000</v>
      </c>
      <c r="H14" s="42">
        <v>80000</v>
      </c>
      <c r="I14" s="42">
        <v>80000</v>
      </c>
      <c r="J14" s="42">
        <v>80000</v>
      </c>
      <c r="K14" s="42">
        <v>80000</v>
      </c>
      <c r="L14" s="42">
        <v>80000</v>
      </c>
      <c r="M14" s="42">
        <v>80000</v>
      </c>
    </row>
    <row r="15" spans="1:13" x14ac:dyDescent="0.2">
      <c r="A15" s="78" t="s">
        <v>6</v>
      </c>
      <c r="B15" s="43">
        <f>SUM(B6:B14)</f>
        <v>50000</v>
      </c>
      <c r="C15" s="43">
        <f t="shared" ref="C15:M15" si="1">SUM(C6:C14)</f>
        <v>110000</v>
      </c>
      <c r="D15" s="43">
        <f t="shared" si="1"/>
        <v>170000</v>
      </c>
      <c r="E15" s="43">
        <f t="shared" si="1"/>
        <v>230000</v>
      </c>
      <c r="F15" s="43">
        <f t="shared" si="1"/>
        <v>290000</v>
      </c>
      <c r="G15" s="43">
        <f t="shared" si="1"/>
        <v>350000</v>
      </c>
      <c r="H15" s="43">
        <f t="shared" si="1"/>
        <v>80000</v>
      </c>
      <c r="I15" s="43">
        <f t="shared" si="1"/>
        <v>160000</v>
      </c>
      <c r="J15" s="43">
        <f t="shared" si="1"/>
        <v>240000</v>
      </c>
      <c r="K15" s="43">
        <f t="shared" si="1"/>
        <v>320000</v>
      </c>
      <c r="L15" s="43">
        <f t="shared" si="1"/>
        <v>400000</v>
      </c>
      <c r="M15" s="43">
        <f t="shared" si="1"/>
        <v>480000</v>
      </c>
    </row>
    <row r="16" spans="1:13" x14ac:dyDescent="0.2">
      <c r="A16" s="78" t="s">
        <v>7</v>
      </c>
      <c r="B16" s="44"/>
      <c r="C16" s="44"/>
      <c r="D16" s="44"/>
      <c r="E16" s="44"/>
      <c r="F16" s="44"/>
      <c r="G16" s="44">
        <f>274700+75300</f>
        <v>350000</v>
      </c>
      <c r="H16" s="44"/>
      <c r="I16" s="44"/>
      <c r="J16" s="44"/>
      <c r="K16" s="44"/>
      <c r="L16" s="44"/>
      <c r="M16" s="44">
        <v>480000</v>
      </c>
    </row>
    <row r="17" spans="1:13" x14ac:dyDescent="0.2">
      <c r="A17" s="78" t="s">
        <v>111</v>
      </c>
      <c r="B17" s="43">
        <f>B15-B16</f>
        <v>50000</v>
      </c>
      <c r="C17" s="43">
        <f>C15-C16</f>
        <v>110000</v>
      </c>
      <c r="D17" s="43">
        <f t="shared" ref="D17:M17" si="2">D15-D16</f>
        <v>170000</v>
      </c>
      <c r="E17" s="43">
        <f t="shared" si="2"/>
        <v>230000</v>
      </c>
      <c r="F17" s="43">
        <f t="shared" si="2"/>
        <v>290000</v>
      </c>
      <c r="G17" s="43">
        <f t="shared" si="2"/>
        <v>0</v>
      </c>
      <c r="H17" s="43">
        <f t="shared" si="2"/>
        <v>80000</v>
      </c>
      <c r="I17" s="43">
        <f t="shared" si="2"/>
        <v>160000</v>
      </c>
      <c r="J17" s="43">
        <f t="shared" si="2"/>
        <v>240000</v>
      </c>
      <c r="K17" s="43">
        <f t="shared" si="2"/>
        <v>320000</v>
      </c>
      <c r="L17" s="43">
        <f t="shared" si="2"/>
        <v>400000</v>
      </c>
      <c r="M17" s="43">
        <f t="shared" si="2"/>
        <v>0</v>
      </c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5" x14ac:dyDescent="0.2">
      <c r="A22" s="8"/>
      <c r="B22" s="79">
        <v>45658</v>
      </c>
      <c r="C22" s="79">
        <v>45689</v>
      </c>
      <c r="D22" s="79">
        <v>45717</v>
      </c>
      <c r="E22" s="79">
        <v>45748</v>
      </c>
      <c r="F22" s="79">
        <v>45778</v>
      </c>
      <c r="G22" s="79">
        <v>45809</v>
      </c>
      <c r="H22" s="79">
        <v>45839</v>
      </c>
      <c r="I22" s="79">
        <v>45870</v>
      </c>
      <c r="J22" s="79">
        <v>45901</v>
      </c>
      <c r="K22" s="79">
        <v>45931</v>
      </c>
      <c r="L22" s="79">
        <v>45962</v>
      </c>
      <c r="M22" s="79">
        <v>45992</v>
      </c>
    </row>
    <row r="23" spans="1:13" ht="15" x14ac:dyDescent="0.2">
      <c r="A23" s="8" t="s">
        <v>110</v>
      </c>
      <c r="B23" s="42"/>
      <c r="C23" s="42">
        <f t="shared" ref="C23:M23" si="3">B34</f>
        <v>100000</v>
      </c>
      <c r="D23" s="42">
        <f t="shared" si="3"/>
        <v>200000</v>
      </c>
      <c r="E23" s="42">
        <f t="shared" si="3"/>
        <v>300000</v>
      </c>
      <c r="F23" s="42">
        <f t="shared" si="3"/>
        <v>400000</v>
      </c>
      <c r="G23" s="42">
        <f t="shared" si="3"/>
        <v>500000</v>
      </c>
      <c r="H23" s="42">
        <f t="shared" si="3"/>
        <v>0</v>
      </c>
      <c r="I23" s="42">
        <f t="shared" si="3"/>
        <v>160000</v>
      </c>
      <c r="J23" s="42">
        <f t="shared" si="3"/>
        <v>320000</v>
      </c>
      <c r="K23" s="42">
        <f t="shared" si="3"/>
        <v>490000</v>
      </c>
      <c r="L23" s="42">
        <f t="shared" si="3"/>
        <v>660000</v>
      </c>
      <c r="M23" s="42">
        <f t="shared" si="3"/>
        <v>830000</v>
      </c>
    </row>
    <row r="24" spans="1:13" ht="15" x14ac:dyDescent="0.2">
      <c r="A24" s="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163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5</v>
      </c>
      <c r="B31" s="42">
        <v>100000</v>
      </c>
      <c r="C31" s="42">
        <v>100000</v>
      </c>
      <c r="D31" s="42">
        <v>100000</v>
      </c>
      <c r="E31" s="42">
        <v>100000</v>
      </c>
      <c r="F31" s="42">
        <v>100000</v>
      </c>
      <c r="G31" s="42">
        <v>100000</v>
      </c>
      <c r="H31" s="42">
        <v>160000</v>
      </c>
      <c r="I31" s="42">
        <v>160000</v>
      </c>
      <c r="J31" s="42">
        <v>170000</v>
      </c>
      <c r="K31" s="42">
        <v>170000</v>
      </c>
      <c r="L31" s="42">
        <v>170000</v>
      </c>
      <c r="M31" s="42">
        <v>170000</v>
      </c>
    </row>
    <row r="32" spans="1:13" ht="15" x14ac:dyDescent="0.2">
      <c r="A32" s="8" t="s">
        <v>6</v>
      </c>
      <c r="B32" s="43">
        <f>SUM(B23:B31)</f>
        <v>100000</v>
      </c>
      <c r="C32" s="43">
        <f t="shared" ref="C32:M32" si="4">SUM(C23:C31)</f>
        <v>200000</v>
      </c>
      <c r="D32" s="43">
        <f t="shared" si="4"/>
        <v>300000</v>
      </c>
      <c r="E32" s="43">
        <f t="shared" si="4"/>
        <v>400000</v>
      </c>
      <c r="F32" s="43">
        <f t="shared" si="4"/>
        <v>500000</v>
      </c>
      <c r="G32" s="43">
        <f t="shared" si="4"/>
        <v>600000</v>
      </c>
      <c r="H32" s="43">
        <f t="shared" si="4"/>
        <v>160000</v>
      </c>
      <c r="I32" s="43">
        <f t="shared" si="4"/>
        <v>320000</v>
      </c>
      <c r="J32" s="43">
        <f t="shared" si="4"/>
        <v>490000</v>
      </c>
      <c r="K32" s="43">
        <f t="shared" si="4"/>
        <v>660000</v>
      </c>
      <c r="L32" s="43">
        <f t="shared" si="4"/>
        <v>830000</v>
      </c>
      <c r="M32" s="43">
        <f t="shared" si="4"/>
        <v>1000000</v>
      </c>
    </row>
    <row r="33" spans="1:13" ht="15" x14ac:dyDescent="0.2">
      <c r="A33" s="8" t="s">
        <v>7</v>
      </c>
      <c r="B33" s="44"/>
      <c r="C33" s="44"/>
      <c r="D33" s="44"/>
      <c r="E33" s="44"/>
      <c r="F33" s="44"/>
      <c r="G33" s="44">
        <v>600000</v>
      </c>
      <c r="H33" s="44"/>
      <c r="I33" s="44"/>
      <c r="J33" s="44"/>
      <c r="K33" s="44"/>
      <c r="L33" s="44"/>
      <c r="M33" s="44">
        <v>1000000</v>
      </c>
    </row>
    <row r="34" spans="1:13" ht="15" x14ac:dyDescent="0.2">
      <c r="A34" s="8" t="s">
        <v>111</v>
      </c>
      <c r="B34" s="43">
        <f>B32-B33</f>
        <v>100000</v>
      </c>
      <c r="C34" s="43">
        <f>C32-C33</f>
        <v>200000</v>
      </c>
      <c r="D34" s="43">
        <f t="shared" ref="D34:M34" si="5">D32-D33</f>
        <v>300000</v>
      </c>
      <c r="E34" s="43">
        <f t="shared" si="5"/>
        <v>400000</v>
      </c>
      <c r="F34" s="43">
        <f t="shared" si="5"/>
        <v>500000</v>
      </c>
      <c r="G34" s="43">
        <f t="shared" si="5"/>
        <v>0</v>
      </c>
      <c r="H34" s="43">
        <f t="shared" si="5"/>
        <v>160000</v>
      </c>
      <c r="I34" s="43">
        <f t="shared" si="5"/>
        <v>320000</v>
      </c>
      <c r="J34" s="43">
        <f t="shared" si="5"/>
        <v>490000</v>
      </c>
      <c r="K34" s="43">
        <f t="shared" si="5"/>
        <v>660000</v>
      </c>
      <c r="L34" s="43">
        <f t="shared" si="5"/>
        <v>830000</v>
      </c>
      <c r="M34" s="43">
        <f t="shared" si="5"/>
        <v>0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9"/>
  <dimension ref="A3:M15"/>
  <sheetViews>
    <sheetView workbookViewId="0">
      <selection activeCell="K14" sqref="K14"/>
    </sheetView>
  </sheetViews>
  <sheetFormatPr baseColWidth="10" defaultRowHeight="12.75" x14ac:dyDescent="0.2"/>
  <cols>
    <col min="1" max="1" width="28.42578125" customWidth="1"/>
  </cols>
  <sheetData>
    <row r="3" spans="1:13" ht="15.75" x14ac:dyDescent="0.25">
      <c r="A3" s="8"/>
      <c r="B3" s="15">
        <v>45658</v>
      </c>
      <c r="C3" s="15">
        <v>45689</v>
      </c>
      <c r="D3" s="15">
        <v>45717</v>
      </c>
      <c r="E3" s="15">
        <v>45748</v>
      </c>
      <c r="F3" s="15">
        <v>45778</v>
      </c>
      <c r="G3" s="15">
        <v>45809</v>
      </c>
      <c r="H3" s="15">
        <v>45839</v>
      </c>
      <c r="I3" s="15">
        <v>45870</v>
      </c>
      <c r="J3" s="15">
        <v>45901</v>
      </c>
      <c r="K3" s="15">
        <v>45931</v>
      </c>
      <c r="L3" s="15">
        <v>45962</v>
      </c>
      <c r="M3" s="15">
        <v>45992</v>
      </c>
    </row>
    <row r="4" spans="1:13" x14ac:dyDescent="0.2">
      <c r="A4" s="65" t="s">
        <v>110</v>
      </c>
      <c r="B4" s="69"/>
      <c r="C4" s="69">
        <f t="shared" ref="C4:K4" si="0">B15</f>
        <v>0</v>
      </c>
      <c r="D4" s="69">
        <f t="shared" si="0"/>
        <v>0</v>
      </c>
      <c r="E4" s="69">
        <f t="shared" si="0"/>
        <v>0</v>
      </c>
      <c r="F4" s="69">
        <f t="shared" si="0"/>
        <v>0</v>
      </c>
      <c r="G4" s="69">
        <f t="shared" si="0"/>
        <v>0</v>
      </c>
      <c r="H4" s="69">
        <f t="shared" si="0"/>
        <v>0</v>
      </c>
      <c r="I4" s="69">
        <f t="shared" si="0"/>
        <v>0</v>
      </c>
      <c r="J4" s="69">
        <f t="shared" si="0"/>
        <v>0</v>
      </c>
      <c r="K4" s="69">
        <f t="shared" si="0"/>
        <v>0</v>
      </c>
      <c r="L4" s="69"/>
      <c r="M4" s="69">
        <f>L15</f>
        <v>0</v>
      </c>
    </row>
    <row r="5" spans="1:13" x14ac:dyDescent="0.2">
      <c r="A5" s="65" t="s">
        <v>2</v>
      </c>
      <c r="B5" s="69"/>
      <c r="C5" s="69"/>
      <c r="D5" s="69">
        <v>0</v>
      </c>
      <c r="E5" s="69"/>
      <c r="F5" s="69"/>
      <c r="G5" s="69"/>
      <c r="H5" s="69"/>
      <c r="I5" s="69"/>
      <c r="J5" s="69"/>
      <c r="K5" s="69"/>
      <c r="L5" s="69"/>
      <c r="M5" s="69"/>
    </row>
    <row r="6" spans="1:13" x14ac:dyDescent="0.2">
      <c r="A6" s="65" t="s">
        <v>3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520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73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133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5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6</v>
      </c>
      <c r="B13" s="70">
        <f>SUM(B4:B12)</f>
        <v>0</v>
      </c>
      <c r="C13" s="70">
        <f t="shared" ref="C13:M13" si="1">SUM(C4:C12)</f>
        <v>0</v>
      </c>
      <c r="D13" s="70">
        <f t="shared" si="1"/>
        <v>0</v>
      </c>
      <c r="E13" s="70">
        <f t="shared" si="1"/>
        <v>0</v>
      </c>
      <c r="F13" s="70">
        <f t="shared" si="1"/>
        <v>0</v>
      </c>
      <c r="G13" s="70">
        <f t="shared" si="1"/>
        <v>0</v>
      </c>
      <c r="H13" s="70">
        <f t="shared" si="1"/>
        <v>0</v>
      </c>
      <c r="I13" s="70">
        <f t="shared" si="1"/>
        <v>0</v>
      </c>
      <c r="J13" s="70">
        <f t="shared" si="1"/>
        <v>0</v>
      </c>
      <c r="K13" s="70">
        <f t="shared" si="1"/>
        <v>0</v>
      </c>
      <c r="L13" s="70">
        <f t="shared" si="1"/>
        <v>0</v>
      </c>
      <c r="M13" s="70">
        <f t="shared" si="1"/>
        <v>0</v>
      </c>
    </row>
    <row r="14" spans="1:13" x14ac:dyDescent="0.2">
      <c r="A14" s="65" t="s">
        <v>7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13" x14ac:dyDescent="0.2">
      <c r="A15" s="65" t="s">
        <v>111</v>
      </c>
      <c r="B15" s="70">
        <f>B13-B14</f>
        <v>0</v>
      </c>
      <c r="C15" s="70">
        <f>C13-C14</f>
        <v>0</v>
      </c>
      <c r="D15" s="70">
        <f t="shared" ref="D15:M15" si="2">D13-D14</f>
        <v>0</v>
      </c>
      <c r="E15" s="70">
        <f t="shared" si="2"/>
        <v>0</v>
      </c>
      <c r="F15" s="70">
        <f t="shared" si="2"/>
        <v>0</v>
      </c>
      <c r="G15" s="70">
        <f t="shared" si="2"/>
        <v>0</v>
      </c>
      <c r="H15" s="70">
        <f t="shared" si="2"/>
        <v>0</v>
      </c>
      <c r="I15" s="70">
        <f t="shared" si="2"/>
        <v>0</v>
      </c>
      <c r="J15" s="70">
        <f t="shared" si="2"/>
        <v>0</v>
      </c>
      <c r="K15" s="70">
        <f t="shared" si="2"/>
        <v>0</v>
      </c>
      <c r="L15" s="70">
        <f t="shared" si="2"/>
        <v>0</v>
      </c>
      <c r="M15" s="70">
        <f t="shared" si="2"/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0"/>
  <dimension ref="A4:M43"/>
  <sheetViews>
    <sheetView topLeftCell="A7" workbookViewId="0">
      <selection activeCell="C17" sqref="C17"/>
    </sheetView>
  </sheetViews>
  <sheetFormatPr baseColWidth="10" defaultRowHeight="12.75" x14ac:dyDescent="0.2"/>
  <cols>
    <col min="1" max="1" width="32.140625" customWidth="1"/>
  </cols>
  <sheetData>
    <row r="4" spans="1:13" ht="20.25" x14ac:dyDescent="0.3">
      <c r="A4" s="11" t="s">
        <v>11</v>
      </c>
      <c r="B4" s="216" t="s">
        <v>583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31" t="s">
        <v>0</v>
      </c>
      <c r="B6" s="31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75" x14ac:dyDescent="0.25">
      <c r="A7" s="8"/>
      <c r="B7" s="15">
        <v>45292</v>
      </c>
      <c r="C7" s="15">
        <v>45323</v>
      </c>
      <c r="D7" s="15">
        <v>45352</v>
      </c>
      <c r="E7" s="15">
        <v>45383</v>
      </c>
      <c r="F7" s="15">
        <v>45413</v>
      </c>
      <c r="G7" s="15">
        <v>45444</v>
      </c>
      <c r="H7" s="15">
        <v>45474</v>
      </c>
      <c r="I7" s="15">
        <v>45505</v>
      </c>
      <c r="J7" s="15">
        <v>45536</v>
      </c>
      <c r="K7" s="15">
        <v>45566</v>
      </c>
      <c r="L7" s="15">
        <v>45597</v>
      </c>
      <c r="M7" s="15">
        <v>45627</v>
      </c>
    </row>
    <row r="8" spans="1:13" x14ac:dyDescent="0.2">
      <c r="A8" s="65" t="s">
        <v>110</v>
      </c>
      <c r="B8" s="69">
        <v>55400</v>
      </c>
      <c r="C8" s="69">
        <f>B19</f>
        <v>117387</v>
      </c>
      <c r="D8" s="69">
        <f t="shared" ref="D8:M8" si="0">C19</f>
        <v>180387</v>
      </c>
      <c r="E8" s="69">
        <f t="shared" si="0"/>
        <v>180387</v>
      </c>
      <c r="F8" s="69">
        <f t="shared" si="0"/>
        <v>180387</v>
      </c>
      <c r="G8" s="69">
        <f t="shared" si="0"/>
        <v>180387</v>
      </c>
      <c r="H8" s="69">
        <f t="shared" si="0"/>
        <v>180387</v>
      </c>
      <c r="I8" s="69">
        <f t="shared" si="0"/>
        <v>180387</v>
      </c>
      <c r="J8" s="69">
        <f t="shared" si="0"/>
        <v>180387</v>
      </c>
      <c r="K8" s="69">
        <f>J19</f>
        <v>180387</v>
      </c>
      <c r="L8" s="69">
        <f>K19</f>
        <v>180387</v>
      </c>
      <c r="M8" s="69">
        <f t="shared" si="0"/>
        <v>180387</v>
      </c>
    </row>
    <row r="9" spans="1:13" x14ac:dyDescent="0.2">
      <c r="A9" s="65" t="s">
        <v>306</v>
      </c>
      <c r="B9" s="69">
        <v>41987</v>
      </c>
      <c r="C9" s="69">
        <v>43000</v>
      </c>
      <c r="D9" s="69">
        <v>0</v>
      </c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307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9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73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74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133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5</v>
      </c>
      <c r="B16" s="69">
        <v>20000</v>
      </c>
      <c r="C16" s="69">
        <v>20000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13" x14ac:dyDescent="0.2">
      <c r="A17" s="65" t="s">
        <v>6</v>
      </c>
      <c r="B17" s="70">
        <f>SUM(B8:B16)</f>
        <v>117387</v>
      </c>
      <c r="C17" s="70">
        <f t="shared" ref="C17:M17" si="1">SUM(C8:C16)</f>
        <v>180387</v>
      </c>
      <c r="D17" s="70">
        <f t="shared" si="1"/>
        <v>180387</v>
      </c>
      <c r="E17" s="70">
        <f t="shared" si="1"/>
        <v>180387</v>
      </c>
      <c r="F17" s="70">
        <f t="shared" si="1"/>
        <v>180387</v>
      </c>
      <c r="G17" s="70">
        <f t="shared" si="1"/>
        <v>180387</v>
      </c>
      <c r="H17" s="70">
        <f t="shared" si="1"/>
        <v>180387</v>
      </c>
      <c r="I17" s="70">
        <f t="shared" si="1"/>
        <v>180387</v>
      </c>
      <c r="J17" s="70">
        <f t="shared" si="1"/>
        <v>180387</v>
      </c>
      <c r="K17" s="70">
        <f t="shared" si="1"/>
        <v>180387</v>
      </c>
      <c r="L17" s="70">
        <f t="shared" si="1"/>
        <v>180387</v>
      </c>
      <c r="M17" s="70">
        <f t="shared" si="1"/>
        <v>180387</v>
      </c>
    </row>
    <row r="18" spans="1:13" x14ac:dyDescent="0.2">
      <c r="A18" s="65" t="s">
        <v>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</row>
    <row r="19" spans="1:13" x14ac:dyDescent="0.2">
      <c r="A19" s="65" t="s">
        <v>111</v>
      </c>
      <c r="B19" s="70">
        <f>B17-B18</f>
        <v>117387</v>
      </c>
      <c r="C19" s="70">
        <f>C17-C18</f>
        <v>180387</v>
      </c>
      <c r="D19" s="70">
        <f t="shared" ref="D19:M19" si="2">D17-D18</f>
        <v>180387</v>
      </c>
      <c r="E19" s="70">
        <f t="shared" si="2"/>
        <v>180387</v>
      </c>
      <c r="F19" s="70">
        <f t="shared" si="2"/>
        <v>180387</v>
      </c>
      <c r="G19" s="70">
        <f t="shared" si="2"/>
        <v>180387</v>
      </c>
      <c r="H19" s="70">
        <f t="shared" si="2"/>
        <v>180387</v>
      </c>
      <c r="I19" s="70">
        <f t="shared" si="2"/>
        <v>180387</v>
      </c>
      <c r="J19" s="70">
        <f t="shared" si="2"/>
        <v>180387</v>
      </c>
      <c r="K19" s="70">
        <f t="shared" si="2"/>
        <v>180387</v>
      </c>
      <c r="L19" s="70">
        <f t="shared" si="2"/>
        <v>180387</v>
      </c>
      <c r="M19" s="70">
        <f t="shared" si="2"/>
        <v>180387</v>
      </c>
    </row>
    <row r="20" spans="1:13" x14ac:dyDescent="0.2">
      <c r="H20" s="128">
        <v>44781</v>
      </c>
    </row>
    <row r="22" spans="1:13" ht="15.75" x14ac:dyDescent="0.25">
      <c r="A22" s="8"/>
      <c r="B22" s="15">
        <v>44927</v>
      </c>
      <c r="C22" s="15">
        <v>44958</v>
      </c>
      <c r="D22" s="15">
        <v>44986</v>
      </c>
      <c r="E22" s="15">
        <v>45017</v>
      </c>
      <c r="F22" s="15">
        <v>45047</v>
      </c>
      <c r="G22" s="15">
        <v>45078</v>
      </c>
      <c r="H22" s="15">
        <v>45108</v>
      </c>
      <c r="I22" s="15">
        <v>45139</v>
      </c>
      <c r="J22" s="15">
        <v>45170</v>
      </c>
      <c r="K22" s="15">
        <v>45200</v>
      </c>
      <c r="L22" s="15">
        <v>45231</v>
      </c>
      <c r="M22" s="15">
        <v>45261</v>
      </c>
    </row>
    <row r="23" spans="1:13" x14ac:dyDescent="0.2">
      <c r="A23" s="65" t="s">
        <v>110</v>
      </c>
      <c r="B23" s="69"/>
      <c r="C23" s="69">
        <f t="shared" ref="C23:L23" si="3">B34</f>
        <v>0</v>
      </c>
      <c r="D23" s="69">
        <f t="shared" si="3"/>
        <v>0</v>
      </c>
      <c r="E23" s="69">
        <f t="shared" si="3"/>
        <v>0</v>
      </c>
      <c r="F23" s="69">
        <f t="shared" si="3"/>
        <v>0</v>
      </c>
      <c r="G23" s="69">
        <f t="shared" si="3"/>
        <v>0</v>
      </c>
      <c r="H23" s="69">
        <f t="shared" si="3"/>
        <v>29900</v>
      </c>
      <c r="I23" s="69">
        <f t="shared" si="3"/>
        <v>59800</v>
      </c>
      <c r="J23" s="69">
        <f t="shared" si="3"/>
        <v>9700</v>
      </c>
      <c r="K23" s="69">
        <f t="shared" si="3"/>
        <v>39600</v>
      </c>
      <c r="L23" s="69">
        <f t="shared" si="3"/>
        <v>54200</v>
      </c>
      <c r="M23" s="69">
        <f>L34</f>
        <v>78800</v>
      </c>
    </row>
    <row r="24" spans="1:13" x14ac:dyDescent="0.2">
      <c r="A24" s="65" t="s">
        <v>2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307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73</v>
      </c>
      <c r="B28" s="69"/>
      <c r="C28" s="69"/>
      <c r="D28" s="69"/>
      <c r="E28" s="69">
        <v>16600</v>
      </c>
      <c r="F28" s="69">
        <v>16600</v>
      </c>
      <c r="G28" s="69">
        <v>16600</v>
      </c>
      <c r="H28" s="69">
        <v>16600</v>
      </c>
      <c r="I28" s="69">
        <v>16600</v>
      </c>
      <c r="J28" s="69">
        <v>16600</v>
      </c>
      <c r="K28" s="69">
        <v>16600</v>
      </c>
      <c r="L28" s="69">
        <v>16600</v>
      </c>
      <c r="M28" s="69">
        <v>16600</v>
      </c>
    </row>
    <row r="29" spans="1:13" x14ac:dyDescent="0.2">
      <c r="A29" s="65" t="s">
        <v>592</v>
      </c>
      <c r="B29" s="69">
        <v>7300</v>
      </c>
      <c r="C29" s="69">
        <v>7300</v>
      </c>
      <c r="D29" s="69">
        <v>5300</v>
      </c>
      <c r="E29" s="69">
        <v>5300</v>
      </c>
      <c r="F29" s="69">
        <v>5300</v>
      </c>
      <c r="G29" s="69">
        <v>5300</v>
      </c>
      <c r="H29" s="69">
        <v>5300</v>
      </c>
      <c r="I29" s="69">
        <v>5300</v>
      </c>
      <c r="J29" s="69">
        <v>5300</v>
      </c>
      <c r="K29" s="69"/>
      <c r="L29" s="69"/>
      <c r="M29" s="69"/>
    </row>
    <row r="30" spans="1:13" x14ac:dyDescent="0.2">
      <c r="A30" s="65" t="s">
        <v>133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5</v>
      </c>
      <c r="B31" s="69">
        <v>4000</v>
      </c>
      <c r="C31" s="69">
        <v>5000</v>
      </c>
      <c r="D31" s="69">
        <v>7000</v>
      </c>
      <c r="E31" s="69">
        <v>7000</v>
      </c>
      <c r="F31" s="69">
        <v>8000</v>
      </c>
      <c r="G31" s="69">
        <v>8000</v>
      </c>
      <c r="H31" s="69">
        <v>8000</v>
      </c>
      <c r="I31" s="69">
        <v>8000</v>
      </c>
      <c r="J31" s="69">
        <v>8000</v>
      </c>
      <c r="K31" s="69">
        <v>8000</v>
      </c>
      <c r="L31" s="69">
        <v>8000</v>
      </c>
      <c r="M31" s="69">
        <v>10000</v>
      </c>
    </row>
    <row r="32" spans="1:13" x14ac:dyDescent="0.2">
      <c r="A32" s="65" t="s">
        <v>6</v>
      </c>
      <c r="B32" s="70">
        <f>SUM(B23:B31)</f>
        <v>11300</v>
      </c>
      <c r="C32" s="70">
        <f t="shared" ref="C32:M32" si="4">SUM(C23:C31)</f>
        <v>12300</v>
      </c>
      <c r="D32" s="70">
        <f t="shared" si="4"/>
        <v>12300</v>
      </c>
      <c r="E32" s="70">
        <f t="shared" si="4"/>
        <v>28900</v>
      </c>
      <c r="F32" s="70">
        <v>29800</v>
      </c>
      <c r="G32" s="70">
        <f t="shared" si="4"/>
        <v>29900</v>
      </c>
      <c r="H32" s="70">
        <f t="shared" si="4"/>
        <v>59800</v>
      </c>
      <c r="I32" s="70">
        <f t="shared" si="4"/>
        <v>89700</v>
      </c>
      <c r="J32" s="70">
        <f t="shared" si="4"/>
        <v>39600</v>
      </c>
      <c r="K32" s="70">
        <f t="shared" si="4"/>
        <v>64200</v>
      </c>
      <c r="L32" s="70">
        <f t="shared" si="4"/>
        <v>78800</v>
      </c>
      <c r="M32" s="70">
        <f t="shared" si="4"/>
        <v>105400</v>
      </c>
    </row>
    <row r="33" spans="1:13" x14ac:dyDescent="0.2">
      <c r="A33" s="65" t="s">
        <v>7</v>
      </c>
      <c r="B33" s="71">
        <v>11300</v>
      </c>
      <c r="C33" s="71">
        <v>12300</v>
      </c>
      <c r="D33" s="71">
        <f>12300</f>
        <v>12300</v>
      </c>
      <c r="E33" s="71">
        <f>10000+2300+16600</f>
        <v>28900</v>
      </c>
      <c r="F33" s="71">
        <v>29800</v>
      </c>
      <c r="G33" s="71"/>
      <c r="H33" s="71"/>
      <c r="I33" s="71">
        <f>50000+30000</f>
        <v>80000</v>
      </c>
      <c r="J33" s="71"/>
      <c r="K33" s="71">
        <v>10000</v>
      </c>
      <c r="L33" s="71"/>
      <c r="M33" s="71">
        <v>50000</v>
      </c>
    </row>
    <row r="34" spans="1:13" x14ac:dyDescent="0.2">
      <c r="A34" s="65" t="s">
        <v>111</v>
      </c>
      <c r="B34" s="70">
        <f>B32-B33</f>
        <v>0</v>
      </c>
      <c r="C34" s="70">
        <f>C32-C33</f>
        <v>0</v>
      </c>
      <c r="D34" s="70">
        <f t="shared" ref="D34:M34" si="5">D32-D33</f>
        <v>0</v>
      </c>
      <c r="E34" s="70">
        <f t="shared" si="5"/>
        <v>0</v>
      </c>
      <c r="F34" s="70">
        <f t="shared" si="5"/>
        <v>0</v>
      </c>
      <c r="G34" s="70">
        <f t="shared" si="5"/>
        <v>29900</v>
      </c>
      <c r="H34" s="70">
        <f t="shared" si="5"/>
        <v>59800</v>
      </c>
      <c r="I34" s="70">
        <f t="shared" si="5"/>
        <v>9700</v>
      </c>
      <c r="J34" s="70">
        <f t="shared" si="5"/>
        <v>39600</v>
      </c>
      <c r="K34" s="70">
        <f t="shared" si="5"/>
        <v>54200</v>
      </c>
      <c r="L34" s="70">
        <f t="shared" si="5"/>
        <v>78800</v>
      </c>
      <c r="M34" s="70">
        <f t="shared" si="5"/>
        <v>55400</v>
      </c>
    </row>
    <row r="36" spans="1:13" x14ac:dyDescent="0.2">
      <c r="A36" s="193" t="s">
        <v>604</v>
      </c>
      <c r="B36" s="177">
        <v>15500</v>
      </c>
      <c r="C36" s="177">
        <f>16100+4000</f>
        <v>20100</v>
      </c>
      <c r="D36" s="177" t="s">
        <v>612</v>
      </c>
      <c r="E36" s="177"/>
      <c r="F36" s="177"/>
      <c r="G36" s="177"/>
      <c r="H36" s="177"/>
      <c r="I36" s="177"/>
      <c r="J36" s="177"/>
      <c r="K36" s="177"/>
      <c r="L36" s="177"/>
      <c r="M36" s="177"/>
    </row>
    <row r="37" spans="1:13" x14ac:dyDescent="0.2">
      <c r="A37" s="193" t="s">
        <v>603</v>
      </c>
      <c r="B37" s="177"/>
      <c r="C37" s="177">
        <f>3200+4000</f>
        <v>7200</v>
      </c>
      <c r="D37" s="177"/>
      <c r="E37" s="177"/>
      <c r="F37" s="177"/>
      <c r="G37" s="177"/>
      <c r="H37" s="177"/>
      <c r="I37" s="177"/>
      <c r="J37" s="177"/>
      <c r="K37" s="177"/>
      <c r="L37" s="177"/>
      <c r="M37" s="177"/>
    </row>
    <row r="38" spans="1:13" x14ac:dyDescent="0.2">
      <c r="A38" s="193" t="s">
        <v>605</v>
      </c>
      <c r="B38" s="177">
        <v>15500</v>
      </c>
      <c r="C38" s="177">
        <f>C36+C37</f>
        <v>27300</v>
      </c>
      <c r="D38" s="177"/>
      <c r="E38" s="177"/>
      <c r="F38" s="177"/>
      <c r="G38" s="177"/>
      <c r="H38" s="177"/>
      <c r="I38" s="177"/>
      <c r="J38" s="177"/>
      <c r="K38" s="177"/>
      <c r="L38" s="177"/>
      <c r="M38" s="177"/>
    </row>
    <row r="39" spans="1:13" x14ac:dyDescent="0.2">
      <c r="A39" s="193" t="s">
        <v>147</v>
      </c>
      <c r="C39" s="177">
        <v>3120</v>
      </c>
    </row>
    <row r="40" spans="1:13" x14ac:dyDescent="0.2">
      <c r="A40" s="193" t="s">
        <v>8</v>
      </c>
      <c r="C40" s="177">
        <f>C33+C36+C37-C39</f>
        <v>36480</v>
      </c>
    </row>
    <row r="41" spans="1:13" x14ac:dyDescent="0.2">
      <c r="C41">
        <f>8000</f>
        <v>8000</v>
      </c>
    </row>
    <row r="42" spans="1:13" x14ac:dyDescent="0.2">
      <c r="A42" s="193" t="s">
        <v>618</v>
      </c>
      <c r="C42" s="177">
        <f>C40-C41</f>
        <v>28480</v>
      </c>
    </row>
    <row r="43" spans="1:13" x14ac:dyDescent="0.2">
      <c r="A43" s="193" t="s">
        <v>619</v>
      </c>
    </row>
  </sheetData>
  <mergeCells count="1">
    <mergeCell ref="B4:G4"/>
  </mergeCells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1"/>
  <dimension ref="A1:M32"/>
  <sheetViews>
    <sheetView topLeftCell="A10" workbookViewId="0">
      <selection activeCell="M32" sqref="M32"/>
    </sheetView>
  </sheetViews>
  <sheetFormatPr baseColWidth="10" defaultRowHeight="12.75" x14ac:dyDescent="0.2"/>
  <cols>
    <col min="1" max="1" width="33.140625" customWidth="1"/>
    <col min="2" max="2" width="12.85546875" bestFit="1" customWidth="1"/>
    <col min="5" max="5" width="12.5703125" customWidth="1"/>
    <col min="6" max="6" width="13" customWidth="1"/>
    <col min="7" max="7" width="12.7109375" customWidth="1"/>
    <col min="8" max="8" width="13" customWidth="1"/>
    <col min="9" max="9" width="13.42578125" customWidth="1"/>
    <col min="10" max="10" width="12.7109375" customWidth="1"/>
    <col min="11" max="11" width="12.5703125" customWidth="1"/>
    <col min="12" max="12" width="13.140625" customWidth="1"/>
    <col min="13" max="13" width="13.42578125" customWidth="1"/>
  </cols>
  <sheetData>
    <row r="1" spans="1:13" x14ac:dyDescent="0.2">
      <c r="A1" s="50" t="s">
        <v>630</v>
      </c>
    </row>
    <row r="2" spans="1:13" x14ac:dyDescent="0.2">
      <c r="A2" s="50" t="s">
        <v>0</v>
      </c>
      <c r="B2" s="50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x14ac:dyDescent="0.2">
      <c r="A3" s="78"/>
      <c r="B3" s="79">
        <v>45292</v>
      </c>
      <c r="C3" s="79">
        <v>45323</v>
      </c>
      <c r="D3" s="79">
        <v>45352</v>
      </c>
      <c r="E3" s="79">
        <v>45383</v>
      </c>
      <c r="F3" s="79">
        <v>45413</v>
      </c>
      <c r="G3" s="79">
        <v>45444</v>
      </c>
      <c r="H3" s="79">
        <v>45474</v>
      </c>
      <c r="I3" s="79">
        <v>45505</v>
      </c>
      <c r="J3" s="79">
        <v>45536</v>
      </c>
      <c r="K3" s="79">
        <v>45566</v>
      </c>
      <c r="L3" s="79">
        <v>45597</v>
      </c>
      <c r="M3" s="79">
        <v>45627</v>
      </c>
    </row>
    <row r="4" spans="1:13" x14ac:dyDescent="0.2">
      <c r="A4" s="78" t="s">
        <v>110</v>
      </c>
      <c r="B4" s="42">
        <v>480000</v>
      </c>
      <c r="C4" s="42">
        <f t="shared" ref="C4:L4" si="0">B15</f>
        <v>560000</v>
      </c>
      <c r="D4" s="42">
        <f t="shared" si="0"/>
        <v>640000</v>
      </c>
      <c r="E4" s="42">
        <f t="shared" si="0"/>
        <v>0</v>
      </c>
      <c r="F4" s="42">
        <f t="shared" si="0"/>
        <v>90000</v>
      </c>
      <c r="G4" s="42">
        <f t="shared" si="0"/>
        <v>180000</v>
      </c>
      <c r="H4" s="42">
        <f t="shared" si="0"/>
        <v>270000</v>
      </c>
      <c r="I4" s="42">
        <f t="shared" si="0"/>
        <v>360000</v>
      </c>
      <c r="J4" s="42">
        <f t="shared" si="0"/>
        <v>450000</v>
      </c>
      <c r="K4" s="42">
        <f t="shared" si="0"/>
        <v>540000</v>
      </c>
      <c r="L4" s="42">
        <f t="shared" si="0"/>
        <v>-70000</v>
      </c>
      <c r="M4" s="42">
        <f>L15</f>
        <v>110000</v>
      </c>
    </row>
    <row r="5" spans="1:13" x14ac:dyDescent="0.2">
      <c r="A5" s="78" t="s">
        <v>76</v>
      </c>
      <c r="B5" s="42"/>
      <c r="C5" s="42"/>
      <c r="D5" s="42">
        <v>0</v>
      </c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293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133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80000</v>
      </c>
      <c r="C12" s="42">
        <v>80000</v>
      </c>
      <c r="D12" s="42">
        <v>80000</v>
      </c>
      <c r="E12" s="42">
        <v>90000</v>
      </c>
      <c r="F12" s="42">
        <v>90000</v>
      </c>
      <c r="G12" s="42">
        <v>90000</v>
      </c>
      <c r="H12" s="42">
        <v>90000</v>
      </c>
      <c r="I12" s="42">
        <v>90000</v>
      </c>
      <c r="J12" s="42">
        <v>90000</v>
      </c>
      <c r="K12" s="42">
        <v>90000</v>
      </c>
      <c r="L12" s="42">
        <v>180000</v>
      </c>
      <c r="M12" s="42">
        <v>180000</v>
      </c>
    </row>
    <row r="13" spans="1:13" x14ac:dyDescent="0.2">
      <c r="A13" s="78" t="s">
        <v>6</v>
      </c>
      <c r="B13" s="43">
        <f>SUM(B4:B12)</f>
        <v>560000</v>
      </c>
      <c r="C13" s="43">
        <f t="shared" ref="C13:M13" si="1">SUM(C4:C12)</f>
        <v>640000</v>
      </c>
      <c r="D13" s="43">
        <f t="shared" si="1"/>
        <v>720000</v>
      </c>
      <c r="E13" s="43">
        <f t="shared" si="1"/>
        <v>90000</v>
      </c>
      <c r="F13" s="43">
        <f t="shared" si="1"/>
        <v>180000</v>
      </c>
      <c r="G13" s="43">
        <f t="shared" si="1"/>
        <v>270000</v>
      </c>
      <c r="H13" s="43">
        <f>SUM(H4:H12)</f>
        <v>360000</v>
      </c>
      <c r="I13" s="43">
        <f t="shared" si="1"/>
        <v>450000</v>
      </c>
      <c r="J13" s="43">
        <f t="shared" si="1"/>
        <v>540000</v>
      </c>
      <c r="K13" s="43">
        <f t="shared" si="1"/>
        <v>630000</v>
      </c>
      <c r="L13" s="43">
        <f t="shared" si="1"/>
        <v>110000</v>
      </c>
      <c r="M13" s="43">
        <f t="shared" si="1"/>
        <v>290000</v>
      </c>
    </row>
    <row r="14" spans="1:13" x14ac:dyDescent="0.2">
      <c r="A14" s="78" t="s">
        <v>7</v>
      </c>
      <c r="B14" s="44"/>
      <c r="C14" s="44"/>
      <c r="D14" s="44">
        <f>350000+370000</f>
        <v>720000</v>
      </c>
      <c r="E14" s="44"/>
      <c r="F14" s="44"/>
      <c r="G14" s="44"/>
      <c r="H14" s="44"/>
      <c r="I14" s="44"/>
      <c r="J14" s="44"/>
      <c r="K14" s="44">
        <f>500000+200000</f>
        <v>700000</v>
      </c>
      <c r="L14" s="44"/>
      <c r="M14" s="44"/>
    </row>
    <row r="15" spans="1:13" x14ac:dyDescent="0.2">
      <c r="A15" s="78" t="s">
        <v>111</v>
      </c>
      <c r="B15" s="43">
        <f>B13-B14</f>
        <v>560000</v>
      </c>
      <c r="C15" s="43">
        <f>C13-C14</f>
        <v>640000</v>
      </c>
      <c r="D15" s="43">
        <f t="shared" ref="D15:M15" si="2">D13-D14</f>
        <v>0</v>
      </c>
      <c r="E15" s="43">
        <f t="shared" si="2"/>
        <v>90000</v>
      </c>
      <c r="F15" s="43">
        <f t="shared" si="2"/>
        <v>180000</v>
      </c>
      <c r="G15" s="43">
        <f t="shared" si="2"/>
        <v>270000</v>
      </c>
      <c r="H15" s="43">
        <f t="shared" si="2"/>
        <v>360000</v>
      </c>
      <c r="I15" s="43">
        <f t="shared" si="2"/>
        <v>450000</v>
      </c>
      <c r="J15" s="43">
        <f t="shared" si="2"/>
        <v>540000</v>
      </c>
      <c r="K15" s="43">
        <f t="shared" si="2"/>
        <v>-70000</v>
      </c>
      <c r="L15" s="43">
        <f t="shared" si="2"/>
        <v>110000</v>
      </c>
      <c r="M15" s="43">
        <f t="shared" si="2"/>
        <v>290000</v>
      </c>
    </row>
    <row r="19" spans="1:13" x14ac:dyDescent="0.2">
      <c r="A19" s="50" t="s">
        <v>0</v>
      </c>
      <c r="B19" s="50" t="s">
        <v>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9">
        <v>45658</v>
      </c>
      <c r="C20" s="79">
        <v>45689</v>
      </c>
      <c r="D20" s="79">
        <v>45717</v>
      </c>
      <c r="E20" s="79">
        <v>45748</v>
      </c>
      <c r="F20" s="79">
        <v>45778</v>
      </c>
      <c r="G20" s="79">
        <v>45809</v>
      </c>
      <c r="H20" s="79">
        <v>45839</v>
      </c>
      <c r="I20" s="79">
        <v>45870</v>
      </c>
      <c r="J20" s="79">
        <v>45901</v>
      </c>
      <c r="K20" s="79">
        <v>45931</v>
      </c>
      <c r="L20" s="79">
        <v>45962</v>
      </c>
      <c r="M20" s="79">
        <v>45992</v>
      </c>
    </row>
    <row r="21" spans="1:13" x14ac:dyDescent="0.2">
      <c r="A21" s="78" t="s">
        <v>110</v>
      </c>
      <c r="B21" s="42">
        <v>290000</v>
      </c>
      <c r="C21" s="42">
        <f t="shared" ref="C21:M21" si="3">B32</f>
        <v>470000</v>
      </c>
      <c r="D21" s="42">
        <f t="shared" si="3"/>
        <v>650000</v>
      </c>
      <c r="E21" s="42">
        <f t="shared" si="3"/>
        <v>830000</v>
      </c>
      <c r="F21" s="42">
        <f t="shared" si="3"/>
        <v>1010000</v>
      </c>
      <c r="G21" s="42">
        <f t="shared" si="3"/>
        <v>1190000</v>
      </c>
      <c r="H21" s="42">
        <f t="shared" si="3"/>
        <v>1370000</v>
      </c>
      <c r="I21" s="42">
        <f t="shared" si="3"/>
        <v>1550000</v>
      </c>
      <c r="J21" s="42">
        <f t="shared" si="3"/>
        <v>1740000</v>
      </c>
      <c r="K21" s="42">
        <f t="shared" si="3"/>
        <v>1930000</v>
      </c>
      <c r="L21" s="42">
        <f t="shared" si="3"/>
        <v>2120000</v>
      </c>
      <c r="M21" s="42">
        <f t="shared" si="3"/>
        <v>2310000</v>
      </c>
    </row>
    <row r="22" spans="1:13" x14ac:dyDescent="0.2">
      <c r="A22" s="78" t="s">
        <v>76</v>
      </c>
      <c r="B22" s="42"/>
      <c r="C22" s="42"/>
      <c r="D22" s="42">
        <v>0</v>
      </c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293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133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180000</v>
      </c>
      <c r="C29" s="42">
        <v>180000</v>
      </c>
      <c r="D29" s="42">
        <v>180000</v>
      </c>
      <c r="E29" s="42">
        <v>180000</v>
      </c>
      <c r="F29" s="42">
        <v>180000</v>
      </c>
      <c r="G29" s="42">
        <v>180000</v>
      </c>
      <c r="H29" s="42">
        <v>180000</v>
      </c>
      <c r="I29" s="42">
        <v>190000</v>
      </c>
      <c r="J29" s="42">
        <v>190000</v>
      </c>
      <c r="K29" s="42">
        <v>190000</v>
      </c>
      <c r="L29" s="42">
        <v>190000</v>
      </c>
      <c r="M29" s="42">
        <v>190000</v>
      </c>
    </row>
    <row r="30" spans="1:13" x14ac:dyDescent="0.2">
      <c r="A30" s="78" t="s">
        <v>6</v>
      </c>
      <c r="B30" s="43">
        <f t="shared" ref="B30:G30" si="4">SUM(B21:B29)</f>
        <v>470000</v>
      </c>
      <c r="C30" s="43">
        <f t="shared" si="4"/>
        <v>650000</v>
      </c>
      <c r="D30" s="43">
        <f t="shared" si="4"/>
        <v>830000</v>
      </c>
      <c r="E30" s="43">
        <f t="shared" si="4"/>
        <v>1010000</v>
      </c>
      <c r="F30" s="43">
        <f t="shared" si="4"/>
        <v>1190000</v>
      </c>
      <c r="G30" s="43">
        <f t="shared" si="4"/>
        <v>1370000</v>
      </c>
      <c r="H30" s="43">
        <f t="shared" ref="H30:M30" si="5">SUM(H21:H29)</f>
        <v>1550000</v>
      </c>
      <c r="I30" s="43">
        <f t="shared" si="5"/>
        <v>1740000</v>
      </c>
      <c r="J30" s="43">
        <f t="shared" si="5"/>
        <v>1930000</v>
      </c>
      <c r="K30" s="43">
        <f t="shared" si="5"/>
        <v>2120000</v>
      </c>
      <c r="L30" s="43">
        <f t="shared" si="5"/>
        <v>2310000</v>
      </c>
      <c r="M30" s="43">
        <f t="shared" si="5"/>
        <v>2500000</v>
      </c>
    </row>
    <row r="31" spans="1:13" x14ac:dyDescent="0.2">
      <c r="A31" s="78" t="s">
        <v>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>
        <v>2500000</v>
      </c>
    </row>
    <row r="32" spans="1:13" x14ac:dyDescent="0.2">
      <c r="A32" s="78" t="s">
        <v>111</v>
      </c>
      <c r="B32" s="43">
        <f>B30-B31</f>
        <v>470000</v>
      </c>
      <c r="C32" s="43">
        <f>C30-C31</f>
        <v>650000</v>
      </c>
      <c r="D32" s="43">
        <f t="shared" ref="D32:M32" si="6">D30-D31</f>
        <v>830000</v>
      </c>
      <c r="E32" s="43">
        <f t="shared" si="6"/>
        <v>1010000</v>
      </c>
      <c r="F32" s="43">
        <f t="shared" si="6"/>
        <v>1190000</v>
      </c>
      <c r="G32" s="43">
        <f t="shared" si="6"/>
        <v>1370000</v>
      </c>
      <c r="H32" s="43">
        <f t="shared" si="6"/>
        <v>1550000</v>
      </c>
      <c r="I32" s="43">
        <f t="shared" si="6"/>
        <v>1740000</v>
      </c>
      <c r="J32" s="43">
        <f t="shared" si="6"/>
        <v>1930000</v>
      </c>
      <c r="K32" s="43">
        <f t="shared" si="6"/>
        <v>2120000</v>
      </c>
      <c r="L32" s="43">
        <f t="shared" si="6"/>
        <v>2310000</v>
      </c>
      <c r="M32" s="43">
        <f t="shared" si="6"/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2"/>
  <dimension ref="A3:M34"/>
  <sheetViews>
    <sheetView topLeftCell="A13" workbookViewId="0">
      <selection activeCell="F33" sqref="F33"/>
    </sheetView>
  </sheetViews>
  <sheetFormatPr baseColWidth="10" defaultRowHeight="12.75" x14ac:dyDescent="0.2"/>
  <cols>
    <col min="1" max="1" width="31.85546875" customWidth="1"/>
    <col min="6" max="6" width="12.85546875" bestFit="1" customWidth="1"/>
    <col min="7" max="7" width="12.5703125" bestFit="1" customWidth="1"/>
    <col min="9" max="9" width="11.85546875" customWidth="1"/>
    <col min="12" max="12" width="12.85546875" bestFit="1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8"/>
      <c r="B4" s="79">
        <v>45658</v>
      </c>
      <c r="C4" s="79">
        <v>45689</v>
      </c>
      <c r="D4" s="79">
        <v>45717</v>
      </c>
      <c r="E4" s="79">
        <v>45748</v>
      </c>
      <c r="F4" s="79">
        <v>45778</v>
      </c>
      <c r="G4" s="79">
        <v>45809</v>
      </c>
      <c r="H4" s="79">
        <v>45839</v>
      </c>
      <c r="I4" s="79">
        <v>45870</v>
      </c>
      <c r="J4" s="79">
        <v>45901</v>
      </c>
      <c r="K4" s="79">
        <v>45931</v>
      </c>
      <c r="L4" s="79">
        <v>45962</v>
      </c>
      <c r="M4" s="79">
        <v>45992</v>
      </c>
    </row>
    <row r="5" spans="1:13" x14ac:dyDescent="0.2">
      <c r="A5" s="78" t="s">
        <v>110</v>
      </c>
      <c r="B5" s="42"/>
      <c r="C5" s="42">
        <f>B16</f>
        <v>0</v>
      </c>
      <c r="D5" s="42">
        <f t="shared" ref="D5:M5" si="0">C16</f>
        <v>0</v>
      </c>
      <c r="E5" s="42">
        <f t="shared" si="0"/>
        <v>0</v>
      </c>
      <c r="F5" s="42">
        <f t="shared" si="0"/>
        <v>0</v>
      </c>
      <c r="G5" s="42">
        <f t="shared" si="0"/>
        <v>-14000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>J16</f>
        <v>0</v>
      </c>
      <c r="L5" s="42">
        <f>K16</f>
        <v>0</v>
      </c>
      <c r="M5" s="42">
        <f t="shared" si="0"/>
        <v>5000</v>
      </c>
    </row>
    <row r="6" spans="1:13" x14ac:dyDescent="0.2">
      <c r="A6" s="78" t="s">
        <v>76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>
        <v>261000</v>
      </c>
      <c r="C7" s="42">
        <v>191000</v>
      </c>
      <c r="D7" s="42">
        <v>135000</v>
      </c>
      <c r="E7" s="42">
        <v>180000</v>
      </c>
      <c r="F7" s="42">
        <v>261000</v>
      </c>
      <c r="G7" s="42">
        <v>195000</v>
      </c>
      <c r="H7" s="42">
        <v>197400</v>
      </c>
      <c r="I7" s="42">
        <v>160000</v>
      </c>
      <c r="J7" s="42">
        <v>167500</v>
      </c>
      <c r="K7" s="42">
        <v>290000</v>
      </c>
      <c r="L7" s="42">
        <v>275000</v>
      </c>
      <c r="M7" s="42">
        <v>246000</v>
      </c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>
        <v>287000</v>
      </c>
      <c r="I10" s="42">
        <v>53350</v>
      </c>
      <c r="J10" s="42">
        <f>10000+53350</f>
        <v>63350</v>
      </c>
      <c r="K10" s="42"/>
      <c r="L10" s="42"/>
      <c r="M10" s="42">
        <v>55000</v>
      </c>
    </row>
    <row r="11" spans="1:13" x14ac:dyDescent="0.2">
      <c r="A11" s="78" t="s">
        <v>293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133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70000</v>
      </c>
      <c r="C13" s="42">
        <v>75000</v>
      </c>
      <c r="D13" s="42">
        <v>80000</v>
      </c>
      <c r="E13" s="42">
        <v>80000</v>
      </c>
      <c r="F13" s="42">
        <v>85000</v>
      </c>
      <c r="G13" s="42">
        <v>90000</v>
      </c>
      <c r="H13" s="42">
        <v>90000</v>
      </c>
      <c r="I13" s="42">
        <v>100000</v>
      </c>
      <c r="J13" s="42">
        <v>100000</v>
      </c>
      <c r="K13" s="42">
        <v>100000</v>
      </c>
      <c r="L13" s="42">
        <v>120000</v>
      </c>
      <c r="M13" s="42">
        <v>120000</v>
      </c>
    </row>
    <row r="14" spans="1:13" x14ac:dyDescent="0.2">
      <c r="A14" s="78" t="s">
        <v>6</v>
      </c>
      <c r="B14" s="43">
        <f>SUM(B5:B13)</f>
        <v>331000</v>
      </c>
      <c r="C14" s="43">
        <f t="shared" ref="C14:M14" si="1">SUM(C5:C13)</f>
        <v>266000</v>
      </c>
      <c r="D14" s="43">
        <f t="shared" si="1"/>
        <v>215000</v>
      </c>
      <c r="E14" s="43">
        <f t="shared" si="1"/>
        <v>260000</v>
      </c>
      <c r="F14" s="43">
        <f t="shared" si="1"/>
        <v>346000</v>
      </c>
      <c r="G14" s="43">
        <f t="shared" si="1"/>
        <v>271000</v>
      </c>
      <c r="H14" s="43">
        <f t="shared" si="1"/>
        <v>574400</v>
      </c>
      <c r="I14" s="43">
        <f t="shared" si="1"/>
        <v>313350</v>
      </c>
      <c r="J14" s="43">
        <f t="shared" si="1"/>
        <v>330850</v>
      </c>
      <c r="K14" s="43">
        <f t="shared" si="1"/>
        <v>390000</v>
      </c>
      <c r="L14" s="43">
        <f t="shared" si="1"/>
        <v>395000</v>
      </c>
      <c r="M14" s="43">
        <f t="shared" si="1"/>
        <v>426000</v>
      </c>
    </row>
    <row r="15" spans="1:13" x14ac:dyDescent="0.2">
      <c r="A15" s="78" t="s">
        <v>7</v>
      </c>
      <c r="B15" s="44">
        <v>331000</v>
      </c>
      <c r="C15" s="44">
        <v>266000</v>
      </c>
      <c r="D15" s="44">
        <v>215000</v>
      </c>
      <c r="E15" s="44">
        <v>260000</v>
      </c>
      <c r="F15" s="44">
        <v>360000</v>
      </c>
      <c r="G15" s="44">
        <v>271000</v>
      </c>
      <c r="H15" s="44">
        <v>574400</v>
      </c>
      <c r="I15" s="44">
        <v>313350</v>
      </c>
      <c r="J15" s="44">
        <v>330850</v>
      </c>
      <c r="K15" s="44">
        <v>390000</v>
      </c>
      <c r="L15" s="44">
        <v>390000</v>
      </c>
      <c r="M15" s="44">
        <v>426000</v>
      </c>
    </row>
    <row r="16" spans="1:13" x14ac:dyDescent="0.2">
      <c r="A16" s="78" t="s">
        <v>111</v>
      </c>
      <c r="B16" s="43">
        <f>B14-B15</f>
        <v>0</v>
      </c>
      <c r="C16" s="43">
        <f>C14-C15</f>
        <v>0</v>
      </c>
      <c r="D16" s="43">
        <f t="shared" ref="D16:M16" si="2">D14-D15</f>
        <v>0</v>
      </c>
      <c r="E16" s="43">
        <f t="shared" si="2"/>
        <v>0</v>
      </c>
      <c r="F16" s="43">
        <f>F14-F15</f>
        <v>-14000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5000</v>
      </c>
      <c r="M16" s="43">
        <f t="shared" si="2"/>
        <v>0</v>
      </c>
    </row>
    <row r="17" spans="1:13" x14ac:dyDescent="0.2">
      <c r="B17" s="128">
        <v>45695</v>
      </c>
      <c r="F17" s="128">
        <v>45814</v>
      </c>
    </row>
    <row r="18" spans="1:13" x14ac:dyDescent="0.2">
      <c r="F18">
        <f>17*2</f>
        <v>34</v>
      </c>
    </row>
    <row r="20" spans="1:13" ht="15.75" x14ac:dyDescent="0.25">
      <c r="A20" s="31" t="s">
        <v>0</v>
      </c>
      <c r="B20" s="31" t="s">
        <v>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5.75" x14ac:dyDescent="0.25">
      <c r="A21" s="8"/>
      <c r="B21" s="15">
        <v>46023</v>
      </c>
      <c r="C21" s="15">
        <v>46054</v>
      </c>
      <c r="D21" s="15">
        <v>46082</v>
      </c>
      <c r="E21" s="15">
        <v>46113</v>
      </c>
      <c r="F21" s="15">
        <v>46143</v>
      </c>
      <c r="G21" s="15">
        <v>46174</v>
      </c>
      <c r="H21" s="15">
        <v>46204</v>
      </c>
      <c r="I21" s="15">
        <v>46235</v>
      </c>
      <c r="J21" s="15">
        <v>46266</v>
      </c>
      <c r="K21" s="15">
        <v>46296</v>
      </c>
      <c r="L21" s="15">
        <v>46327</v>
      </c>
      <c r="M21" s="15">
        <v>46357</v>
      </c>
    </row>
    <row r="22" spans="1:13" x14ac:dyDescent="0.2">
      <c r="A22" s="78" t="s">
        <v>110</v>
      </c>
      <c r="B22" s="42"/>
      <c r="C22" s="42">
        <f t="shared" ref="C22:L22" si="3">B33</f>
        <v>0</v>
      </c>
      <c r="D22" s="42">
        <f t="shared" si="3"/>
        <v>0</v>
      </c>
      <c r="E22" s="42">
        <f t="shared" si="3"/>
        <v>0</v>
      </c>
      <c r="F22" s="42">
        <f t="shared" si="3"/>
        <v>0</v>
      </c>
      <c r="G22" s="42">
        <f t="shared" si="3"/>
        <v>0</v>
      </c>
      <c r="H22" s="42">
        <f t="shared" si="3"/>
        <v>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>L33</f>
        <v>0</v>
      </c>
    </row>
    <row r="23" spans="1:13" x14ac:dyDescent="0.2">
      <c r="A23" s="78" t="s">
        <v>76</v>
      </c>
      <c r="B23" s="42"/>
      <c r="C23" s="42"/>
      <c r="D23" s="42">
        <v>0</v>
      </c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>
        <v>337500</v>
      </c>
      <c r="C24" s="42">
        <v>235620</v>
      </c>
      <c r="D24" s="42">
        <v>237000</v>
      </c>
      <c r="E24" s="42">
        <v>210000</v>
      </c>
      <c r="F24" s="42">
        <v>297000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>
        <v>55000</v>
      </c>
      <c r="C27" s="42"/>
      <c r="D27" s="42"/>
      <c r="E27" s="42">
        <v>55000</v>
      </c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293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786</v>
      </c>
      <c r="B29" s="42"/>
      <c r="C29" s="42"/>
      <c r="D29" s="42">
        <v>436100</v>
      </c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120000</v>
      </c>
      <c r="C30" s="42">
        <v>140000</v>
      </c>
      <c r="D30" s="42">
        <v>140000</v>
      </c>
      <c r="E30" s="42">
        <v>150000</v>
      </c>
      <c r="F30" s="42">
        <v>150000</v>
      </c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6</v>
      </c>
      <c r="B31" s="43">
        <f>SUM(B22:B30)</f>
        <v>512500</v>
      </c>
      <c r="C31" s="43">
        <f t="shared" ref="C31:M31" si="4">SUM(C22:C30)</f>
        <v>375620</v>
      </c>
      <c r="D31" s="43">
        <f t="shared" si="4"/>
        <v>813100</v>
      </c>
      <c r="E31" s="43">
        <f t="shared" si="4"/>
        <v>415000</v>
      </c>
      <c r="F31" s="43">
        <f t="shared" si="4"/>
        <v>447000</v>
      </c>
      <c r="G31" s="43">
        <f t="shared" si="4"/>
        <v>0</v>
      </c>
      <c r="H31" s="43">
        <f>SUM(H22:H30)</f>
        <v>0</v>
      </c>
      <c r="I31" s="43">
        <f t="shared" si="4"/>
        <v>0</v>
      </c>
      <c r="J31" s="43">
        <f t="shared" si="4"/>
        <v>0</v>
      </c>
      <c r="K31" s="43">
        <f t="shared" si="4"/>
        <v>0</v>
      </c>
      <c r="L31" s="43">
        <f t="shared" si="4"/>
        <v>0</v>
      </c>
      <c r="M31" s="43">
        <f t="shared" si="4"/>
        <v>0</v>
      </c>
    </row>
    <row r="32" spans="1:13" x14ac:dyDescent="0.2">
      <c r="A32" s="78" t="s">
        <v>7</v>
      </c>
      <c r="B32" s="44">
        <v>512500</v>
      </c>
      <c r="C32" s="44">
        <v>375620</v>
      </c>
      <c r="D32" s="44">
        <v>813100</v>
      </c>
      <c r="E32" s="44">
        <v>415000</v>
      </c>
      <c r="F32" s="200">
        <v>447000</v>
      </c>
      <c r="G32" s="44"/>
      <c r="H32" s="44"/>
      <c r="I32" s="44"/>
      <c r="J32" s="44"/>
      <c r="K32" s="44"/>
      <c r="L32" s="44"/>
      <c r="M32" s="44"/>
    </row>
    <row r="33" spans="1:13" x14ac:dyDescent="0.2">
      <c r="A33" s="78" t="s">
        <v>111</v>
      </c>
      <c r="B33" s="43">
        <f>B31-B32</f>
        <v>0</v>
      </c>
      <c r="C33" s="43">
        <f>C31-C32</f>
        <v>0</v>
      </c>
      <c r="D33" s="43">
        <f t="shared" ref="D33:M33" si="5">D31-D32</f>
        <v>0</v>
      </c>
      <c r="E33" s="43">
        <f t="shared" si="5"/>
        <v>0</v>
      </c>
      <c r="F33" s="43">
        <f t="shared" si="5"/>
        <v>0</v>
      </c>
      <c r="G33" s="43">
        <f t="shared" si="5"/>
        <v>0</v>
      </c>
      <c r="H33" s="43">
        <f t="shared" si="5"/>
        <v>0</v>
      </c>
      <c r="I33" s="43">
        <f t="shared" si="5"/>
        <v>0</v>
      </c>
      <c r="J33" s="43">
        <f t="shared" si="5"/>
        <v>0</v>
      </c>
      <c r="K33" s="43">
        <f t="shared" si="5"/>
        <v>0</v>
      </c>
      <c r="L33" s="43">
        <f t="shared" si="5"/>
        <v>0</v>
      </c>
      <c r="M33" s="43">
        <f t="shared" si="5"/>
        <v>0</v>
      </c>
    </row>
    <row r="34" spans="1:13" x14ac:dyDescent="0.2">
      <c r="H34" s="128">
        <v>44803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3"/>
  <dimension ref="A3:M34"/>
  <sheetViews>
    <sheetView topLeftCell="A13" workbookViewId="0">
      <selection activeCell="F33" sqref="F33"/>
    </sheetView>
  </sheetViews>
  <sheetFormatPr baseColWidth="10" defaultRowHeight="12.75" x14ac:dyDescent="0.2"/>
  <cols>
    <col min="1" max="1" width="32.28515625" customWidth="1"/>
    <col min="6" max="7" width="12.7109375" customWidth="1"/>
    <col min="8" max="9" width="13.42578125" customWidth="1"/>
    <col min="10" max="10" width="12.7109375" customWidth="1"/>
    <col min="11" max="11" width="12.5703125" customWidth="1"/>
    <col min="12" max="12" width="13.140625" customWidth="1"/>
    <col min="13" max="13" width="12.7109375" customWidth="1"/>
  </cols>
  <sheetData>
    <row r="3" spans="1:13" ht="20.25" x14ac:dyDescent="0.3">
      <c r="A3" s="11" t="s">
        <v>11</v>
      </c>
      <c r="B3" s="216" t="s">
        <v>276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50" t="s">
        <v>0</v>
      </c>
      <c r="B5" s="50" t="s">
        <v>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13" x14ac:dyDescent="0.2">
      <c r="A6" s="78"/>
      <c r="B6" s="79">
        <v>45658</v>
      </c>
      <c r="C6" s="79">
        <v>45689</v>
      </c>
      <c r="D6" s="79">
        <v>45717</v>
      </c>
      <c r="E6" s="79">
        <v>45748</v>
      </c>
      <c r="F6" s="79">
        <v>45778</v>
      </c>
      <c r="G6" s="79">
        <v>45809</v>
      </c>
      <c r="H6" s="79">
        <v>45839</v>
      </c>
      <c r="I6" s="79">
        <v>45870</v>
      </c>
      <c r="J6" s="79">
        <v>45901</v>
      </c>
      <c r="K6" s="79">
        <v>45931</v>
      </c>
      <c r="L6" s="79">
        <v>45962</v>
      </c>
      <c r="M6" s="79">
        <v>45992</v>
      </c>
    </row>
    <row r="7" spans="1:13" x14ac:dyDescent="0.2">
      <c r="A7" s="78" t="s">
        <v>110</v>
      </c>
      <c r="B7" s="42">
        <v>128700</v>
      </c>
      <c r="C7" s="42">
        <f>B18</f>
        <v>265300</v>
      </c>
      <c r="D7" s="42">
        <f t="shared" ref="D7:M7" si="0">C18</f>
        <v>402300</v>
      </c>
      <c r="E7" s="42">
        <f t="shared" si="0"/>
        <v>521500</v>
      </c>
      <c r="F7" s="42">
        <f t="shared" si="0"/>
        <v>626530</v>
      </c>
      <c r="G7" s="42">
        <f t="shared" si="0"/>
        <v>-64970</v>
      </c>
      <c r="H7" s="42">
        <f t="shared" si="0"/>
        <v>244000</v>
      </c>
      <c r="I7" s="42">
        <f t="shared" si="0"/>
        <v>0</v>
      </c>
      <c r="J7" s="42">
        <f t="shared" si="0"/>
        <v>222850</v>
      </c>
      <c r="K7" s="42">
        <f>J18</f>
        <v>460850</v>
      </c>
      <c r="L7" s="42">
        <f>K18</f>
        <v>308456</v>
      </c>
      <c r="M7" s="42">
        <f t="shared" si="0"/>
        <v>619456</v>
      </c>
    </row>
    <row r="8" spans="1:13" x14ac:dyDescent="0.2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>
        <v>37100</v>
      </c>
      <c r="C9" s="42">
        <v>25000</v>
      </c>
      <c r="D9" s="42"/>
      <c r="E9" s="42"/>
      <c r="F9" s="42">
        <v>85000</v>
      </c>
      <c r="G9" s="42">
        <v>175000</v>
      </c>
      <c r="H9" s="42">
        <v>45000</v>
      </c>
      <c r="I9" s="42">
        <v>54000</v>
      </c>
      <c r="J9" s="42">
        <v>60000</v>
      </c>
      <c r="K9" s="42">
        <v>63406</v>
      </c>
      <c r="L9" s="42">
        <v>86000</v>
      </c>
      <c r="M9" s="42">
        <v>115000</v>
      </c>
    </row>
    <row r="10" spans="1:13" x14ac:dyDescent="0.2">
      <c r="A10" s="78" t="s">
        <v>4</v>
      </c>
      <c r="B10" s="42">
        <v>4500</v>
      </c>
      <c r="C10" s="42">
        <v>12000</v>
      </c>
      <c r="D10" s="42">
        <v>19200</v>
      </c>
      <c r="E10" s="42">
        <v>5030</v>
      </c>
      <c r="F10" s="42">
        <v>3500</v>
      </c>
      <c r="G10" s="42">
        <v>33970</v>
      </c>
      <c r="H10" s="42">
        <v>31320</v>
      </c>
      <c r="I10" s="42">
        <v>18850</v>
      </c>
      <c r="J10" s="42">
        <v>28000</v>
      </c>
      <c r="K10" s="42">
        <v>34200</v>
      </c>
      <c r="L10" s="42">
        <v>35000</v>
      </c>
      <c r="M10" s="42">
        <v>35000</v>
      </c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427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95000</v>
      </c>
      <c r="C15" s="42">
        <v>100000</v>
      </c>
      <c r="D15" s="42">
        <v>100000</v>
      </c>
      <c r="E15" s="42">
        <v>100000</v>
      </c>
      <c r="F15" s="42">
        <v>100000</v>
      </c>
      <c r="G15" s="42">
        <v>100000</v>
      </c>
      <c r="H15" s="42">
        <v>120000</v>
      </c>
      <c r="I15" s="42">
        <v>150000</v>
      </c>
      <c r="J15" s="42">
        <v>150000</v>
      </c>
      <c r="K15" s="42">
        <v>150000</v>
      </c>
      <c r="L15" s="42">
        <v>190000</v>
      </c>
      <c r="M15" s="42">
        <v>190000</v>
      </c>
    </row>
    <row r="16" spans="1:13" x14ac:dyDescent="0.2">
      <c r="A16" s="78" t="s">
        <v>6</v>
      </c>
      <c r="B16" s="43">
        <f>SUM(B7:B15)</f>
        <v>265300</v>
      </c>
      <c r="C16" s="43">
        <f t="shared" ref="C16:M16" si="1">SUM(C7:C15)</f>
        <v>402300</v>
      </c>
      <c r="D16" s="43">
        <f t="shared" si="1"/>
        <v>521500</v>
      </c>
      <c r="E16" s="43">
        <f t="shared" si="1"/>
        <v>626530</v>
      </c>
      <c r="F16" s="43">
        <f t="shared" si="1"/>
        <v>815030</v>
      </c>
      <c r="G16" s="43">
        <f t="shared" si="1"/>
        <v>244000</v>
      </c>
      <c r="H16" s="43">
        <f t="shared" si="1"/>
        <v>440320</v>
      </c>
      <c r="I16" s="43">
        <f t="shared" si="1"/>
        <v>222850</v>
      </c>
      <c r="J16" s="43">
        <f t="shared" si="1"/>
        <v>460850</v>
      </c>
      <c r="K16" s="43">
        <f t="shared" si="1"/>
        <v>708456</v>
      </c>
      <c r="L16" s="43">
        <f t="shared" si="1"/>
        <v>619456</v>
      </c>
      <c r="M16" s="43">
        <f t="shared" si="1"/>
        <v>959456</v>
      </c>
    </row>
    <row r="17" spans="1:13" x14ac:dyDescent="0.2">
      <c r="A17" s="78" t="s">
        <v>7</v>
      </c>
      <c r="B17" s="44"/>
      <c r="C17" s="44"/>
      <c r="D17" s="44"/>
      <c r="E17" s="44"/>
      <c r="F17" s="44">
        <v>880000</v>
      </c>
      <c r="G17" s="44"/>
      <c r="H17" s="44">
        <v>440320</v>
      </c>
      <c r="I17" s="44"/>
      <c r="J17" s="44"/>
      <c r="K17" s="44">
        <v>400000</v>
      </c>
      <c r="L17" s="44"/>
      <c r="M17" s="44">
        <f>611396+426000</f>
        <v>1037396</v>
      </c>
    </row>
    <row r="18" spans="1:13" x14ac:dyDescent="0.2">
      <c r="A18" s="78" t="s">
        <v>111</v>
      </c>
      <c r="B18" s="43">
        <f>B16-B17</f>
        <v>265300</v>
      </c>
      <c r="C18" s="43">
        <f>C16-C17</f>
        <v>402300</v>
      </c>
      <c r="D18" s="43">
        <f t="shared" ref="D18:M18" si="2">D16-D17</f>
        <v>521500</v>
      </c>
      <c r="E18" s="43">
        <f t="shared" si="2"/>
        <v>626530</v>
      </c>
      <c r="F18" s="43">
        <f t="shared" si="2"/>
        <v>-64970</v>
      </c>
      <c r="G18" s="43">
        <f t="shared" si="2"/>
        <v>244000</v>
      </c>
      <c r="H18" s="43">
        <f t="shared" si="2"/>
        <v>0</v>
      </c>
      <c r="I18" s="43">
        <f t="shared" si="2"/>
        <v>222850</v>
      </c>
      <c r="J18" s="43">
        <f t="shared" si="2"/>
        <v>460850</v>
      </c>
      <c r="K18" s="43">
        <f t="shared" si="2"/>
        <v>308456</v>
      </c>
      <c r="L18" s="43">
        <f t="shared" si="2"/>
        <v>619456</v>
      </c>
      <c r="M18" s="43">
        <f t="shared" si="2"/>
        <v>-77940</v>
      </c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2">
      <c r="A21" s="78"/>
      <c r="B21" s="79">
        <v>46023</v>
      </c>
      <c r="C21" s="79">
        <v>46054</v>
      </c>
      <c r="D21" s="79">
        <v>46082</v>
      </c>
      <c r="E21" s="79">
        <v>46113</v>
      </c>
      <c r="F21" s="79">
        <v>46143</v>
      </c>
      <c r="G21" s="79">
        <v>46174</v>
      </c>
      <c r="H21" s="79">
        <v>46204</v>
      </c>
      <c r="I21" s="79">
        <v>46235</v>
      </c>
      <c r="J21" s="79">
        <v>46266</v>
      </c>
      <c r="K21" s="79">
        <v>46296</v>
      </c>
      <c r="L21" s="79">
        <v>46327</v>
      </c>
      <c r="M21" s="79">
        <v>46357</v>
      </c>
    </row>
    <row r="22" spans="1:13" x14ac:dyDescent="0.2">
      <c r="A22" s="78" t="s">
        <v>110</v>
      </c>
      <c r="B22" s="42">
        <v>-77940</v>
      </c>
      <c r="C22" s="42">
        <f t="shared" ref="C22:K22" si="3">B33</f>
        <v>142160</v>
      </c>
      <c r="D22" s="42">
        <f t="shared" si="3"/>
        <v>372160</v>
      </c>
      <c r="E22" s="42">
        <f t="shared" si="3"/>
        <v>752160</v>
      </c>
      <c r="F22" s="42">
        <f t="shared" si="3"/>
        <v>993160</v>
      </c>
      <c r="G22" s="42">
        <f t="shared" si="3"/>
        <v>-840</v>
      </c>
      <c r="H22" s="42">
        <f t="shared" si="3"/>
        <v>-840</v>
      </c>
      <c r="I22" s="42">
        <f t="shared" si="3"/>
        <v>-840</v>
      </c>
      <c r="J22" s="42">
        <f t="shared" si="3"/>
        <v>-840</v>
      </c>
      <c r="K22" s="42">
        <f t="shared" si="3"/>
        <v>-840</v>
      </c>
      <c r="L22" s="42">
        <f>K33</f>
        <v>-840</v>
      </c>
      <c r="M22" s="42">
        <f>L33</f>
        <v>-840</v>
      </c>
    </row>
    <row r="23" spans="1:13" x14ac:dyDescent="0.2">
      <c r="A23" s="78" t="s">
        <v>76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/>
      <c r="C24" s="42">
        <v>10000</v>
      </c>
      <c r="D24" s="42">
        <v>160000</v>
      </c>
      <c r="E24" s="42">
        <v>11000</v>
      </c>
      <c r="F24" s="42">
        <v>110000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>
        <v>30000</v>
      </c>
      <c r="C25" s="42">
        <v>30000</v>
      </c>
      <c r="D25" s="42">
        <v>30000</v>
      </c>
      <c r="E25" s="42">
        <v>30000</v>
      </c>
      <c r="F25" s="42">
        <v>26000</v>
      </c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133</v>
      </c>
      <c r="B29" s="42">
        <v>100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190000</v>
      </c>
      <c r="C30" s="42">
        <v>190000</v>
      </c>
      <c r="D30" s="42">
        <v>190000</v>
      </c>
      <c r="E30" s="42">
        <v>200000</v>
      </c>
      <c r="F30" s="42">
        <v>200000</v>
      </c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6</v>
      </c>
      <c r="B31" s="43">
        <f>SUM(B22:B30)</f>
        <v>142160</v>
      </c>
      <c r="C31" s="43">
        <f t="shared" ref="C31:M31" si="4">SUM(C22:C30)</f>
        <v>372160</v>
      </c>
      <c r="D31" s="43">
        <f t="shared" si="4"/>
        <v>752160</v>
      </c>
      <c r="E31" s="43">
        <f t="shared" si="4"/>
        <v>993160</v>
      </c>
      <c r="F31" s="43">
        <f t="shared" si="4"/>
        <v>1329160</v>
      </c>
      <c r="G31" s="43">
        <f t="shared" si="4"/>
        <v>-840</v>
      </c>
      <c r="H31" s="43">
        <f t="shared" si="4"/>
        <v>-840</v>
      </c>
      <c r="I31" s="43">
        <f t="shared" si="4"/>
        <v>-840</v>
      </c>
      <c r="J31" s="43">
        <f t="shared" si="4"/>
        <v>-840</v>
      </c>
      <c r="K31" s="43">
        <f t="shared" si="4"/>
        <v>-840</v>
      </c>
      <c r="L31" s="43">
        <f t="shared" si="4"/>
        <v>-840</v>
      </c>
      <c r="M31" s="43">
        <f t="shared" si="4"/>
        <v>-840</v>
      </c>
    </row>
    <row r="32" spans="1:13" x14ac:dyDescent="0.2">
      <c r="A32" s="78" t="s">
        <v>7</v>
      </c>
      <c r="B32" s="44"/>
      <c r="C32" s="44"/>
      <c r="D32" s="44"/>
      <c r="E32" s="44"/>
      <c r="F32" s="44">
        <f>1000000+330000</f>
        <v>1330000</v>
      </c>
      <c r="G32" s="44"/>
      <c r="H32" s="44"/>
      <c r="I32" s="44"/>
      <c r="J32" s="44"/>
      <c r="K32" s="44"/>
      <c r="L32" s="44"/>
      <c r="M32" s="44"/>
    </row>
    <row r="33" spans="1:13" x14ac:dyDescent="0.2">
      <c r="A33" s="78" t="s">
        <v>111</v>
      </c>
      <c r="B33" s="43">
        <f>B31-B32</f>
        <v>142160</v>
      </c>
      <c r="C33" s="43">
        <f>C31-C32</f>
        <v>372160</v>
      </c>
      <c r="D33" s="43">
        <f t="shared" ref="D33:M33" si="5">D31-D32</f>
        <v>752160</v>
      </c>
      <c r="E33" s="43">
        <f t="shared" si="5"/>
        <v>993160</v>
      </c>
      <c r="F33" s="43">
        <f t="shared" si="5"/>
        <v>-840</v>
      </c>
      <c r="G33" s="43">
        <f t="shared" si="5"/>
        <v>-840</v>
      </c>
      <c r="H33" s="43">
        <f t="shared" si="5"/>
        <v>-840</v>
      </c>
      <c r="I33" s="43">
        <f t="shared" si="5"/>
        <v>-840</v>
      </c>
      <c r="J33" s="43">
        <f t="shared" si="5"/>
        <v>-840</v>
      </c>
      <c r="K33" s="43">
        <f t="shared" si="5"/>
        <v>-840</v>
      </c>
      <c r="L33" s="43">
        <f t="shared" si="5"/>
        <v>-840</v>
      </c>
      <c r="M33" s="43">
        <f t="shared" si="5"/>
        <v>-840</v>
      </c>
    </row>
    <row r="34" spans="1:13" x14ac:dyDescent="0.2">
      <c r="A34" s="78"/>
      <c r="B34" s="78"/>
      <c r="C34" s="78"/>
      <c r="D34" s="78"/>
      <c r="E34" s="78"/>
      <c r="F34" s="78"/>
      <c r="G34" s="78"/>
      <c r="H34" s="149">
        <v>43325</v>
      </c>
      <c r="I34" s="78"/>
      <c r="J34" s="78"/>
      <c r="K34" s="78"/>
      <c r="L34" s="78"/>
      <c r="M34" s="78"/>
    </row>
  </sheetData>
  <mergeCells count="1">
    <mergeCell ref="B3:G3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4"/>
  <dimension ref="A4:M43"/>
  <sheetViews>
    <sheetView topLeftCell="A4" workbookViewId="0">
      <selection activeCell="A4" sqref="A4"/>
    </sheetView>
  </sheetViews>
  <sheetFormatPr baseColWidth="10" defaultRowHeight="12.75" x14ac:dyDescent="0.2"/>
  <cols>
    <col min="1" max="1" width="32.28515625" customWidth="1"/>
  </cols>
  <sheetData>
    <row r="4" spans="1:13" ht="20.25" x14ac:dyDescent="0.3">
      <c r="A4" s="11" t="s">
        <v>11</v>
      </c>
      <c r="B4" s="216" t="s">
        <v>48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31" t="s">
        <v>0</v>
      </c>
      <c r="B6" s="31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75" x14ac:dyDescent="0.25">
      <c r="A7" s="8"/>
      <c r="B7" s="15">
        <v>39814</v>
      </c>
      <c r="C7" s="15">
        <v>39845</v>
      </c>
      <c r="D7" s="15">
        <v>39873</v>
      </c>
      <c r="E7" s="15">
        <v>39904</v>
      </c>
      <c r="F7" s="15">
        <v>39934</v>
      </c>
      <c r="G7" s="15">
        <v>39965</v>
      </c>
      <c r="H7" s="15">
        <v>39995</v>
      </c>
      <c r="I7" s="15">
        <v>40026</v>
      </c>
      <c r="J7" s="15">
        <v>40057</v>
      </c>
      <c r="K7" s="15">
        <v>40087</v>
      </c>
      <c r="L7" s="15">
        <v>40118</v>
      </c>
      <c r="M7" s="15">
        <v>40148</v>
      </c>
    </row>
    <row r="8" spans="1:13" ht="15" x14ac:dyDescent="0.2">
      <c r="A8" s="8" t="s">
        <v>110</v>
      </c>
      <c r="B8" s="22"/>
      <c r="C8" s="22">
        <f>B19</f>
        <v>0</v>
      </c>
      <c r="D8" s="22">
        <f t="shared" ref="D8:M8" si="0">C19</f>
        <v>0</v>
      </c>
      <c r="E8" s="22">
        <f t="shared" si="0"/>
        <v>237.75</v>
      </c>
      <c r="F8" s="22">
        <f t="shared" si="0"/>
        <v>0</v>
      </c>
      <c r="G8" s="22">
        <f t="shared" si="0"/>
        <v>243.6</v>
      </c>
      <c r="H8" s="22">
        <f t="shared" si="0"/>
        <v>477.11999999999995</v>
      </c>
      <c r="I8" s="22">
        <f t="shared" si="0"/>
        <v>0.7199999999999136</v>
      </c>
      <c r="J8" s="22">
        <f t="shared" si="0"/>
        <v>0.7199999999999136</v>
      </c>
      <c r="K8" s="22">
        <f>J19</f>
        <v>0.7199999999999136</v>
      </c>
      <c r="L8" s="22"/>
      <c r="M8" s="22">
        <f t="shared" si="0"/>
        <v>0</v>
      </c>
    </row>
    <row r="9" spans="1:13" ht="15" x14ac:dyDescent="0.2">
      <c r="A9" s="8" t="s">
        <v>76</v>
      </c>
      <c r="B9" s="22">
        <v>925.58</v>
      </c>
      <c r="C9" s="22"/>
      <c r="D9" s="22">
        <v>0</v>
      </c>
      <c r="E9" s="22"/>
      <c r="F9" s="22"/>
      <c r="G9" s="22"/>
      <c r="H9" s="22"/>
      <c r="I9" s="22"/>
      <c r="J9" s="22"/>
      <c r="K9" s="22"/>
      <c r="L9" s="22"/>
      <c r="M9" s="22"/>
    </row>
    <row r="10" spans="1:13" ht="15" x14ac:dyDescent="0.2">
      <c r="A10" s="8" t="s">
        <v>3</v>
      </c>
      <c r="B10" s="22">
        <v>0</v>
      </c>
      <c r="C10" s="22"/>
      <c r="D10" s="22">
        <v>40</v>
      </c>
      <c r="E10" s="22">
        <v>65</v>
      </c>
      <c r="F10" s="22">
        <v>60</v>
      </c>
      <c r="G10" s="22">
        <v>40.56</v>
      </c>
      <c r="H10" s="22">
        <v>60</v>
      </c>
      <c r="I10" s="22"/>
      <c r="J10" s="22"/>
      <c r="K10" s="22"/>
      <c r="L10" s="22"/>
      <c r="M10" s="22"/>
    </row>
    <row r="11" spans="1:13" ht="15" x14ac:dyDescent="0.2">
      <c r="A11" s="8" t="s">
        <v>4</v>
      </c>
      <c r="B11" s="22">
        <v>31.83</v>
      </c>
      <c r="C11" s="22"/>
      <c r="D11" s="22">
        <v>47.75</v>
      </c>
      <c r="E11" s="22">
        <v>48</v>
      </c>
      <c r="F11" s="22">
        <v>33.6</v>
      </c>
      <c r="G11" s="22">
        <v>42.96</v>
      </c>
      <c r="H11" s="22">
        <v>33.6</v>
      </c>
      <c r="I11" s="22"/>
      <c r="J11" s="22"/>
      <c r="K11" s="22"/>
      <c r="L11" s="22"/>
      <c r="M11" s="22"/>
    </row>
    <row r="12" spans="1:13" ht="15" x14ac:dyDescent="0.2">
      <c r="A12" s="8" t="s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73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74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" x14ac:dyDescent="0.2">
      <c r="A15" s="8" t="s">
        <v>133</v>
      </c>
      <c r="B15" s="22"/>
      <c r="C15" s="22"/>
      <c r="D15" s="22"/>
      <c r="E15" s="22"/>
      <c r="F15" s="22"/>
      <c r="G15" s="22"/>
      <c r="H15" s="22">
        <v>22</v>
      </c>
      <c r="I15" s="22"/>
      <c r="J15" s="22"/>
      <c r="K15" s="22"/>
      <c r="L15" s="22"/>
      <c r="M15" s="22"/>
    </row>
    <row r="16" spans="1:13" ht="15" x14ac:dyDescent="0.2">
      <c r="A16" s="8" t="s">
        <v>5</v>
      </c>
      <c r="B16" s="22">
        <v>200</v>
      </c>
      <c r="C16" s="22"/>
      <c r="D16" s="22">
        <v>150</v>
      </c>
      <c r="E16" s="22">
        <v>150</v>
      </c>
      <c r="F16" s="22">
        <v>150</v>
      </c>
      <c r="G16" s="22">
        <v>150</v>
      </c>
      <c r="H16" s="22">
        <v>150</v>
      </c>
      <c r="I16" s="22"/>
      <c r="J16" s="22"/>
      <c r="K16" s="22"/>
      <c r="L16" s="22"/>
      <c r="M16" s="22"/>
    </row>
    <row r="17" spans="1:13" ht="15" x14ac:dyDescent="0.2">
      <c r="A17" s="8" t="s">
        <v>6</v>
      </c>
      <c r="B17" s="16">
        <f>SUM(B8:B16)</f>
        <v>1157.4100000000001</v>
      </c>
      <c r="C17" s="16">
        <f t="shared" ref="C17:M17" si="1">SUM(C8:C16)</f>
        <v>0</v>
      </c>
      <c r="D17" s="16">
        <f t="shared" si="1"/>
        <v>237.75</v>
      </c>
      <c r="E17" s="16">
        <f t="shared" si="1"/>
        <v>500.75</v>
      </c>
      <c r="F17" s="16">
        <f t="shared" si="1"/>
        <v>243.6</v>
      </c>
      <c r="G17" s="16">
        <f t="shared" si="1"/>
        <v>477.11999999999995</v>
      </c>
      <c r="H17" s="16">
        <f t="shared" si="1"/>
        <v>742.71999999999991</v>
      </c>
      <c r="I17" s="16">
        <f t="shared" si="1"/>
        <v>0.7199999999999136</v>
      </c>
      <c r="J17" s="16">
        <f t="shared" si="1"/>
        <v>0.7199999999999136</v>
      </c>
      <c r="K17" s="16">
        <f t="shared" si="1"/>
        <v>0.7199999999999136</v>
      </c>
      <c r="L17" s="16">
        <f t="shared" si="1"/>
        <v>0</v>
      </c>
      <c r="M17" s="16">
        <f t="shared" si="1"/>
        <v>0</v>
      </c>
    </row>
    <row r="18" spans="1:13" ht="15" x14ac:dyDescent="0.2">
      <c r="A18" s="8" t="s">
        <v>7</v>
      </c>
      <c r="B18" s="23">
        <v>1157.4100000000001</v>
      </c>
      <c r="C18" s="23"/>
      <c r="D18" s="23"/>
      <c r="E18" s="23">
        <v>500.75</v>
      </c>
      <c r="F18" s="23"/>
      <c r="G18" s="23"/>
      <c r="H18" s="23">
        <v>742</v>
      </c>
      <c r="I18" s="23"/>
      <c r="J18" s="23"/>
      <c r="K18" s="23"/>
      <c r="L18" s="23"/>
      <c r="M18" s="23"/>
    </row>
    <row r="19" spans="1:13" ht="15" x14ac:dyDescent="0.2">
      <c r="A19" s="8" t="s">
        <v>111</v>
      </c>
      <c r="B19" s="16">
        <f>B17-B18</f>
        <v>0</v>
      </c>
      <c r="C19" s="16">
        <f>C17-C18</f>
        <v>0</v>
      </c>
      <c r="D19" s="16">
        <f t="shared" ref="D19:M19" si="2">D17-D18</f>
        <v>237.75</v>
      </c>
      <c r="E19" s="16">
        <f t="shared" si="2"/>
        <v>0</v>
      </c>
      <c r="F19" s="16">
        <f t="shared" si="2"/>
        <v>243.6</v>
      </c>
      <c r="G19" s="16">
        <f t="shared" si="2"/>
        <v>477.11999999999995</v>
      </c>
      <c r="H19" s="16">
        <f t="shared" si="2"/>
        <v>0.7199999999999136</v>
      </c>
      <c r="I19" s="16">
        <f t="shared" si="2"/>
        <v>0.7199999999999136</v>
      </c>
      <c r="J19" s="16">
        <f t="shared" si="2"/>
        <v>0.7199999999999136</v>
      </c>
      <c r="K19" s="16">
        <f t="shared" si="2"/>
        <v>0.7199999999999136</v>
      </c>
      <c r="L19" s="16">
        <f t="shared" si="2"/>
        <v>0</v>
      </c>
      <c r="M19" s="16">
        <f t="shared" si="2"/>
        <v>0</v>
      </c>
    </row>
    <row r="24" spans="1:13" ht="15.75" x14ac:dyDescent="0.25">
      <c r="A24" s="32" t="s">
        <v>0</v>
      </c>
      <c r="B24" s="32" t="s">
        <v>1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5.75" x14ac:dyDescent="0.25">
      <c r="A25" s="33"/>
      <c r="B25" s="34">
        <v>39448</v>
      </c>
      <c r="C25" s="34">
        <v>39479</v>
      </c>
      <c r="D25" s="34">
        <v>39508</v>
      </c>
      <c r="E25" s="34">
        <v>39539</v>
      </c>
      <c r="F25" s="34">
        <v>39569</v>
      </c>
      <c r="G25" s="34">
        <v>39600</v>
      </c>
      <c r="H25" s="34">
        <v>39630</v>
      </c>
      <c r="I25" s="34">
        <v>39661</v>
      </c>
      <c r="J25" s="34">
        <v>39692</v>
      </c>
      <c r="K25" s="34">
        <v>39722</v>
      </c>
      <c r="L25" s="34">
        <v>39753</v>
      </c>
      <c r="M25" s="34">
        <v>39783</v>
      </c>
    </row>
    <row r="26" spans="1:13" ht="15" x14ac:dyDescent="0.2">
      <c r="A26" s="8" t="s">
        <v>110</v>
      </c>
      <c r="B26" s="28">
        <v>234</v>
      </c>
      <c r="C26" s="28">
        <f t="shared" ref="C26:M26" si="3">B37</f>
        <v>877.61</v>
      </c>
      <c r="D26" s="28">
        <f t="shared" si="3"/>
        <v>1052.6100000000001</v>
      </c>
      <c r="E26" s="28">
        <f t="shared" si="3"/>
        <v>504.0500000000003</v>
      </c>
      <c r="F26" s="28">
        <f t="shared" si="3"/>
        <v>276.7300000000003</v>
      </c>
      <c r="G26" s="28">
        <f t="shared" si="3"/>
        <v>248.35000000000031</v>
      </c>
      <c r="H26" s="28">
        <f t="shared" si="3"/>
        <v>554.12700000000029</v>
      </c>
      <c r="I26" s="28">
        <f t="shared" si="3"/>
        <v>44.867000000000303</v>
      </c>
      <c r="J26" s="28">
        <f t="shared" si="3"/>
        <v>57.775557000000163</v>
      </c>
      <c r="K26" s="28">
        <f t="shared" si="3"/>
        <v>360.43555700000024</v>
      </c>
      <c r="L26" s="28">
        <f t="shared" si="3"/>
        <v>360.18555700000024</v>
      </c>
      <c r="M26" s="28">
        <f t="shared" si="3"/>
        <v>360.7355570000002</v>
      </c>
    </row>
    <row r="27" spans="1:13" ht="15" x14ac:dyDescent="0.2">
      <c r="A27" s="8" t="s">
        <v>144</v>
      </c>
      <c r="B27" s="28">
        <v>418.61</v>
      </c>
      <c r="C27" s="28"/>
      <c r="D27" s="28">
        <v>287.11</v>
      </c>
      <c r="E27" s="28">
        <v>14</v>
      </c>
      <c r="F27" s="28"/>
      <c r="G27" s="28"/>
      <c r="H27" s="28">
        <v>165.31</v>
      </c>
      <c r="I27" s="28">
        <v>1172.48</v>
      </c>
      <c r="J27" s="28">
        <v>3450.52</v>
      </c>
      <c r="K27" s="28">
        <v>986.75</v>
      </c>
      <c r="L27" s="28">
        <v>309.55</v>
      </c>
      <c r="M27" s="28">
        <v>21.55</v>
      </c>
    </row>
    <row r="28" spans="1:13" ht="15" x14ac:dyDescent="0.2">
      <c r="A28" s="8" t="s">
        <v>3</v>
      </c>
      <c r="B28" s="28">
        <v>63</v>
      </c>
      <c r="C28" s="28">
        <v>33</v>
      </c>
      <c r="D28" s="28"/>
      <c r="E28" s="28">
        <v>40.96</v>
      </c>
      <c r="F28" s="28">
        <v>35.479999999999997</v>
      </c>
      <c r="G28" s="28">
        <f>76.74*1.05</f>
        <v>80.576999999999998</v>
      </c>
      <c r="H28" s="28">
        <v>38</v>
      </c>
      <c r="I28" s="28">
        <f>6007.21*1.6%</f>
        <v>96.11536000000001</v>
      </c>
      <c r="J28" s="28">
        <v>80</v>
      </c>
      <c r="K28" s="28">
        <v>60</v>
      </c>
      <c r="L28" s="28">
        <v>47</v>
      </c>
      <c r="M28" s="28">
        <v>55</v>
      </c>
    </row>
    <row r="29" spans="1:13" ht="15" x14ac:dyDescent="0.2">
      <c r="A29" s="8" t="s">
        <v>4</v>
      </c>
      <c r="B29" s="28">
        <v>62</v>
      </c>
      <c r="C29" s="28">
        <v>42</v>
      </c>
      <c r="D29" s="28">
        <v>15</v>
      </c>
      <c r="E29" s="28">
        <v>42.79</v>
      </c>
      <c r="F29" s="28">
        <v>37.33</v>
      </c>
      <c r="G29" s="28">
        <v>75.2</v>
      </c>
      <c r="H29" s="28">
        <v>28</v>
      </c>
      <c r="I29" s="28">
        <f>6007.21*1.57%</f>
        <v>94.313197000000017</v>
      </c>
      <c r="J29" s="28">
        <f>47.66+25</f>
        <v>72.66</v>
      </c>
      <c r="K29" s="28">
        <v>34</v>
      </c>
      <c r="L29" s="28">
        <v>65</v>
      </c>
      <c r="M29" s="28">
        <v>34</v>
      </c>
    </row>
    <row r="30" spans="1:13" ht="15" x14ac:dyDescent="0.2">
      <c r="A30" s="8" t="s">
        <v>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ht="15" x14ac:dyDescent="0.2">
      <c r="A31" s="8" t="s">
        <v>73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ht="15" x14ac:dyDescent="0.2">
      <c r="A32" s="8" t="s">
        <v>74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 ht="15" x14ac:dyDescent="0.2">
      <c r="A33" s="8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 ht="15" x14ac:dyDescent="0.2">
      <c r="A34" s="8" t="s">
        <v>5</v>
      </c>
      <c r="B34" s="28">
        <v>100</v>
      </c>
      <c r="C34" s="28">
        <v>100</v>
      </c>
      <c r="D34" s="28">
        <v>100</v>
      </c>
      <c r="E34" s="28">
        <v>100</v>
      </c>
      <c r="F34" s="28">
        <v>150</v>
      </c>
      <c r="G34" s="28">
        <v>150</v>
      </c>
      <c r="H34" s="28">
        <v>150</v>
      </c>
      <c r="I34" s="28">
        <v>150</v>
      </c>
      <c r="J34" s="28">
        <v>150</v>
      </c>
      <c r="K34" s="28">
        <v>150</v>
      </c>
      <c r="L34" s="28">
        <v>150</v>
      </c>
      <c r="M34" s="28">
        <v>200</v>
      </c>
    </row>
    <row r="35" spans="1:13" ht="15" x14ac:dyDescent="0.2">
      <c r="A35" s="8" t="s">
        <v>6</v>
      </c>
      <c r="B35" s="29">
        <f t="shared" ref="B35:M35" si="4">SUM(B26:B34)</f>
        <v>877.61</v>
      </c>
      <c r="C35" s="29">
        <f t="shared" si="4"/>
        <v>1052.6100000000001</v>
      </c>
      <c r="D35" s="29">
        <f t="shared" si="4"/>
        <v>1454.7200000000003</v>
      </c>
      <c r="E35" s="29">
        <f t="shared" si="4"/>
        <v>701.8000000000003</v>
      </c>
      <c r="F35" s="29">
        <f t="shared" si="4"/>
        <v>499.5400000000003</v>
      </c>
      <c r="G35" s="29">
        <f t="shared" si="4"/>
        <v>554.12700000000029</v>
      </c>
      <c r="H35" s="29">
        <f t="shared" si="4"/>
        <v>935.43700000000035</v>
      </c>
      <c r="I35" s="29">
        <f t="shared" si="4"/>
        <v>1557.7755570000002</v>
      </c>
      <c r="J35" s="29">
        <f t="shared" si="4"/>
        <v>3810.9555570000002</v>
      </c>
      <c r="K35" s="29">
        <f t="shared" si="4"/>
        <v>1591.1855570000002</v>
      </c>
      <c r="L35" s="29">
        <f t="shared" si="4"/>
        <v>931.7355570000002</v>
      </c>
      <c r="M35" s="29">
        <f t="shared" si="4"/>
        <v>671.28555700000015</v>
      </c>
    </row>
    <row r="36" spans="1:13" ht="15.75" thickBot="1" x14ac:dyDescent="0.25">
      <c r="A36" s="8" t="s">
        <v>7</v>
      </c>
      <c r="B36" s="30"/>
      <c r="C36" s="30"/>
      <c r="D36" s="30">
        <v>950.67</v>
      </c>
      <c r="E36" s="30">
        <v>425.07</v>
      </c>
      <c r="F36" s="30">
        <v>251.19</v>
      </c>
      <c r="G36" s="30"/>
      <c r="H36" s="30">
        <v>890.57</v>
      </c>
      <c r="I36" s="30">
        <v>1500</v>
      </c>
      <c r="J36" s="30">
        <v>3450.52</v>
      </c>
      <c r="K36" s="30">
        <v>1231</v>
      </c>
      <c r="L36" s="30">
        <v>571</v>
      </c>
      <c r="M36" s="30">
        <f>600+71.29</f>
        <v>671.29</v>
      </c>
    </row>
    <row r="37" spans="1:13" ht="15.75" thickBot="1" x14ac:dyDescent="0.25">
      <c r="A37" s="8" t="s">
        <v>111</v>
      </c>
      <c r="B37" s="35">
        <f t="shared" ref="B37:M37" si="5">B35-B36</f>
        <v>877.61</v>
      </c>
      <c r="C37" s="36">
        <f t="shared" si="5"/>
        <v>1052.6100000000001</v>
      </c>
      <c r="D37" s="36">
        <f t="shared" si="5"/>
        <v>504.0500000000003</v>
      </c>
      <c r="E37" s="36">
        <f t="shared" si="5"/>
        <v>276.7300000000003</v>
      </c>
      <c r="F37" s="36">
        <f t="shared" si="5"/>
        <v>248.35000000000031</v>
      </c>
      <c r="G37" s="36">
        <f t="shared" si="5"/>
        <v>554.12700000000029</v>
      </c>
      <c r="H37" s="36">
        <f t="shared" si="5"/>
        <v>44.867000000000303</v>
      </c>
      <c r="I37" s="36">
        <f t="shared" si="5"/>
        <v>57.775557000000163</v>
      </c>
      <c r="J37" s="36">
        <f t="shared" si="5"/>
        <v>360.43555700000024</v>
      </c>
      <c r="K37" s="36">
        <f t="shared" si="5"/>
        <v>360.18555700000024</v>
      </c>
      <c r="L37" s="36">
        <f t="shared" si="5"/>
        <v>360.7355570000002</v>
      </c>
      <c r="M37" s="37">
        <f t="shared" si="5"/>
        <v>-4.4429999998101266E-3</v>
      </c>
    </row>
    <row r="40" spans="1:13" ht="15" x14ac:dyDescent="0.2">
      <c r="A40" s="40" t="s">
        <v>160</v>
      </c>
    </row>
    <row r="41" spans="1:13" x14ac:dyDescent="0.2">
      <c r="A41">
        <v>425.07</v>
      </c>
    </row>
    <row r="43" spans="1:13" x14ac:dyDescent="0.2">
      <c r="A43" t="s">
        <v>175</v>
      </c>
    </row>
  </sheetData>
  <mergeCells count="1">
    <mergeCell ref="B4:G4"/>
  </mergeCells>
  <phoneticPr fontId="4" type="noConversion"/>
  <pageMargins left="0.75" right="0.75" top="1" bottom="1" header="0" footer="0"/>
  <headerFooter alignWithMargins="0"/>
  <ignoredErrors>
    <ignoredError sqref="B35 L17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5"/>
  <dimension ref="A1:M35"/>
  <sheetViews>
    <sheetView workbookViewId="0">
      <selection activeCell="B24" sqref="B24"/>
    </sheetView>
  </sheetViews>
  <sheetFormatPr baseColWidth="10" defaultRowHeight="20.25" x14ac:dyDescent="0.3"/>
  <cols>
    <col min="1" max="1" width="32" style="2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0.85546875" style="2" bestFit="1" customWidth="1"/>
    <col min="6" max="6" width="11.42578125" style="2"/>
    <col min="7" max="7" width="11.140625" style="2" bestFit="1" customWidth="1"/>
    <col min="8" max="8" width="10" style="2" bestFit="1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139</v>
      </c>
      <c r="C2" s="216"/>
      <c r="D2" s="216"/>
      <c r="E2" s="216"/>
      <c r="F2" s="216"/>
      <c r="G2" s="216"/>
    </row>
    <row r="6" spans="1:13" x14ac:dyDescent="0.3">
      <c r="A6" s="33"/>
      <c r="B6" s="34">
        <v>43101</v>
      </c>
      <c r="C6" s="34">
        <v>43132</v>
      </c>
      <c r="D6" s="34">
        <v>43160</v>
      </c>
      <c r="E6" s="34">
        <v>43191</v>
      </c>
      <c r="F6" s="34">
        <v>43221</v>
      </c>
      <c r="G6" s="34">
        <v>43252</v>
      </c>
      <c r="H6" s="34">
        <v>43282</v>
      </c>
      <c r="I6" s="34">
        <v>43313</v>
      </c>
      <c r="J6" s="34">
        <v>43344</v>
      </c>
      <c r="K6" s="34">
        <v>43374</v>
      </c>
      <c r="L6" s="34">
        <v>43405</v>
      </c>
      <c r="M6" s="34">
        <v>43435</v>
      </c>
    </row>
    <row r="7" spans="1:13" x14ac:dyDescent="0.3">
      <c r="A7" s="78" t="s">
        <v>110</v>
      </c>
      <c r="B7" s="42">
        <v>9242</v>
      </c>
      <c r="C7" s="42">
        <f t="shared" ref="C7:M7" si="0">B18</f>
        <v>11473</v>
      </c>
      <c r="D7" s="42">
        <f t="shared" si="0"/>
        <v>15200</v>
      </c>
      <c r="E7" s="42">
        <f t="shared" si="0"/>
        <v>18457</v>
      </c>
      <c r="F7" s="42">
        <f t="shared" si="0"/>
        <v>21714</v>
      </c>
      <c r="G7" s="42">
        <f t="shared" si="0"/>
        <v>24141</v>
      </c>
      <c r="H7" s="42">
        <f t="shared" si="0"/>
        <v>22568</v>
      </c>
      <c r="I7" s="42">
        <f t="shared" si="0"/>
        <v>25075</v>
      </c>
      <c r="J7" s="42">
        <f t="shared" si="0"/>
        <v>27582</v>
      </c>
      <c r="K7" s="42">
        <f t="shared" si="0"/>
        <v>28962</v>
      </c>
      <c r="L7" s="42">
        <f t="shared" si="0"/>
        <v>20342</v>
      </c>
      <c r="M7" s="42">
        <f t="shared" si="0"/>
        <v>21722</v>
      </c>
    </row>
    <row r="8" spans="1:13" x14ac:dyDescent="0.3">
      <c r="A8" s="78" t="s">
        <v>204</v>
      </c>
      <c r="B8" s="42">
        <v>207</v>
      </c>
      <c r="C8" s="42">
        <v>1127</v>
      </c>
      <c r="D8" s="42">
        <v>1127</v>
      </c>
      <c r="E8" s="42">
        <v>1127</v>
      </c>
      <c r="F8" s="42">
        <v>1127</v>
      </c>
      <c r="G8" s="42">
        <v>1127</v>
      </c>
      <c r="H8" s="42">
        <v>1127</v>
      </c>
      <c r="I8" s="42">
        <v>1127</v>
      </c>
      <c r="J8" s="42"/>
      <c r="K8" s="42"/>
      <c r="L8" s="42"/>
      <c r="M8" s="42"/>
    </row>
    <row r="9" spans="1:13" x14ac:dyDescent="0.3">
      <c r="A9" s="78" t="s">
        <v>3</v>
      </c>
      <c r="B9" s="42">
        <v>490</v>
      </c>
      <c r="C9" s="42">
        <v>490</v>
      </c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4</v>
      </c>
      <c r="B10" s="42">
        <v>250</v>
      </c>
      <c r="C10" s="42">
        <v>280</v>
      </c>
      <c r="D10" s="42">
        <v>300</v>
      </c>
      <c r="E10" s="42">
        <v>300</v>
      </c>
      <c r="F10" s="42">
        <v>300</v>
      </c>
      <c r="G10" s="42">
        <v>300</v>
      </c>
      <c r="H10" s="42">
        <v>380</v>
      </c>
      <c r="I10" s="42">
        <v>380</v>
      </c>
      <c r="J10" s="42">
        <v>380</v>
      </c>
      <c r="K10" s="42">
        <v>380</v>
      </c>
      <c r="L10" s="42">
        <v>380</v>
      </c>
      <c r="M10" s="42">
        <v>380</v>
      </c>
    </row>
    <row r="11" spans="1:13" x14ac:dyDescent="0.3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395</v>
      </c>
      <c r="B13" s="42">
        <v>684</v>
      </c>
      <c r="C13" s="42">
        <v>830</v>
      </c>
      <c r="D13" s="42">
        <v>830</v>
      </c>
      <c r="E13" s="42">
        <v>830</v>
      </c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>
        <v>600</v>
      </c>
      <c r="C15" s="42">
        <v>1000</v>
      </c>
      <c r="D15" s="42">
        <v>1000</v>
      </c>
      <c r="E15" s="42">
        <v>1000</v>
      </c>
      <c r="F15" s="42">
        <v>1000</v>
      </c>
      <c r="G15" s="42">
        <v>1000</v>
      </c>
      <c r="H15" s="42">
        <v>1000</v>
      </c>
      <c r="I15" s="42">
        <v>1000</v>
      </c>
      <c r="J15" s="42">
        <v>1000</v>
      </c>
      <c r="K15" s="42">
        <v>1000</v>
      </c>
      <c r="L15" s="42">
        <v>1000</v>
      </c>
      <c r="M15" s="42">
        <v>1000</v>
      </c>
    </row>
    <row r="16" spans="1:13" x14ac:dyDescent="0.3">
      <c r="A16" s="78" t="s">
        <v>6</v>
      </c>
      <c r="B16" s="43">
        <f t="shared" ref="B16:M16" si="1">SUM(B7:B15)</f>
        <v>11473</v>
      </c>
      <c r="C16" s="43">
        <f t="shared" si="1"/>
        <v>15200</v>
      </c>
      <c r="D16" s="43">
        <f t="shared" si="1"/>
        <v>18457</v>
      </c>
      <c r="E16" s="43">
        <f t="shared" si="1"/>
        <v>21714</v>
      </c>
      <c r="F16" s="43">
        <f t="shared" si="1"/>
        <v>24141</v>
      </c>
      <c r="G16" s="43">
        <f t="shared" si="1"/>
        <v>26568</v>
      </c>
      <c r="H16" s="43">
        <f t="shared" si="1"/>
        <v>25075</v>
      </c>
      <c r="I16" s="43">
        <f t="shared" si="1"/>
        <v>27582</v>
      </c>
      <c r="J16" s="43">
        <f t="shared" si="1"/>
        <v>28962</v>
      </c>
      <c r="K16" s="43">
        <f t="shared" si="1"/>
        <v>30342</v>
      </c>
      <c r="L16" s="43">
        <f t="shared" si="1"/>
        <v>21722</v>
      </c>
      <c r="M16" s="43">
        <f t="shared" si="1"/>
        <v>23102</v>
      </c>
    </row>
    <row r="17" spans="1:13" ht="21" thickBot="1" x14ac:dyDescent="0.35">
      <c r="A17" s="78" t="s">
        <v>7</v>
      </c>
      <c r="B17" s="44"/>
      <c r="C17" s="44"/>
      <c r="D17" s="44"/>
      <c r="E17" s="44"/>
      <c r="F17" s="44"/>
      <c r="G17" s="44">
        <v>4000</v>
      </c>
      <c r="H17" s="44"/>
      <c r="I17" s="44"/>
      <c r="J17" s="44"/>
      <c r="K17" s="44">
        <v>10000</v>
      </c>
      <c r="L17" s="44"/>
      <c r="M17" s="44"/>
    </row>
    <row r="18" spans="1:13" ht="21" thickBot="1" x14ac:dyDescent="0.35">
      <c r="A18" s="78" t="s">
        <v>111</v>
      </c>
      <c r="B18" s="45">
        <f t="shared" ref="B18:M18" si="2">B16-B17</f>
        <v>11473</v>
      </c>
      <c r="C18" s="46">
        <f t="shared" si="2"/>
        <v>15200</v>
      </c>
      <c r="D18" s="46">
        <f t="shared" si="2"/>
        <v>18457</v>
      </c>
      <c r="E18" s="46">
        <f t="shared" si="2"/>
        <v>21714</v>
      </c>
      <c r="F18" s="46">
        <f t="shared" si="2"/>
        <v>24141</v>
      </c>
      <c r="G18" s="46">
        <f t="shared" si="2"/>
        <v>22568</v>
      </c>
      <c r="H18" s="46">
        <f t="shared" si="2"/>
        <v>25075</v>
      </c>
      <c r="I18" s="46">
        <f>I16-I17</f>
        <v>27582</v>
      </c>
      <c r="J18" s="46">
        <f>J16-J17</f>
        <v>28962</v>
      </c>
      <c r="K18" s="46">
        <f t="shared" si="2"/>
        <v>20342</v>
      </c>
      <c r="L18" s="46">
        <f t="shared" si="2"/>
        <v>21722</v>
      </c>
      <c r="M18" s="47">
        <f t="shared" si="2"/>
        <v>23102</v>
      </c>
    </row>
    <row r="19" spans="1:13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3">
      <c r="A20" s="78"/>
      <c r="B20" s="82">
        <v>43466</v>
      </c>
      <c r="C20" s="82">
        <v>43497</v>
      </c>
      <c r="D20" s="82">
        <v>43525</v>
      </c>
      <c r="E20" s="82">
        <v>43556</v>
      </c>
      <c r="F20" s="82">
        <v>43586</v>
      </c>
      <c r="G20" s="82">
        <v>43617</v>
      </c>
      <c r="H20" s="82">
        <v>43647</v>
      </c>
      <c r="I20" s="82">
        <v>43678</v>
      </c>
      <c r="J20" s="82">
        <v>43709</v>
      </c>
      <c r="K20" s="82">
        <v>43739</v>
      </c>
      <c r="L20" s="82">
        <v>43770</v>
      </c>
      <c r="M20" s="82">
        <v>43800</v>
      </c>
    </row>
    <row r="21" spans="1:13" x14ac:dyDescent="0.3">
      <c r="A21" s="78" t="s">
        <v>110</v>
      </c>
      <c r="B21" s="42">
        <v>23102</v>
      </c>
      <c r="C21" s="42">
        <f>B32</f>
        <v>24502</v>
      </c>
      <c r="D21" s="42">
        <f t="shared" ref="D21:M21" si="3">C32</f>
        <v>24502</v>
      </c>
      <c r="E21" s="42">
        <f t="shared" si="3"/>
        <v>24502</v>
      </c>
      <c r="F21" s="42">
        <f t="shared" si="3"/>
        <v>24502</v>
      </c>
      <c r="G21" s="42">
        <f t="shared" si="3"/>
        <v>24502</v>
      </c>
      <c r="H21" s="42">
        <f t="shared" si="3"/>
        <v>24502</v>
      </c>
      <c r="I21" s="42">
        <f t="shared" si="3"/>
        <v>24502</v>
      </c>
      <c r="J21" s="42">
        <f t="shared" si="3"/>
        <v>24502</v>
      </c>
      <c r="K21" s="42">
        <f t="shared" si="3"/>
        <v>24502</v>
      </c>
      <c r="L21" s="42">
        <f t="shared" si="3"/>
        <v>24502</v>
      </c>
      <c r="M21" s="42">
        <f t="shared" si="3"/>
        <v>24502</v>
      </c>
    </row>
    <row r="22" spans="1:13" x14ac:dyDescent="0.3">
      <c r="A22" s="7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3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4</v>
      </c>
      <c r="B24" s="42">
        <v>400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108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5</v>
      </c>
      <c r="B29" s="42">
        <v>1000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6</v>
      </c>
      <c r="B30" s="43">
        <f t="shared" ref="B30:M30" si="4">SUM(B21:B29)</f>
        <v>24502</v>
      </c>
      <c r="C30" s="43">
        <f t="shared" si="4"/>
        <v>24502</v>
      </c>
      <c r="D30" s="43">
        <f t="shared" si="4"/>
        <v>24502</v>
      </c>
      <c r="E30" s="43">
        <f t="shared" si="4"/>
        <v>24502</v>
      </c>
      <c r="F30" s="43">
        <f t="shared" si="4"/>
        <v>24502</v>
      </c>
      <c r="G30" s="43">
        <f>SUM(G21:G29)</f>
        <v>24502</v>
      </c>
      <c r="H30" s="43">
        <f t="shared" si="4"/>
        <v>24502</v>
      </c>
      <c r="I30" s="43">
        <f t="shared" si="4"/>
        <v>24502</v>
      </c>
      <c r="J30" s="43">
        <f t="shared" si="4"/>
        <v>24502</v>
      </c>
      <c r="K30" s="43">
        <f t="shared" si="4"/>
        <v>24502</v>
      </c>
      <c r="L30" s="43">
        <f t="shared" si="4"/>
        <v>24502</v>
      </c>
      <c r="M30" s="43">
        <f t="shared" si="4"/>
        <v>24502</v>
      </c>
    </row>
    <row r="31" spans="1:13" ht="21" thickBot="1" x14ac:dyDescent="0.35">
      <c r="A31" s="78" t="s">
        <v>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21" thickBot="1" x14ac:dyDescent="0.35">
      <c r="A32" s="78" t="s">
        <v>111</v>
      </c>
      <c r="B32" s="45">
        <f t="shared" ref="B32:M32" si="5">B30-B31</f>
        <v>24502</v>
      </c>
      <c r="C32" s="46">
        <f t="shared" si="5"/>
        <v>24502</v>
      </c>
      <c r="D32" s="46">
        <f t="shared" si="5"/>
        <v>24502</v>
      </c>
      <c r="E32" s="46">
        <f t="shared" si="5"/>
        <v>24502</v>
      </c>
      <c r="F32" s="46">
        <f t="shared" si="5"/>
        <v>24502</v>
      </c>
      <c r="G32" s="46">
        <f t="shared" si="5"/>
        <v>24502</v>
      </c>
      <c r="H32" s="46">
        <f t="shared" si="5"/>
        <v>24502</v>
      </c>
      <c r="I32" s="46">
        <f t="shared" si="5"/>
        <v>24502</v>
      </c>
      <c r="J32" s="46">
        <f t="shared" si="5"/>
        <v>24502</v>
      </c>
      <c r="K32" s="46">
        <f t="shared" si="5"/>
        <v>24502</v>
      </c>
      <c r="L32" s="46">
        <f t="shared" si="5"/>
        <v>24502</v>
      </c>
      <c r="M32" s="47">
        <f t="shared" si="5"/>
        <v>24502</v>
      </c>
    </row>
    <row r="35" spans="1:2" x14ac:dyDescent="0.3">
      <c r="A35" s="2" t="s">
        <v>334</v>
      </c>
      <c r="B35" s="2">
        <v>1190</v>
      </c>
    </row>
  </sheetData>
  <mergeCells count="1">
    <mergeCell ref="B2:G2"/>
  </mergeCells>
  <phoneticPr fontId="4" type="noConversion"/>
  <pageMargins left="0.75" right="0.75" top="1" bottom="1" header="0" footer="0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6"/>
  <dimension ref="A4:M33"/>
  <sheetViews>
    <sheetView topLeftCell="A7" workbookViewId="0">
      <selection activeCell="L30" sqref="L30"/>
    </sheetView>
  </sheetViews>
  <sheetFormatPr baseColWidth="10" defaultRowHeight="12.75" x14ac:dyDescent="0.2"/>
  <cols>
    <col min="1" max="1" width="25.42578125" customWidth="1"/>
  </cols>
  <sheetData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2">
      <c r="A5" s="81"/>
      <c r="B5" s="82">
        <v>43831</v>
      </c>
      <c r="C5" s="82">
        <v>43862</v>
      </c>
      <c r="D5" s="82">
        <v>43891</v>
      </c>
      <c r="E5" s="82">
        <v>43922</v>
      </c>
      <c r="F5" s="82">
        <v>43952</v>
      </c>
      <c r="G5" s="82">
        <v>43983</v>
      </c>
      <c r="H5" s="82">
        <v>44013</v>
      </c>
      <c r="I5" s="82">
        <v>44044</v>
      </c>
      <c r="J5" s="82">
        <v>44075</v>
      </c>
      <c r="K5" s="82">
        <v>44105</v>
      </c>
      <c r="L5" s="82">
        <v>44136</v>
      </c>
      <c r="M5" s="82">
        <v>44166</v>
      </c>
    </row>
    <row r="6" spans="1:13" x14ac:dyDescent="0.2">
      <c r="A6" s="7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3000</v>
      </c>
      <c r="F6" s="42">
        <f t="shared" si="0"/>
        <v>6000</v>
      </c>
      <c r="G6" s="42">
        <f t="shared" si="0"/>
        <v>9400</v>
      </c>
      <c r="H6" s="42">
        <f t="shared" si="0"/>
        <v>3000</v>
      </c>
      <c r="I6" s="42">
        <f t="shared" si="0"/>
        <v>3000</v>
      </c>
      <c r="J6" s="42">
        <f t="shared" si="0"/>
        <v>6600</v>
      </c>
      <c r="K6" s="42">
        <f t="shared" si="0"/>
        <v>0</v>
      </c>
      <c r="L6" s="42">
        <f t="shared" si="0"/>
        <v>3600</v>
      </c>
      <c r="M6" s="42">
        <f t="shared" si="0"/>
        <v>7200</v>
      </c>
    </row>
    <row r="7" spans="1:13" x14ac:dyDescent="0.2">
      <c r="A7" s="78" t="s">
        <v>2</v>
      </c>
      <c r="B7" s="42"/>
      <c r="C7" s="42"/>
      <c r="D7" s="42">
        <v>2000</v>
      </c>
      <c r="E7" s="42">
        <v>2000</v>
      </c>
      <c r="F7" s="42">
        <v>2000</v>
      </c>
      <c r="G7" s="42">
        <v>2000</v>
      </c>
      <c r="H7" s="42">
        <v>2000</v>
      </c>
      <c r="I7" s="42">
        <v>2000</v>
      </c>
      <c r="J7" s="42">
        <v>2000</v>
      </c>
      <c r="K7" s="42">
        <v>2000</v>
      </c>
      <c r="L7" s="42">
        <v>2000</v>
      </c>
      <c r="M7" s="42">
        <v>2000</v>
      </c>
    </row>
    <row r="8" spans="1:13" x14ac:dyDescent="0.2">
      <c r="A8" s="78" t="s">
        <v>3</v>
      </c>
      <c r="B8" s="42"/>
      <c r="C8" s="42"/>
      <c r="D8" s="42"/>
      <c r="E8" s="42"/>
      <c r="F8" s="42">
        <v>400</v>
      </c>
      <c r="G8" s="42">
        <v>600</v>
      </c>
      <c r="H8" s="42">
        <v>600</v>
      </c>
      <c r="I8" s="42">
        <v>600</v>
      </c>
      <c r="J8" s="42">
        <v>600</v>
      </c>
      <c r="K8" s="42">
        <v>600</v>
      </c>
      <c r="L8" s="42">
        <v>600</v>
      </c>
      <c r="M8" s="42">
        <v>600</v>
      </c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/>
      <c r="C14" s="42"/>
      <c r="D14" s="42">
        <v>1000</v>
      </c>
      <c r="E14" s="42">
        <v>1000</v>
      </c>
      <c r="F14" s="42">
        <v>1000</v>
      </c>
      <c r="G14" s="42">
        <v>1000</v>
      </c>
      <c r="H14" s="42">
        <v>1000</v>
      </c>
      <c r="I14" s="42">
        <v>1000</v>
      </c>
      <c r="J14" s="42">
        <v>1000</v>
      </c>
      <c r="K14" s="42">
        <v>1000</v>
      </c>
      <c r="L14" s="42">
        <v>1000</v>
      </c>
      <c r="M14" s="42">
        <v>1000</v>
      </c>
    </row>
    <row r="15" spans="1:13" x14ac:dyDescent="0.2">
      <c r="A15" s="78" t="s">
        <v>6</v>
      </c>
      <c r="B15" s="43">
        <f t="shared" ref="B15:M15" si="1">SUM(B6:B14)</f>
        <v>0</v>
      </c>
      <c r="C15" s="43">
        <f t="shared" si="1"/>
        <v>0</v>
      </c>
      <c r="D15" s="43">
        <f t="shared" si="1"/>
        <v>3000</v>
      </c>
      <c r="E15" s="43">
        <f t="shared" si="1"/>
        <v>6000</v>
      </c>
      <c r="F15" s="43">
        <f t="shared" si="1"/>
        <v>9400</v>
      </c>
      <c r="G15" s="43">
        <f t="shared" si="1"/>
        <v>13000</v>
      </c>
      <c r="H15" s="43">
        <f t="shared" si="1"/>
        <v>6600</v>
      </c>
      <c r="I15" s="43">
        <f t="shared" si="1"/>
        <v>6600</v>
      </c>
      <c r="J15" s="43">
        <f t="shared" si="1"/>
        <v>10200</v>
      </c>
      <c r="K15" s="43">
        <f t="shared" si="1"/>
        <v>3600</v>
      </c>
      <c r="L15" s="43">
        <f t="shared" si="1"/>
        <v>7200</v>
      </c>
      <c r="M15" s="43">
        <f t="shared" si="1"/>
        <v>10800</v>
      </c>
    </row>
    <row r="16" spans="1:13" ht="13.5" thickBot="1" x14ac:dyDescent="0.25">
      <c r="A16" s="78" t="s">
        <v>7</v>
      </c>
      <c r="B16" s="44"/>
      <c r="C16" s="44"/>
      <c r="D16" s="44"/>
      <c r="E16" s="44"/>
      <c r="F16" s="44"/>
      <c r="G16" s="44">
        <v>10000</v>
      </c>
      <c r="H16" s="44">
        <v>3600</v>
      </c>
      <c r="I16" s="44"/>
      <c r="J16" s="44">
        <v>10200</v>
      </c>
      <c r="K16" s="44"/>
      <c r="L16" s="44"/>
      <c r="M16" s="44">
        <v>10800</v>
      </c>
    </row>
    <row r="17" spans="1:13" ht="13.5" thickBot="1" x14ac:dyDescent="0.25">
      <c r="A17" s="78" t="s">
        <v>111</v>
      </c>
      <c r="B17" s="45">
        <f t="shared" ref="B17:M17" si="2">B15-B16</f>
        <v>0</v>
      </c>
      <c r="C17" s="46">
        <f t="shared" si="2"/>
        <v>0</v>
      </c>
      <c r="D17" s="46">
        <f t="shared" si="2"/>
        <v>3000</v>
      </c>
      <c r="E17" s="46">
        <f t="shared" si="2"/>
        <v>6000</v>
      </c>
      <c r="F17" s="46">
        <f t="shared" si="2"/>
        <v>9400</v>
      </c>
      <c r="G17" s="46">
        <f t="shared" si="2"/>
        <v>3000</v>
      </c>
      <c r="H17" s="46">
        <f t="shared" si="2"/>
        <v>3000</v>
      </c>
      <c r="I17" s="46">
        <f t="shared" si="2"/>
        <v>6600</v>
      </c>
      <c r="J17" s="46">
        <f t="shared" si="2"/>
        <v>0</v>
      </c>
      <c r="K17" s="46">
        <f t="shared" si="2"/>
        <v>3600</v>
      </c>
      <c r="L17" s="46">
        <f t="shared" si="2"/>
        <v>7200</v>
      </c>
      <c r="M17" s="47">
        <f t="shared" si="2"/>
        <v>0</v>
      </c>
    </row>
    <row r="20" spans="1:13" ht="15.75" x14ac:dyDescent="0.25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2">
      <c r="A21" s="81"/>
      <c r="B21" s="82">
        <v>44197</v>
      </c>
      <c r="C21" s="82">
        <v>44228</v>
      </c>
      <c r="D21" s="82">
        <v>44256</v>
      </c>
      <c r="E21" s="82">
        <v>44287</v>
      </c>
      <c r="F21" s="82">
        <v>44317</v>
      </c>
      <c r="G21" s="82">
        <v>44348</v>
      </c>
      <c r="H21" s="82">
        <v>44378</v>
      </c>
      <c r="I21" s="82">
        <v>44409</v>
      </c>
      <c r="J21" s="82">
        <v>44440</v>
      </c>
      <c r="K21" s="82">
        <v>44470</v>
      </c>
      <c r="L21" s="82">
        <v>44501</v>
      </c>
      <c r="M21" s="82">
        <v>44531</v>
      </c>
    </row>
    <row r="22" spans="1:13" x14ac:dyDescent="0.2">
      <c r="A22" s="78" t="s">
        <v>110</v>
      </c>
      <c r="B22" s="42"/>
      <c r="C22" s="42">
        <f t="shared" ref="C22:M22" si="3">B33</f>
        <v>3600</v>
      </c>
      <c r="D22" s="42">
        <f t="shared" si="3"/>
        <v>8100</v>
      </c>
      <c r="E22" s="42">
        <f t="shared" si="3"/>
        <v>0</v>
      </c>
      <c r="F22" s="42">
        <f t="shared" si="3"/>
        <v>4500</v>
      </c>
      <c r="G22" s="42">
        <f t="shared" si="3"/>
        <v>9000</v>
      </c>
      <c r="H22" s="42">
        <f t="shared" si="3"/>
        <v>13500</v>
      </c>
      <c r="I22" s="42">
        <f t="shared" si="3"/>
        <v>0</v>
      </c>
      <c r="J22" s="42">
        <f t="shared" si="3"/>
        <v>5883</v>
      </c>
      <c r="K22" s="42">
        <f t="shared" si="3"/>
        <v>13066</v>
      </c>
      <c r="L22" s="42">
        <f t="shared" si="3"/>
        <v>0</v>
      </c>
      <c r="M22" s="42">
        <f t="shared" si="3"/>
        <v>4583</v>
      </c>
    </row>
    <row r="23" spans="1:13" x14ac:dyDescent="0.2">
      <c r="A23" s="78" t="s">
        <v>2</v>
      </c>
      <c r="B23" s="42">
        <v>2000</v>
      </c>
      <c r="C23" s="42">
        <v>2250</v>
      </c>
      <c r="D23" s="42">
        <v>2250</v>
      </c>
      <c r="E23" s="42">
        <v>2250</v>
      </c>
      <c r="F23" s="42">
        <v>2250</v>
      </c>
      <c r="G23" s="42">
        <v>2250</v>
      </c>
      <c r="H23" s="42">
        <v>3715</v>
      </c>
      <c r="I23" s="42">
        <v>4383</v>
      </c>
      <c r="J23" s="42">
        <v>4383</v>
      </c>
      <c r="K23" s="42">
        <v>4383</v>
      </c>
      <c r="L23" s="42">
        <v>4383</v>
      </c>
      <c r="M23" s="42"/>
    </row>
    <row r="24" spans="1:13" x14ac:dyDescent="0.2">
      <c r="A24" s="78" t="s">
        <v>3</v>
      </c>
      <c r="B24" s="42">
        <v>600</v>
      </c>
      <c r="C24" s="42">
        <v>750</v>
      </c>
      <c r="D24" s="42">
        <v>750</v>
      </c>
      <c r="E24" s="42">
        <v>750</v>
      </c>
      <c r="F24" s="42">
        <v>750</v>
      </c>
      <c r="G24" s="42">
        <v>750</v>
      </c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2</v>
      </c>
      <c r="B28" s="42"/>
      <c r="C28" s="42"/>
      <c r="D28" s="42"/>
      <c r="E28" s="42"/>
      <c r="F28" s="42"/>
      <c r="G28" s="42"/>
      <c r="H28" s="42"/>
      <c r="I28" s="42"/>
      <c r="J28" s="42">
        <v>1300</v>
      </c>
      <c r="K28" s="42"/>
      <c r="L28" s="42"/>
      <c r="M28" s="42"/>
    </row>
    <row r="29" spans="1:13" x14ac:dyDescent="0.2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 t="s">
        <v>551</v>
      </c>
      <c r="K29" s="42"/>
      <c r="L29" s="42"/>
      <c r="M29" s="42"/>
    </row>
    <row r="30" spans="1:13" x14ac:dyDescent="0.2">
      <c r="A30" s="78" t="s">
        <v>5</v>
      </c>
      <c r="B30" s="42">
        <v>1000</v>
      </c>
      <c r="C30" s="42">
        <v>1500</v>
      </c>
      <c r="D30" s="42">
        <v>1500</v>
      </c>
      <c r="E30" s="42">
        <v>1500</v>
      </c>
      <c r="F30" s="42">
        <v>1500</v>
      </c>
      <c r="G30" s="42">
        <v>1500</v>
      </c>
      <c r="H30" s="42">
        <v>1500</v>
      </c>
      <c r="I30" s="42">
        <v>1500</v>
      </c>
      <c r="J30" s="42">
        <v>1500</v>
      </c>
      <c r="K30" s="42">
        <v>1500</v>
      </c>
      <c r="L30" s="42">
        <v>200</v>
      </c>
      <c r="M30" s="42"/>
    </row>
    <row r="31" spans="1:13" x14ac:dyDescent="0.2">
      <c r="A31" s="78" t="s">
        <v>6</v>
      </c>
      <c r="B31" s="43">
        <f t="shared" ref="B31:M31" si="4">SUM(B22:B30)</f>
        <v>3600</v>
      </c>
      <c r="C31" s="43">
        <f t="shared" si="4"/>
        <v>8100</v>
      </c>
      <c r="D31" s="43">
        <f t="shared" si="4"/>
        <v>12600</v>
      </c>
      <c r="E31" s="43">
        <f t="shared" si="4"/>
        <v>4500</v>
      </c>
      <c r="F31" s="43">
        <f t="shared" si="4"/>
        <v>9000</v>
      </c>
      <c r="G31" s="43">
        <f t="shared" si="4"/>
        <v>13500</v>
      </c>
      <c r="H31" s="43">
        <f t="shared" si="4"/>
        <v>18715</v>
      </c>
      <c r="I31" s="43">
        <f t="shared" si="4"/>
        <v>5883</v>
      </c>
      <c r="J31" s="43">
        <f t="shared" si="4"/>
        <v>13066</v>
      </c>
      <c r="K31" s="43">
        <f t="shared" si="4"/>
        <v>18949</v>
      </c>
      <c r="L31" s="43">
        <f t="shared" si="4"/>
        <v>4583</v>
      </c>
      <c r="M31" s="43">
        <f t="shared" si="4"/>
        <v>4583</v>
      </c>
    </row>
    <row r="32" spans="1:13" ht="13.5" thickBot="1" x14ac:dyDescent="0.25">
      <c r="A32" s="78" t="s">
        <v>7</v>
      </c>
      <c r="B32" s="44"/>
      <c r="C32" s="44"/>
      <c r="D32" s="44">
        <v>12600</v>
      </c>
      <c r="E32" s="44"/>
      <c r="F32" s="44"/>
      <c r="G32" s="44"/>
      <c r="H32" s="44">
        <v>18715</v>
      </c>
      <c r="I32" s="44"/>
      <c r="J32" s="44"/>
      <c r="K32" s="44">
        <v>18949</v>
      </c>
      <c r="L32" s="44"/>
      <c r="M32" s="44"/>
    </row>
    <row r="33" spans="1:13" ht="13.5" thickBot="1" x14ac:dyDescent="0.25">
      <c r="A33" s="78" t="s">
        <v>111</v>
      </c>
      <c r="B33" s="45">
        <f t="shared" ref="B33:M33" si="5">B31-B32</f>
        <v>3600</v>
      </c>
      <c r="C33" s="46">
        <f t="shared" si="5"/>
        <v>8100</v>
      </c>
      <c r="D33" s="46">
        <f t="shared" si="5"/>
        <v>0</v>
      </c>
      <c r="E33" s="46">
        <f t="shared" si="5"/>
        <v>4500</v>
      </c>
      <c r="F33" s="46">
        <f t="shared" si="5"/>
        <v>9000</v>
      </c>
      <c r="G33" s="46">
        <f t="shared" si="5"/>
        <v>13500</v>
      </c>
      <c r="H33" s="46">
        <f t="shared" si="5"/>
        <v>0</v>
      </c>
      <c r="I33" s="46">
        <f t="shared" si="5"/>
        <v>5883</v>
      </c>
      <c r="J33" s="46">
        <f t="shared" si="5"/>
        <v>13066</v>
      </c>
      <c r="K33" s="46">
        <f t="shared" si="5"/>
        <v>0</v>
      </c>
      <c r="L33" s="46">
        <f t="shared" si="5"/>
        <v>4583</v>
      </c>
      <c r="M33" s="47">
        <f t="shared" si="5"/>
        <v>4583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7"/>
  <dimension ref="A1:M50"/>
  <sheetViews>
    <sheetView topLeftCell="A10" workbookViewId="0">
      <selection activeCell="B3" sqref="B3"/>
    </sheetView>
  </sheetViews>
  <sheetFormatPr baseColWidth="10" defaultRowHeight="20.25" x14ac:dyDescent="0.3"/>
  <cols>
    <col min="1" max="1" width="28.85546875" style="2" customWidth="1"/>
    <col min="2" max="3" width="11.42578125" style="2" bestFit="1" customWidth="1"/>
    <col min="4" max="5" width="11.42578125" style="2" customWidth="1"/>
    <col min="6" max="6" width="11.5703125" style="2" bestFit="1" customWidth="1"/>
    <col min="7" max="7" width="11.42578125" style="2" bestFit="1" customWidth="1"/>
    <col min="8" max="8" width="11.5703125" style="2" customWidth="1"/>
    <col min="9" max="10" width="12.5703125" style="2" bestFit="1" customWidth="1"/>
    <col min="11" max="11" width="13.85546875" style="2" bestFit="1" customWidth="1"/>
    <col min="12" max="12" width="13.5703125" style="2" customWidth="1"/>
    <col min="13" max="13" width="13.85546875" style="2" bestFit="1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573</v>
      </c>
      <c r="C2" s="216"/>
      <c r="D2" s="216"/>
      <c r="E2" s="216"/>
      <c r="F2" s="216"/>
      <c r="G2" s="216"/>
    </row>
    <row r="4" spans="1:13" x14ac:dyDescent="0.3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3">
      <c r="A5" s="81"/>
      <c r="B5" s="82">
        <v>44562</v>
      </c>
      <c r="C5" s="82">
        <v>44593</v>
      </c>
      <c r="D5" s="82">
        <v>44621</v>
      </c>
      <c r="E5" s="82">
        <v>44652</v>
      </c>
      <c r="F5" s="82">
        <v>44682</v>
      </c>
      <c r="G5" s="82">
        <v>44713</v>
      </c>
      <c r="H5" s="82">
        <v>44743</v>
      </c>
      <c r="I5" s="82">
        <v>44774</v>
      </c>
      <c r="J5" s="82">
        <v>44805</v>
      </c>
      <c r="K5" s="82">
        <v>44835</v>
      </c>
      <c r="L5" s="82">
        <v>44866</v>
      </c>
      <c r="M5" s="82">
        <v>44896</v>
      </c>
    </row>
    <row r="6" spans="1:13" x14ac:dyDescent="0.3">
      <c r="A6" s="78" t="s">
        <v>110</v>
      </c>
      <c r="B6" s="42"/>
      <c r="C6" s="42">
        <f t="shared" ref="C6:M6" si="0">B17</f>
        <v>0</v>
      </c>
      <c r="D6" s="42">
        <f t="shared" si="0"/>
        <v>20000</v>
      </c>
      <c r="E6" s="42">
        <f t="shared" si="0"/>
        <v>20000</v>
      </c>
      <c r="F6" s="42">
        <f t="shared" si="0"/>
        <v>20000</v>
      </c>
      <c r="G6" s="42">
        <f t="shared" si="0"/>
        <v>20000</v>
      </c>
      <c r="H6" s="42">
        <f t="shared" si="0"/>
        <v>20000</v>
      </c>
      <c r="I6" s="42">
        <f t="shared" si="0"/>
        <v>20000</v>
      </c>
      <c r="J6" s="42">
        <f t="shared" si="0"/>
        <v>20000</v>
      </c>
      <c r="K6" s="42">
        <f t="shared" si="0"/>
        <v>20000</v>
      </c>
      <c r="L6" s="42">
        <f t="shared" si="0"/>
        <v>20000</v>
      </c>
      <c r="M6" s="42">
        <f t="shared" si="0"/>
        <v>20000</v>
      </c>
    </row>
    <row r="7" spans="1:13" x14ac:dyDescent="0.3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3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5</v>
      </c>
      <c r="B14" s="42"/>
      <c r="C14" s="42">
        <v>20000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6</v>
      </c>
      <c r="B15" s="43">
        <f t="shared" ref="B15:M15" si="1">SUM(B6:B14)</f>
        <v>0</v>
      </c>
      <c r="C15" s="43">
        <f t="shared" si="1"/>
        <v>20000</v>
      </c>
      <c r="D15" s="43">
        <f t="shared" si="1"/>
        <v>20000</v>
      </c>
      <c r="E15" s="43">
        <f t="shared" si="1"/>
        <v>20000</v>
      </c>
      <c r="F15" s="43">
        <f t="shared" si="1"/>
        <v>20000</v>
      </c>
      <c r="G15" s="43">
        <f t="shared" si="1"/>
        <v>20000</v>
      </c>
      <c r="H15" s="43">
        <f t="shared" si="1"/>
        <v>20000</v>
      </c>
      <c r="I15" s="43">
        <f t="shared" si="1"/>
        <v>20000</v>
      </c>
      <c r="J15" s="43">
        <f t="shared" si="1"/>
        <v>20000</v>
      </c>
      <c r="K15" s="43">
        <f t="shared" si="1"/>
        <v>20000</v>
      </c>
      <c r="L15" s="43">
        <f t="shared" si="1"/>
        <v>20000</v>
      </c>
      <c r="M15" s="43">
        <f t="shared" si="1"/>
        <v>20000</v>
      </c>
    </row>
    <row r="16" spans="1:13" ht="21" thickBot="1" x14ac:dyDescent="0.35">
      <c r="A16" s="78" t="s">
        <v>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ht="21" thickBot="1" x14ac:dyDescent="0.35">
      <c r="A17" s="78" t="s">
        <v>111</v>
      </c>
      <c r="B17" s="45">
        <f t="shared" ref="B17:M17" si="2">B15-B16</f>
        <v>0</v>
      </c>
      <c r="C17" s="46">
        <f t="shared" si="2"/>
        <v>20000</v>
      </c>
      <c r="D17" s="46">
        <f t="shared" si="2"/>
        <v>20000</v>
      </c>
      <c r="E17" s="46">
        <f t="shared" si="2"/>
        <v>20000</v>
      </c>
      <c r="F17" s="46">
        <f t="shared" si="2"/>
        <v>20000</v>
      </c>
      <c r="G17" s="46">
        <f t="shared" si="2"/>
        <v>20000</v>
      </c>
      <c r="H17" s="46">
        <f t="shared" si="2"/>
        <v>20000</v>
      </c>
      <c r="I17" s="46">
        <f t="shared" si="2"/>
        <v>20000</v>
      </c>
      <c r="J17" s="46">
        <f t="shared" si="2"/>
        <v>20000</v>
      </c>
      <c r="K17" s="46">
        <f t="shared" si="2"/>
        <v>20000</v>
      </c>
      <c r="L17" s="46">
        <f t="shared" si="2"/>
        <v>20000</v>
      </c>
      <c r="M17" s="46">
        <f t="shared" si="2"/>
        <v>20000</v>
      </c>
    </row>
    <row r="20" spans="1:13" x14ac:dyDescent="0.3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3">
      <c r="A21" s="81"/>
      <c r="B21" s="82">
        <v>43466</v>
      </c>
      <c r="C21" s="82">
        <v>43497</v>
      </c>
      <c r="D21" s="82">
        <v>43525</v>
      </c>
      <c r="E21" s="82">
        <v>43556</v>
      </c>
      <c r="F21" s="82">
        <v>43586</v>
      </c>
      <c r="G21" s="82">
        <v>43617</v>
      </c>
      <c r="H21" s="82">
        <v>43647</v>
      </c>
      <c r="I21" s="82">
        <v>43678</v>
      </c>
      <c r="J21" s="82">
        <v>43709</v>
      </c>
      <c r="K21" s="82">
        <v>43739</v>
      </c>
      <c r="L21" s="82">
        <v>43770</v>
      </c>
      <c r="M21" s="82">
        <v>43800</v>
      </c>
    </row>
    <row r="22" spans="1:13" x14ac:dyDescent="0.3">
      <c r="A22" s="78" t="s">
        <v>110</v>
      </c>
      <c r="B22" s="42"/>
      <c r="C22" s="42">
        <f>B33</f>
        <v>0</v>
      </c>
      <c r="D22" s="42">
        <f t="shared" ref="D22:J22" si="3">C33</f>
        <v>0</v>
      </c>
      <c r="E22" s="42">
        <f t="shared" si="3"/>
        <v>-690</v>
      </c>
      <c r="F22" s="42">
        <f t="shared" si="3"/>
        <v>0</v>
      </c>
      <c r="G22" s="42">
        <f t="shared" si="3"/>
        <v>360</v>
      </c>
      <c r="H22" s="42">
        <f t="shared" si="3"/>
        <v>0</v>
      </c>
      <c r="I22" s="42">
        <f>H33</f>
        <v>35</v>
      </c>
      <c r="J22" s="42">
        <f t="shared" si="3"/>
        <v>105</v>
      </c>
      <c r="K22" s="42">
        <f>J33</f>
        <v>-445</v>
      </c>
      <c r="L22" s="42">
        <f>K33</f>
        <v>-815</v>
      </c>
      <c r="M22" s="42">
        <f>L33</f>
        <v>-185</v>
      </c>
    </row>
    <row r="23" spans="1:13" x14ac:dyDescent="0.3">
      <c r="A23" s="7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3</v>
      </c>
      <c r="B24" s="42">
        <v>700</v>
      </c>
      <c r="C24" s="42">
        <v>750</v>
      </c>
      <c r="D24" s="42">
        <v>800</v>
      </c>
      <c r="E24" s="42">
        <v>800</v>
      </c>
      <c r="F24" s="42">
        <v>800</v>
      </c>
      <c r="G24" s="42">
        <v>800</v>
      </c>
      <c r="H24" s="42">
        <v>800</v>
      </c>
      <c r="I24" s="42">
        <v>800</v>
      </c>
      <c r="J24" s="42">
        <v>800</v>
      </c>
      <c r="K24" s="42">
        <v>930</v>
      </c>
      <c r="L24" s="42">
        <v>930</v>
      </c>
      <c r="M24" s="42">
        <v>930</v>
      </c>
    </row>
    <row r="25" spans="1:13" x14ac:dyDescent="0.3">
      <c r="A25" s="78" t="s">
        <v>4</v>
      </c>
      <c r="B25" s="42">
        <v>400</v>
      </c>
      <c r="C25" s="42">
        <v>510</v>
      </c>
      <c r="D25" s="42">
        <v>510</v>
      </c>
      <c r="E25" s="42">
        <v>510</v>
      </c>
      <c r="F25" s="42">
        <v>560</v>
      </c>
      <c r="G25" s="42">
        <v>560</v>
      </c>
      <c r="H25" s="42">
        <v>615</v>
      </c>
      <c r="I25" s="42">
        <v>650</v>
      </c>
      <c r="J25" s="42">
        <v>650</v>
      </c>
      <c r="K25" s="42">
        <v>700</v>
      </c>
      <c r="L25" s="42">
        <v>700</v>
      </c>
      <c r="M25" s="42">
        <v>700</v>
      </c>
    </row>
    <row r="26" spans="1:13" x14ac:dyDescent="0.3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2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</v>
      </c>
      <c r="B30" s="42">
        <v>1500</v>
      </c>
      <c r="C30" s="42">
        <v>1500</v>
      </c>
      <c r="D30" s="42">
        <v>2000</v>
      </c>
      <c r="E30" s="42">
        <v>2000</v>
      </c>
      <c r="F30" s="42">
        <v>2000</v>
      </c>
      <c r="G30" s="42">
        <v>2000</v>
      </c>
      <c r="H30" s="42">
        <v>2000</v>
      </c>
      <c r="I30" s="42">
        <v>2000</v>
      </c>
      <c r="J30" s="42">
        <v>2000</v>
      </c>
      <c r="K30" s="42">
        <v>2000</v>
      </c>
      <c r="L30" s="42">
        <v>2000</v>
      </c>
      <c r="M30" s="42">
        <v>2000</v>
      </c>
    </row>
    <row r="31" spans="1:13" x14ac:dyDescent="0.3">
      <c r="A31" s="78" t="s">
        <v>6</v>
      </c>
      <c r="B31" s="43">
        <f t="shared" ref="B31:M31" si="4">SUM(B22:B30)</f>
        <v>2600</v>
      </c>
      <c r="C31" s="43">
        <f t="shared" si="4"/>
        <v>2760</v>
      </c>
      <c r="D31" s="43">
        <f t="shared" si="4"/>
        <v>3310</v>
      </c>
      <c r="E31" s="43">
        <f t="shared" si="4"/>
        <v>2620</v>
      </c>
      <c r="F31" s="43">
        <f t="shared" si="4"/>
        <v>3360</v>
      </c>
      <c r="G31" s="43">
        <f t="shared" si="4"/>
        <v>3720</v>
      </c>
      <c r="H31" s="43">
        <f t="shared" si="4"/>
        <v>3415</v>
      </c>
      <c r="I31" s="43">
        <f t="shared" si="4"/>
        <v>3485</v>
      </c>
      <c r="J31" s="43">
        <f t="shared" si="4"/>
        <v>3555</v>
      </c>
      <c r="K31" s="43">
        <f t="shared" si="4"/>
        <v>3185</v>
      </c>
      <c r="L31" s="43">
        <f t="shared" si="4"/>
        <v>2815</v>
      </c>
      <c r="M31" s="43">
        <f t="shared" si="4"/>
        <v>3445</v>
      </c>
    </row>
    <row r="32" spans="1:13" ht="21" thickBot="1" x14ac:dyDescent="0.35">
      <c r="A32" s="78" t="s">
        <v>7</v>
      </c>
      <c r="B32" s="44">
        <v>2600</v>
      </c>
      <c r="C32" s="44">
        <v>2760</v>
      </c>
      <c r="D32" s="44">
        <v>4000</v>
      </c>
      <c r="E32" s="44">
        <v>2620</v>
      </c>
      <c r="F32" s="44">
        <v>3000</v>
      </c>
      <c r="G32" s="44">
        <v>3720</v>
      </c>
      <c r="H32" s="44">
        <v>3380</v>
      </c>
      <c r="I32" s="44">
        <v>3380</v>
      </c>
      <c r="J32" s="44">
        <v>4000</v>
      </c>
      <c r="K32" s="44">
        <v>4000</v>
      </c>
      <c r="L32" s="44">
        <v>3000</v>
      </c>
      <c r="M32" s="44">
        <v>3000</v>
      </c>
    </row>
    <row r="33" spans="1:13" ht="21" thickBot="1" x14ac:dyDescent="0.35">
      <c r="A33" s="78" t="s">
        <v>111</v>
      </c>
      <c r="B33" s="45">
        <f t="shared" ref="B33:M33" si="5">B31-B32</f>
        <v>0</v>
      </c>
      <c r="C33" s="46">
        <f t="shared" si="5"/>
        <v>0</v>
      </c>
      <c r="D33" s="46">
        <f t="shared" si="5"/>
        <v>-690</v>
      </c>
      <c r="E33" s="46">
        <f t="shared" si="5"/>
        <v>0</v>
      </c>
      <c r="F33" s="46">
        <f t="shared" si="5"/>
        <v>360</v>
      </c>
      <c r="G33" s="46">
        <f t="shared" si="5"/>
        <v>0</v>
      </c>
      <c r="H33" s="46">
        <f t="shared" si="5"/>
        <v>35</v>
      </c>
      <c r="I33" s="46">
        <f t="shared" si="5"/>
        <v>105</v>
      </c>
      <c r="J33" s="46">
        <f t="shared" si="5"/>
        <v>-445</v>
      </c>
      <c r="K33" s="46">
        <f t="shared" si="5"/>
        <v>-815</v>
      </c>
      <c r="L33" s="46">
        <f t="shared" si="5"/>
        <v>-185</v>
      </c>
      <c r="M33" s="46">
        <f t="shared" si="5"/>
        <v>445</v>
      </c>
    </row>
    <row r="35" spans="1:13" x14ac:dyDescent="0.3">
      <c r="G35" s="2" t="s">
        <v>372</v>
      </c>
      <c r="H35" s="221">
        <v>1.10155930015512E+20</v>
      </c>
      <c r="I35" s="221"/>
      <c r="J35" s="221"/>
      <c r="K35" s="221"/>
      <c r="L35" s="221"/>
      <c r="M35" s="221"/>
    </row>
    <row r="36" spans="1:13" x14ac:dyDescent="0.3">
      <c r="A36" s="32" t="s">
        <v>0</v>
      </c>
      <c r="B36" s="32" t="s">
        <v>1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 x14ac:dyDescent="0.3">
      <c r="A37" s="33"/>
      <c r="B37" s="82">
        <v>42370</v>
      </c>
      <c r="C37" s="82">
        <v>42401</v>
      </c>
      <c r="D37" s="82">
        <v>42430</v>
      </c>
      <c r="E37" s="82">
        <v>42461</v>
      </c>
      <c r="F37" s="82">
        <v>42491</v>
      </c>
      <c r="G37" s="82">
        <v>42522</v>
      </c>
      <c r="H37" s="82">
        <v>42552</v>
      </c>
      <c r="I37" s="82">
        <v>42583</v>
      </c>
      <c r="J37" s="82">
        <v>42614</v>
      </c>
      <c r="K37" s="82">
        <v>42644</v>
      </c>
      <c r="L37" s="82">
        <v>42675</v>
      </c>
      <c r="M37" s="82">
        <v>42705</v>
      </c>
    </row>
    <row r="38" spans="1:13" x14ac:dyDescent="0.3">
      <c r="A38" s="8" t="s">
        <v>110</v>
      </c>
      <c r="B38" s="42"/>
      <c r="C38" s="42">
        <f t="shared" ref="C38:M38" si="6">B49</f>
        <v>0</v>
      </c>
      <c r="D38" s="42">
        <f t="shared" si="6"/>
        <v>0</v>
      </c>
      <c r="E38" s="42">
        <f t="shared" si="6"/>
        <v>0</v>
      </c>
      <c r="F38" s="42">
        <f t="shared" si="6"/>
        <v>0</v>
      </c>
      <c r="G38" s="42">
        <f t="shared" si="6"/>
        <v>0</v>
      </c>
      <c r="H38" s="42">
        <f t="shared" si="6"/>
        <v>0</v>
      </c>
      <c r="I38" s="42">
        <f t="shared" si="6"/>
        <v>0</v>
      </c>
      <c r="J38" s="42">
        <f t="shared" si="6"/>
        <v>0</v>
      </c>
      <c r="K38" s="42">
        <f t="shared" si="6"/>
        <v>0</v>
      </c>
      <c r="L38" s="42">
        <f t="shared" si="6"/>
        <v>0</v>
      </c>
      <c r="M38" s="42">
        <f t="shared" si="6"/>
        <v>0</v>
      </c>
    </row>
    <row r="39" spans="1:13" x14ac:dyDescent="0.3">
      <c r="A39" s="8" t="s">
        <v>2</v>
      </c>
      <c r="B39" s="42">
        <v>674</v>
      </c>
      <c r="C39" s="42">
        <v>674</v>
      </c>
      <c r="D39" s="42">
        <v>674</v>
      </c>
      <c r="E39" s="42">
        <v>674</v>
      </c>
      <c r="F39" s="42">
        <v>674</v>
      </c>
      <c r="G39" s="42">
        <v>774</v>
      </c>
      <c r="H39" s="42">
        <v>774</v>
      </c>
      <c r="I39" s="42">
        <v>774</v>
      </c>
      <c r="J39" s="42">
        <v>774</v>
      </c>
      <c r="K39" s="42">
        <v>774</v>
      </c>
      <c r="L39" s="42">
        <v>774</v>
      </c>
      <c r="M39" s="42">
        <v>774</v>
      </c>
    </row>
    <row r="40" spans="1:13" x14ac:dyDescent="0.3">
      <c r="A40" s="8" t="s">
        <v>3</v>
      </c>
      <c r="B40" s="42">
        <v>350</v>
      </c>
      <c r="C40" s="42">
        <v>350</v>
      </c>
      <c r="D40" s="42">
        <v>350</v>
      </c>
      <c r="E40" s="42">
        <v>350</v>
      </c>
      <c r="F40" s="42">
        <v>350</v>
      </c>
      <c r="G40" s="42">
        <v>360</v>
      </c>
      <c r="H40" s="42">
        <v>360</v>
      </c>
      <c r="I40" s="42">
        <v>360</v>
      </c>
      <c r="J40" s="42">
        <v>360</v>
      </c>
      <c r="K40" s="42">
        <v>360</v>
      </c>
      <c r="L40" s="42">
        <v>360</v>
      </c>
      <c r="M40" s="42">
        <v>360</v>
      </c>
    </row>
    <row r="41" spans="1:13" x14ac:dyDescent="0.3">
      <c r="A41" s="8" t="s">
        <v>4</v>
      </c>
      <c r="B41" s="42">
        <v>160</v>
      </c>
      <c r="C41" s="42">
        <v>160</v>
      </c>
      <c r="D41" s="42">
        <v>160</v>
      </c>
      <c r="E41" s="42">
        <v>160</v>
      </c>
      <c r="F41" s="42">
        <v>160</v>
      </c>
      <c r="G41" s="42">
        <v>200</v>
      </c>
      <c r="H41" s="42">
        <v>200</v>
      </c>
      <c r="I41" s="42">
        <v>200</v>
      </c>
      <c r="J41" s="42">
        <v>200</v>
      </c>
      <c r="K41" s="42">
        <v>200</v>
      </c>
      <c r="L41" s="42">
        <v>200</v>
      </c>
      <c r="M41" s="42">
        <v>200</v>
      </c>
    </row>
    <row r="42" spans="1:13" x14ac:dyDescent="0.3">
      <c r="A42" s="8" t="s">
        <v>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8" t="s">
        <v>73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3">
      <c r="A44" s="8" t="s">
        <v>2</v>
      </c>
      <c r="B44" s="42">
        <v>480</v>
      </c>
      <c r="C44" s="42">
        <v>480</v>
      </c>
      <c r="D44" s="42">
        <v>480</v>
      </c>
      <c r="E44" s="42">
        <v>480</v>
      </c>
      <c r="F44" s="42">
        <v>480</v>
      </c>
      <c r="G44" s="42">
        <v>580</v>
      </c>
      <c r="H44" s="42">
        <v>580</v>
      </c>
      <c r="I44" s="42">
        <v>580</v>
      </c>
      <c r="J44" s="42">
        <v>580</v>
      </c>
      <c r="K44" s="42">
        <v>580</v>
      </c>
      <c r="L44" s="42">
        <v>580</v>
      </c>
      <c r="M44" s="42">
        <v>580</v>
      </c>
    </row>
    <row r="45" spans="1:13" x14ac:dyDescent="0.3">
      <c r="A45" s="8" t="s">
        <v>75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8" t="s">
        <v>5</v>
      </c>
      <c r="B46" s="42">
        <v>500</v>
      </c>
      <c r="C46" s="42">
        <v>500</v>
      </c>
      <c r="D46" s="42">
        <v>500</v>
      </c>
      <c r="E46" s="42">
        <v>500</v>
      </c>
      <c r="F46" s="42">
        <v>500</v>
      </c>
      <c r="G46" s="42">
        <v>600</v>
      </c>
      <c r="H46" s="42">
        <v>600</v>
      </c>
      <c r="I46" s="42">
        <v>600</v>
      </c>
      <c r="J46" s="42">
        <v>600</v>
      </c>
      <c r="K46" s="42">
        <v>600</v>
      </c>
      <c r="L46" s="42">
        <v>600</v>
      </c>
      <c r="M46" s="42">
        <v>600</v>
      </c>
    </row>
    <row r="47" spans="1:13" x14ac:dyDescent="0.3">
      <c r="A47" s="8" t="s">
        <v>6</v>
      </c>
      <c r="B47" s="43">
        <f t="shared" ref="B47:K47" si="7">SUM(B38:B46)</f>
        <v>2164</v>
      </c>
      <c r="C47" s="43">
        <f t="shared" si="7"/>
        <v>2164</v>
      </c>
      <c r="D47" s="43">
        <f t="shared" si="7"/>
        <v>2164</v>
      </c>
      <c r="E47" s="43">
        <f t="shared" si="7"/>
        <v>2164</v>
      </c>
      <c r="F47" s="43">
        <f t="shared" si="7"/>
        <v>2164</v>
      </c>
      <c r="G47" s="43">
        <f t="shared" si="7"/>
        <v>2514</v>
      </c>
      <c r="H47" s="43">
        <f t="shared" si="7"/>
        <v>2514</v>
      </c>
      <c r="I47" s="43">
        <f t="shared" si="7"/>
        <v>2514</v>
      </c>
      <c r="J47" s="43">
        <f t="shared" si="7"/>
        <v>2514</v>
      </c>
      <c r="K47" s="43">
        <f t="shared" si="7"/>
        <v>2514</v>
      </c>
      <c r="L47" s="43">
        <f>SUM(L38:L46)</f>
        <v>2514</v>
      </c>
      <c r="M47" s="43">
        <f>SUM(M38:M46)</f>
        <v>2514</v>
      </c>
    </row>
    <row r="48" spans="1:13" ht="21" thickBot="1" x14ac:dyDescent="0.35">
      <c r="A48" s="8" t="s">
        <v>7</v>
      </c>
      <c r="B48" s="44">
        <v>2164</v>
      </c>
      <c r="C48" s="44">
        <v>2164</v>
      </c>
      <c r="D48" s="44">
        <v>2164</v>
      </c>
      <c r="E48" s="44">
        <v>2164</v>
      </c>
      <c r="F48" s="44">
        <v>2164</v>
      </c>
      <c r="G48" s="44">
        <v>2514</v>
      </c>
      <c r="H48" s="44">
        <v>2514</v>
      </c>
      <c r="I48" s="44">
        <v>2514</v>
      </c>
      <c r="J48" s="44">
        <v>2514</v>
      </c>
      <c r="K48" s="44">
        <v>2514</v>
      </c>
      <c r="L48" s="44">
        <v>2514</v>
      </c>
      <c r="M48" s="44">
        <v>2514</v>
      </c>
    </row>
    <row r="49" spans="1:13" ht="21" thickBot="1" x14ac:dyDescent="0.35">
      <c r="A49" s="8" t="s">
        <v>111</v>
      </c>
      <c r="B49" s="45">
        <f t="shared" ref="B49:M49" si="8">B47-B48</f>
        <v>0</v>
      </c>
      <c r="C49" s="46">
        <f t="shared" si="8"/>
        <v>0</v>
      </c>
      <c r="D49" s="46">
        <f t="shared" si="8"/>
        <v>0</v>
      </c>
      <c r="E49" s="46">
        <f t="shared" si="8"/>
        <v>0</v>
      </c>
      <c r="F49" s="46">
        <f t="shared" si="8"/>
        <v>0</v>
      </c>
      <c r="G49" s="46">
        <f t="shared" si="8"/>
        <v>0</v>
      </c>
      <c r="H49" s="46">
        <f t="shared" si="8"/>
        <v>0</v>
      </c>
      <c r="I49" s="46">
        <f t="shared" si="8"/>
        <v>0</v>
      </c>
      <c r="J49" s="46">
        <f t="shared" si="8"/>
        <v>0</v>
      </c>
      <c r="K49" s="46">
        <f t="shared" si="8"/>
        <v>0</v>
      </c>
      <c r="L49" s="46">
        <f t="shared" si="8"/>
        <v>0</v>
      </c>
      <c r="M49" s="47">
        <f t="shared" si="8"/>
        <v>0</v>
      </c>
    </row>
    <row r="50" spans="1:13" x14ac:dyDescent="0.3">
      <c r="B50" s="2" t="s">
        <v>336</v>
      </c>
      <c r="K50" s="2">
        <v>2514</v>
      </c>
      <c r="L50" s="125">
        <v>42678</v>
      </c>
    </row>
  </sheetData>
  <mergeCells count="2">
    <mergeCell ref="B2:G2"/>
    <mergeCell ref="H35:M35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3"/>
  <dimension ref="A2:M30"/>
  <sheetViews>
    <sheetView topLeftCell="A16" workbookViewId="0">
      <selection activeCell="F30" sqref="F30"/>
    </sheetView>
  </sheetViews>
  <sheetFormatPr baseColWidth="10" defaultRowHeight="12.75" x14ac:dyDescent="0.2"/>
  <cols>
    <col min="1" max="1" width="32.42578125" customWidth="1"/>
  </cols>
  <sheetData>
    <row r="2" spans="1:13" ht="15.75" x14ac:dyDescent="0.25">
      <c r="A2" s="32" t="s">
        <v>0</v>
      </c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2">
      <c r="A3" s="81"/>
      <c r="B3" s="82">
        <v>45658</v>
      </c>
      <c r="C3" s="82">
        <v>45689</v>
      </c>
      <c r="D3" s="82">
        <v>45717</v>
      </c>
      <c r="E3" s="82">
        <v>45748</v>
      </c>
      <c r="F3" s="82">
        <v>45778</v>
      </c>
      <c r="G3" s="82">
        <v>45809</v>
      </c>
      <c r="H3" s="82">
        <v>45839</v>
      </c>
      <c r="I3" s="82">
        <v>45870</v>
      </c>
      <c r="J3" s="82">
        <v>45901</v>
      </c>
      <c r="K3" s="82">
        <v>45931</v>
      </c>
      <c r="L3" s="82">
        <v>45962</v>
      </c>
      <c r="M3" s="82">
        <v>45992</v>
      </c>
    </row>
    <row r="4" spans="1:13" x14ac:dyDescent="0.2">
      <c r="A4" s="78" t="s">
        <v>110</v>
      </c>
      <c r="B4" s="42"/>
      <c r="C4" s="42">
        <f>B15</f>
        <v>0</v>
      </c>
      <c r="D4" s="42">
        <f t="shared" ref="D4:M4" si="0">C15</f>
        <v>0</v>
      </c>
      <c r="E4" s="42">
        <f t="shared" si="0"/>
        <v>0</v>
      </c>
      <c r="F4" s="42">
        <f t="shared" si="0"/>
        <v>0</v>
      </c>
      <c r="G4" s="42">
        <f t="shared" si="0"/>
        <v>30000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>J15</f>
        <v>0</v>
      </c>
      <c r="M4" s="42">
        <f t="shared" si="0"/>
        <v>0</v>
      </c>
    </row>
    <row r="5" spans="1:13" x14ac:dyDescent="0.2">
      <c r="A5" s="7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2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/>
      <c r="D12" s="42"/>
      <c r="E12" s="42"/>
      <c r="F12" s="42">
        <v>30000</v>
      </c>
      <c r="G12" s="42">
        <v>30000</v>
      </c>
      <c r="H12" s="42">
        <v>30000</v>
      </c>
      <c r="I12" s="42">
        <v>40000</v>
      </c>
      <c r="J12" s="42">
        <v>50000</v>
      </c>
      <c r="K12" s="42">
        <v>50000</v>
      </c>
      <c r="L12" s="42">
        <v>50000</v>
      </c>
      <c r="M12" s="42">
        <v>50000</v>
      </c>
    </row>
    <row r="13" spans="1:13" x14ac:dyDescent="0.2">
      <c r="A13" s="78" t="s">
        <v>6</v>
      </c>
      <c r="B13" s="43">
        <f t="shared" ref="B13:M13" si="1">SUM(B4:B12)</f>
        <v>0</v>
      </c>
      <c r="C13" s="43">
        <f t="shared" si="1"/>
        <v>0</v>
      </c>
      <c r="D13" s="43">
        <f t="shared" si="1"/>
        <v>0</v>
      </c>
      <c r="E13" s="43">
        <f t="shared" si="1"/>
        <v>0</v>
      </c>
      <c r="F13" s="43">
        <f t="shared" si="1"/>
        <v>30000</v>
      </c>
      <c r="G13" s="43">
        <f t="shared" si="1"/>
        <v>60000</v>
      </c>
      <c r="H13" s="43">
        <f t="shared" si="1"/>
        <v>30000</v>
      </c>
      <c r="I13" s="43">
        <f t="shared" si="1"/>
        <v>40000</v>
      </c>
      <c r="J13" s="43">
        <f t="shared" si="1"/>
        <v>50000</v>
      </c>
      <c r="K13" s="43">
        <f t="shared" si="1"/>
        <v>50000</v>
      </c>
      <c r="L13" s="43">
        <f t="shared" si="1"/>
        <v>50000</v>
      </c>
      <c r="M13" s="43">
        <f t="shared" si="1"/>
        <v>50000</v>
      </c>
    </row>
    <row r="14" spans="1:13" ht="13.5" thickBot="1" x14ac:dyDescent="0.25">
      <c r="A14" s="78" t="s">
        <v>7</v>
      </c>
      <c r="B14" s="44"/>
      <c r="C14" s="44"/>
      <c r="D14" s="44"/>
      <c r="E14" s="44"/>
      <c r="F14" s="44"/>
      <c r="G14" s="44">
        <v>60000</v>
      </c>
      <c r="H14" s="44">
        <v>30000</v>
      </c>
      <c r="I14" s="44">
        <v>40000</v>
      </c>
      <c r="J14" s="44">
        <v>50000</v>
      </c>
      <c r="K14" s="44">
        <v>50000</v>
      </c>
      <c r="L14" s="44">
        <v>50000</v>
      </c>
      <c r="M14" s="44">
        <v>50000</v>
      </c>
    </row>
    <row r="15" spans="1:13" ht="13.5" thickBot="1" x14ac:dyDescent="0.25">
      <c r="A15" s="78" t="s">
        <v>111</v>
      </c>
      <c r="B15" s="45">
        <f t="shared" ref="B15:M15" si="2">B13-B14</f>
        <v>0</v>
      </c>
      <c r="C15" s="46">
        <f t="shared" si="2"/>
        <v>0</v>
      </c>
      <c r="D15" s="46">
        <f t="shared" si="2"/>
        <v>0</v>
      </c>
      <c r="E15" s="46">
        <f t="shared" si="2"/>
        <v>0</v>
      </c>
      <c r="F15" s="46">
        <f t="shared" si="2"/>
        <v>30000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0</v>
      </c>
      <c r="L15" s="46">
        <f t="shared" si="2"/>
        <v>0</v>
      </c>
      <c r="M15" s="47">
        <f t="shared" si="2"/>
        <v>0</v>
      </c>
    </row>
    <row r="17" spans="1:13" ht="15.75" x14ac:dyDescent="0.25">
      <c r="A17" s="32" t="s">
        <v>0</v>
      </c>
      <c r="B17" s="32" t="s">
        <v>1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</row>
    <row r="18" spans="1:13" x14ac:dyDescent="0.2">
      <c r="A18" s="81"/>
      <c r="B18" s="82">
        <v>46023</v>
      </c>
      <c r="C18" s="82">
        <v>46054</v>
      </c>
      <c r="D18" s="82">
        <v>46082</v>
      </c>
      <c r="E18" s="82">
        <v>46113</v>
      </c>
      <c r="F18" s="82">
        <v>46143</v>
      </c>
      <c r="G18" s="82">
        <v>46174</v>
      </c>
      <c r="H18" s="82">
        <v>46204</v>
      </c>
      <c r="I18" s="82">
        <v>46235</v>
      </c>
      <c r="J18" s="82">
        <v>46266</v>
      </c>
      <c r="K18" s="82">
        <v>46296</v>
      </c>
      <c r="L18" s="82">
        <v>46327</v>
      </c>
      <c r="M18" s="82">
        <v>46357</v>
      </c>
    </row>
    <row r="19" spans="1:13" x14ac:dyDescent="0.2">
      <c r="A19" s="78" t="s">
        <v>110</v>
      </c>
      <c r="B19" s="42"/>
      <c r="C19" s="42">
        <f t="shared" ref="C19:K19" si="3">B30</f>
        <v>0</v>
      </c>
      <c r="D19" s="42">
        <f t="shared" si="3"/>
        <v>0</v>
      </c>
      <c r="E19" s="42">
        <f t="shared" si="3"/>
        <v>60000</v>
      </c>
      <c r="F19" s="42">
        <f t="shared" si="3"/>
        <v>0</v>
      </c>
      <c r="G19" s="42">
        <f t="shared" si="3"/>
        <v>0</v>
      </c>
      <c r="H19" s="42">
        <f t="shared" si="3"/>
        <v>0</v>
      </c>
      <c r="I19" s="42">
        <f t="shared" si="3"/>
        <v>0</v>
      </c>
      <c r="J19" s="42">
        <f t="shared" si="3"/>
        <v>0</v>
      </c>
      <c r="K19" s="42">
        <f t="shared" si="3"/>
        <v>0</v>
      </c>
      <c r="L19" s="42">
        <f>J30</f>
        <v>0</v>
      </c>
      <c r="M19" s="42">
        <f>L30</f>
        <v>0</v>
      </c>
    </row>
    <row r="20" spans="1:13" x14ac:dyDescent="0.2">
      <c r="A20" s="78" t="s">
        <v>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5</v>
      </c>
      <c r="B27" s="42">
        <v>60000</v>
      </c>
      <c r="C27" s="42">
        <v>60000</v>
      </c>
      <c r="D27" s="42">
        <v>60000</v>
      </c>
      <c r="E27" s="42">
        <v>60000</v>
      </c>
      <c r="F27" s="42">
        <v>60000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6</v>
      </c>
      <c r="B28" s="43">
        <f t="shared" ref="B28:M28" si="4">SUM(B19:B27)</f>
        <v>60000</v>
      </c>
      <c r="C28" s="43">
        <f t="shared" si="4"/>
        <v>60000</v>
      </c>
      <c r="D28" s="43">
        <f t="shared" si="4"/>
        <v>60000</v>
      </c>
      <c r="E28" s="43">
        <f t="shared" si="4"/>
        <v>120000</v>
      </c>
      <c r="F28" s="43">
        <f t="shared" si="4"/>
        <v>60000</v>
      </c>
      <c r="G28" s="43">
        <f t="shared" si="4"/>
        <v>0</v>
      </c>
      <c r="H28" s="43">
        <f t="shared" si="4"/>
        <v>0</v>
      </c>
      <c r="I28" s="43">
        <f t="shared" si="4"/>
        <v>0</v>
      </c>
      <c r="J28" s="43">
        <f t="shared" si="4"/>
        <v>0</v>
      </c>
      <c r="K28" s="43">
        <f t="shared" si="4"/>
        <v>0</v>
      </c>
      <c r="L28" s="43">
        <f t="shared" si="4"/>
        <v>0</v>
      </c>
      <c r="M28" s="43">
        <f t="shared" si="4"/>
        <v>0</v>
      </c>
    </row>
    <row r="29" spans="1:13" ht="13.5" thickBot="1" x14ac:dyDescent="0.25">
      <c r="A29" s="78" t="s">
        <v>7</v>
      </c>
      <c r="B29" s="44">
        <v>60000</v>
      </c>
      <c r="C29" s="44">
        <v>60000</v>
      </c>
      <c r="D29" s="44"/>
      <c r="E29" s="44">
        <v>120000</v>
      </c>
      <c r="F29" s="44">
        <v>60000</v>
      </c>
      <c r="G29" s="44"/>
      <c r="H29" s="44"/>
      <c r="I29" s="44"/>
      <c r="J29" s="44"/>
      <c r="K29" s="44"/>
      <c r="L29" s="44"/>
      <c r="M29" s="44"/>
    </row>
    <row r="30" spans="1:13" ht="13.5" thickBot="1" x14ac:dyDescent="0.25">
      <c r="A30" s="78" t="s">
        <v>111</v>
      </c>
      <c r="B30" s="45">
        <f t="shared" ref="B30:M30" si="5">B28-B29</f>
        <v>0</v>
      </c>
      <c r="C30" s="46">
        <f t="shared" si="5"/>
        <v>0</v>
      </c>
      <c r="D30" s="46">
        <f t="shared" si="5"/>
        <v>60000</v>
      </c>
      <c r="E30" s="46">
        <f t="shared" si="5"/>
        <v>0</v>
      </c>
      <c r="F30" s="46">
        <f t="shared" si="5"/>
        <v>0</v>
      </c>
      <c r="G30" s="46">
        <f t="shared" si="5"/>
        <v>0</v>
      </c>
      <c r="H30" s="46">
        <f t="shared" si="5"/>
        <v>0</v>
      </c>
      <c r="I30" s="46">
        <f t="shared" si="5"/>
        <v>0</v>
      </c>
      <c r="J30" s="46">
        <f t="shared" si="5"/>
        <v>0</v>
      </c>
      <c r="K30" s="46">
        <f t="shared" si="5"/>
        <v>0</v>
      </c>
      <c r="L30" s="46">
        <f t="shared" si="5"/>
        <v>0</v>
      </c>
      <c r="M30" s="47">
        <f t="shared" si="5"/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8"/>
  <dimension ref="B5:N37"/>
  <sheetViews>
    <sheetView topLeftCell="A13" workbookViewId="0">
      <selection activeCell="G35" sqref="G35"/>
    </sheetView>
  </sheetViews>
  <sheetFormatPr baseColWidth="10" defaultRowHeight="12.75" x14ac:dyDescent="0.2"/>
  <cols>
    <col min="1" max="1" width="4.28515625" customWidth="1"/>
    <col min="2" max="2" width="31.7109375" customWidth="1"/>
  </cols>
  <sheetData>
    <row r="5" spans="2:14" ht="15.75" x14ac:dyDescent="0.25">
      <c r="B5" s="32" t="s">
        <v>0</v>
      </c>
      <c r="C5" s="32" t="s">
        <v>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4" x14ac:dyDescent="0.2">
      <c r="B6" s="81"/>
      <c r="C6" s="82">
        <v>45658</v>
      </c>
      <c r="D6" s="82">
        <v>45689</v>
      </c>
      <c r="E6" s="82">
        <v>45717</v>
      </c>
      <c r="F6" s="82">
        <v>45748</v>
      </c>
      <c r="G6" s="82">
        <v>45778</v>
      </c>
      <c r="H6" s="82">
        <v>45809</v>
      </c>
      <c r="I6" s="82">
        <v>45839</v>
      </c>
      <c r="J6" s="82">
        <v>45870</v>
      </c>
      <c r="K6" s="82">
        <v>45901</v>
      </c>
      <c r="L6" s="82">
        <v>45931</v>
      </c>
      <c r="M6" s="82">
        <v>45962</v>
      </c>
      <c r="N6" s="82">
        <v>45992</v>
      </c>
    </row>
    <row r="7" spans="2:14" x14ac:dyDescent="0.2">
      <c r="B7" s="78" t="s">
        <v>110</v>
      </c>
      <c r="C7" s="42"/>
      <c r="D7" s="42">
        <f>C18</f>
        <v>0</v>
      </c>
      <c r="E7" s="42">
        <f t="shared" ref="E7:N7" si="0">D18</f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 t="shared" si="0"/>
        <v>0</v>
      </c>
      <c r="L7" s="42">
        <f t="shared" si="0"/>
        <v>0</v>
      </c>
      <c r="M7" s="42">
        <f>K18</f>
        <v>0</v>
      </c>
      <c r="N7" s="42">
        <f t="shared" si="0"/>
        <v>0</v>
      </c>
    </row>
    <row r="8" spans="2:14" x14ac:dyDescent="0.2">
      <c r="B8" s="78" t="s">
        <v>2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">
      <c r="B9" s="78" t="s">
        <v>3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">
      <c r="B10" s="78" t="s">
        <v>4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">
      <c r="B11" s="78" t="s">
        <v>9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">
      <c r="B12" s="78" t="s">
        <v>73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x14ac:dyDescent="0.2">
      <c r="B13" s="78" t="s">
        <v>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4" x14ac:dyDescent="0.2">
      <c r="B14" s="78" t="s">
        <v>75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2:14" x14ac:dyDescent="0.2">
      <c r="B15" s="78" t="s">
        <v>5</v>
      </c>
      <c r="C15" s="42">
        <v>15000</v>
      </c>
      <c r="D15" s="42">
        <v>20000</v>
      </c>
      <c r="E15" s="42">
        <v>20000</v>
      </c>
      <c r="F15" s="42">
        <v>20000</v>
      </c>
      <c r="G15" s="42">
        <v>20000</v>
      </c>
      <c r="H15" s="42">
        <v>20000</v>
      </c>
      <c r="I15" s="42">
        <v>20000</v>
      </c>
      <c r="J15" s="42">
        <v>20000</v>
      </c>
      <c r="K15" s="42">
        <v>20000</v>
      </c>
      <c r="L15" s="42">
        <v>20000</v>
      </c>
      <c r="M15" s="42">
        <v>20000</v>
      </c>
      <c r="N15" s="42">
        <v>20000</v>
      </c>
    </row>
    <row r="16" spans="2:14" x14ac:dyDescent="0.2">
      <c r="B16" s="78" t="s">
        <v>6</v>
      </c>
      <c r="C16" s="43">
        <f t="shared" ref="C16:N16" si="1">SUM(C7:C15)</f>
        <v>15000</v>
      </c>
      <c r="D16" s="43">
        <f t="shared" si="1"/>
        <v>20000</v>
      </c>
      <c r="E16" s="43">
        <f t="shared" si="1"/>
        <v>20000</v>
      </c>
      <c r="F16" s="43">
        <f t="shared" si="1"/>
        <v>20000</v>
      </c>
      <c r="G16" s="43">
        <f t="shared" si="1"/>
        <v>20000</v>
      </c>
      <c r="H16" s="43">
        <f t="shared" si="1"/>
        <v>20000</v>
      </c>
      <c r="I16" s="43">
        <f t="shared" si="1"/>
        <v>20000</v>
      </c>
      <c r="J16" s="43">
        <f t="shared" si="1"/>
        <v>20000</v>
      </c>
      <c r="K16" s="43">
        <f t="shared" si="1"/>
        <v>20000</v>
      </c>
      <c r="L16" s="43">
        <f t="shared" si="1"/>
        <v>20000</v>
      </c>
      <c r="M16" s="43">
        <f t="shared" si="1"/>
        <v>20000</v>
      </c>
      <c r="N16" s="43">
        <f t="shared" si="1"/>
        <v>20000</v>
      </c>
    </row>
    <row r="17" spans="2:14" ht="13.5" thickBot="1" x14ac:dyDescent="0.25">
      <c r="B17" s="78" t="s">
        <v>7</v>
      </c>
      <c r="C17" s="44">
        <v>15000</v>
      </c>
      <c r="D17" s="44">
        <v>20000</v>
      </c>
      <c r="E17" s="44">
        <v>20000</v>
      </c>
      <c r="F17" s="44">
        <v>20000</v>
      </c>
      <c r="G17" s="44">
        <v>20000</v>
      </c>
      <c r="H17" s="44">
        <v>20000</v>
      </c>
      <c r="I17" s="44">
        <v>20000</v>
      </c>
      <c r="J17" s="44">
        <v>20000</v>
      </c>
      <c r="K17" s="44">
        <v>20000</v>
      </c>
      <c r="L17" s="44">
        <v>20000</v>
      </c>
      <c r="M17" s="44">
        <v>20000</v>
      </c>
      <c r="N17" s="44">
        <v>20000</v>
      </c>
    </row>
    <row r="18" spans="2:14" ht="13.5" thickBot="1" x14ac:dyDescent="0.25">
      <c r="B18" s="78" t="s">
        <v>111</v>
      </c>
      <c r="C18" s="45">
        <f t="shared" ref="C18:N18" si="2">C16-C17</f>
        <v>0</v>
      </c>
      <c r="D18" s="46">
        <f t="shared" si="2"/>
        <v>0</v>
      </c>
      <c r="E18" s="46">
        <f t="shared" si="2"/>
        <v>0</v>
      </c>
      <c r="F18" s="46">
        <f t="shared" si="2"/>
        <v>0</v>
      </c>
      <c r="G18" s="46">
        <f t="shared" si="2"/>
        <v>0</v>
      </c>
      <c r="H18" s="46">
        <f t="shared" si="2"/>
        <v>0</v>
      </c>
      <c r="I18" s="46">
        <f t="shared" si="2"/>
        <v>0</v>
      </c>
      <c r="J18" s="46">
        <f t="shared" si="2"/>
        <v>0</v>
      </c>
      <c r="K18" s="46">
        <f t="shared" si="2"/>
        <v>0</v>
      </c>
      <c r="L18" s="46">
        <f t="shared" si="2"/>
        <v>0</v>
      </c>
      <c r="M18" s="46">
        <f t="shared" si="2"/>
        <v>0</v>
      </c>
      <c r="N18" s="47">
        <f t="shared" si="2"/>
        <v>0</v>
      </c>
    </row>
    <row r="22" spans="2:14" ht="15.75" x14ac:dyDescent="0.25">
      <c r="B22" s="32" t="s">
        <v>0</v>
      </c>
      <c r="C22" s="32" t="s">
        <v>1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2:14" x14ac:dyDescent="0.2">
      <c r="B23" s="81"/>
      <c r="C23" s="82">
        <v>46023</v>
      </c>
      <c r="D23" s="82">
        <v>46054</v>
      </c>
      <c r="E23" s="82">
        <v>46082</v>
      </c>
      <c r="F23" s="82">
        <v>46113</v>
      </c>
      <c r="G23" s="82">
        <v>46143</v>
      </c>
      <c r="H23" s="82">
        <v>46174</v>
      </c>
      <c r="I23" s="82">
        <v>46204</v>
      </c>
      <c r="J23" s="82">
        <v>46235</v>
      </c>
      <c r="K23" s="82">
        <v>46266</v>
      </c>
      <c r="L23" s="82">
        <v>46296</v>
      </c>
      <c r="M23" s="82">
        <v>46327</v>
      </c>
      <c r="N23" s="82">
        <v>46357</v>
      </c>
    </row>
    <row r="24" spans="2:14" x14ac:dyDescent="0.2">
      <c r="B24" s="78" t="s">
        <v>110</v>
      </c>
      <c r="C24" s="42"/>
      <c r="D24" s="42">
        <f>C35</f>
        <v>0</v>
      </c>
      <c r="E24" s="42">
        <f t="shared" ref="E24:N24" si="3">D35</f>
        <v>0</v>
      </c>
      <c r="F24" s="42">
        <f t="shared" si="3"/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  <c r="N24" s="42">
        <f t="shared" si="3"/>
        <v>0</v>
      </c>
    </row>
    <row r="25" spans="2:14" x14ac:dyDescent="0.2">
      <c r="B25" s="78" t="s">
        <v>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x14ac:dyDescent="0.2">
      <c r="B26" s="78" t="s">
        <v>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">
      <c r="B27" s="78" t="s">
        <v>4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">
      <c r="B28" s="78" t="s">
        <v>9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">
      <c r="B29" s="78" t="s">
        <v>73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2:14" x14ac:dyDescent="0.2">
      <c r="B30" s="78" t="s">
        <v>2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2:14" x14ac:dyDescent="0.2">
      <c r="B31" s="78" t="s">
        <v>75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2:14" x14ac:dyDescent="0.2">
      <c r="B32" s="78" t="s">
        <v>5</v>
      </c>
      <c r="C32" s="42">
        <v>20000</v>
      </c>
      <c r="D32" s="42">
        <v>30000</v>
      </c>
      <c r="E32" s="42">
        <v>30000</v>
      </c>
      <c r="F32" s="42">
        <v>30000</v>
      </c>
      <c r="G32" s="42">
        <v>30000</v>
      </c>
      <c r="H32" s="42"/>
      <c r="I32" s="42"/>
      <c r="J32" s="42"/>
      <c r="K32" s="42"/>
      <c r="L32" s="42"/>
      <c r="M32" s="42"/>
      <c r="N32" s="42"/>
    </row>
    <row r="33" spans="2:14" x14ac:dyDescent="0.2">
      <c r="B33" s="78" t="s">
        <v>6</v>
      </c>
      <c r="C33" s="43">
        <f>SUM(C24:C32)</f>
        <v>20000</v>
      </c>
      <c r="D33" s="43">
        <f>SUM(D24:D32)</f>
        <v>30000</v>
      </c>
      <c r="E33" s="43">
        <f>SUM(E24:E32)</f>
        <v>30000</v>
      </c>
      <c r="F33" s="43">
        <f t="shared" ref="F33:N33" si="4">SUM(F24:F32)</f>
        <v>30000</v>
      </c>
      <c r="G33" s="43">
        <f t="shared" si="4"/>
        <v>30000</v>
      </c>
      <c r="H33" s="43">
        <f t="shared" si="4"/>
        <v>0</v>
      </c>
      <c r="I33" s="43">
        <f t="shared" si="4"/>
        <v>0</v>
      </c>
      <c r="J33" s="43">
        <f t="shared" si="4"/>
        <v>0</v>
      </c>
      <c r="K33" s="43">
        <f t="shared" si="4"/>
        <v>0</v>
      </c>
      <c r="L33" s="43">
        <f t="shared" si="4"/>
        <v>0</v>
      </c>
      <c r="M33" s="43">
        <f t="shared" si="4"/>
        <v>0</v>
      </c>
      <c r="N33" s="43">
        <f t="shared" si="4"/>
        <v>0</v>
      </c>
    </row>
    <row r="34" spans="2:14" ht="13.5" thickBot="1" x14ac:dyDescent="0.25">
      <c r="B34" s="78" t="s">
        <v>7</v>
      </c>
      <c r="C34" s="44">
        <v>20000</v>
      </c>
      <c r="D34" s="44">
        <v>30000</v>
      </c>
      <c r="E34" s="44">
        <v>30000</v>
      </c>
      <c r="F34" s="44">
        <v>30000</v>
      </c>
      <c r="G34" s="44">
        <v>30000</v>
      </c>
      <c r="H34" s="44"/>
      <c r="I34" s="44"/>
      <c r="J34" s="44"/>
      <c r="K34" s="44"/>
      <c r="L34" s="44"/>
      <c r="M34" s="44"/>
      <c r="N34" s="44"/>
    </row>
    <row r="35" spans="2:14" ht="13.5" thickBot="1" x14ac:dyDescent="0.25">
      <c r="B35" s="78" t="s">
        <v>111</v>
      </c>
      <c r="C35" s="45">
        <f t="shared" ref="C35:N35" si="5">C33-C34</f>
        <v>0</v>
      </c>
      <c r="D35" s="45">
        <f t="shared" si="5"/>
        <v>0</v>
      </c>
      <c r="E35" s="45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6">
        <f t="shared" si="5"/>
        <v>0</v>
      </c>
      <c r="N35" s="47">
        <f t="shared" si="5"/>
        <v>0</v>
      </c>
    </row>
    <row r="37" spans="2:14" x14ac:dyDescent="0.2">
      <c r="C37" s="159" t="s">
        <v>767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9"/>
  <dimension ref="A3:M35"/>
  <sheetViews>
    <sheetView topLeftCell="A4" workbookViewId="0">
      <selection activeCell="J41" sqref="J41"/>
    </sheetView>
  </sheetViews>
  <sheetFormatPr baseColWidth="10" defaultRowHeight="12.75" x14ac:dyDescent="0.2"/>
  <cols>
    <col min="1" max="1" width="29.85546875" customWidth="1"/>
    <col min="3" max="3" width="15" bestFit="1" customWidth="1"/>
  </cols>
  <sheetData>
    <row r="3" spans="1:13" ht="20.25" x14ac:dyDescent="0.3">
      <c r="A3" s="1" t="s">
        <v>0</v>
      </c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78"/>
      <c r="B4" s="79">
        <v>41640</v>
      </c>
      <c r="C4" s="79">
        <v>41671</v>
      </c>
      <c r="D4" s="79">
        <v>41699</v>
      </c>
      <c r="E4" s="79">
        <v>41730</v>
      </c>
      <c r="F4" s="79">
        <v>41760</v>
      </c>
      <c r="G4" s="79">
        <v>41791</v>
      </c>
      <c r="H4" s="79">
        <v>41821</v>
      </c>
      <c r="I4" s="79">
        <v>41852</v>
      </c>
      <c r="J4" s="79">
        <v>41883</v>
      </c>
      <c r="K4" s="79">
        <v>41913</v>
      </c>
      <c r="L4" s="79">
        <v>41944</v>
      </c>
      <c r="M4" s="79">
        <v>41974</v>
      </c>
    </row>
    <row r="5" spans="1:13" x14ac:dyDescent="0.2">
      <c r="A5" s="78" t="s">
        <v>2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</row>
    <row r="6" spans="1:13" x14ac:dyDescent="0.2">
      <c r="A6" s="78" t="s">
        <v>3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</row>
    <row r="7" spans="1:13" x14ac:dyDescent="0.2">
      <c r="A7" s="78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</row>
    <row r="8" spans="1:13" x14ac:dyDescent="0.2">
      <c r="A8" s="78" t="s">
        <v>2</v>
      </c>
      <c r="B8" s="85"/>
      <c r="C8" s="85"/>
      <c r="D8" s="85"/>
      <c r="E8" s="85"/>
      <c r="F8" s="85"/>
      <c r="G8" s="85"/>
      <c r="H8" s="85"/>
      <c r="I8" s="85"/>
      <c r="J8" s="85"/>
      <c r="K8" s="113"/>
      <c r="L8" s="113"/>
      <c r="M8" s="85"/>
    </row>
    <row r="9" spans="1:13" x14ac:dyDescent="0.2">
      <c r="A9" s="78" t="s">
        <v>73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</row>
    <row r="10" spans="1:13" x14ac:dyDescent="0.2">
      <c r="A10" s="78" t="s">
        <v>74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</row>
    <row r="11" spans="1:13" x14ac:dyDescent="0.2">
      <c r="A11" s="78" t="s">
        <v>75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</row>
    <row r="12" spans="1:13" x14ac:dyDescent="0.2">
      <c r="A12" s="78" t="s">
        <v>5</v>
      </c>
      <c r="B12" s="113">
        <v>500</v>
      </c>
      <c r="C12" s="113">
        <v>500</v>
      </c>
      <c r="D12" s="113">
        <v>500</v>
      </c>
      <c r="E12" s="113">
        <v>500</v>
      </c>
      <c r="F12" s="113">
        <v>500</v>
      </c>
      <c r="G12" s="113">
        <v>500</v>
      </c>
      <c r="H12" s="113">
        <v>500</v>
      </c>
      <c r="I12" s="113">
        <v>500</v>
      </c>
      <c r="J12" s="113">
        <v>500</v>
      </c>
      <c r="K12" s="113">
        <v>500</v>
      </c>
      <c r="L12" s="113">
        <v>500</v>
      </c>
      <c r="M12" s="113">
        <v>500</v>
      </c>
    </row>
    <row r="13" spans="1:13" x14ac:dyDescent="0.2">
      <c r="A13" s="78" t="s">
        <v>6</v>
      </c>
      <c r="B13" s="43">
        <f>SUM(B5:B12)</f>
        <v>500</v>
      </c>
      <c r="C13" s="43">
        <f t="shared" ref="C13:L13" si="0">SUM(C5:C12)</f>
        <v>500</v>
      </c>
      <c r="D13" s="43">
        <f t="shared" si="0"/>
        <v>500</v>
      </c>
      <c r="E13" s="43">
        <f t="shared" si="0"/>
        <v>500</v>
      </c>
      <c r="F13" s="43">
        <f>SUM(F5:F12)</f>
        <v>500</v>
      </c>
      <c r="G13" s="43">
        <f t="shared" si="0"/>
        <v>500</v>
      </c>
      <c r="H13" s="43">
        <f t="shared" si="0"/>
        <v>500</v>
      </c>
      <c r="I13" s="43">
        <f t="shared" si="0"/>
        <v>500</v>
      </c>
      <c r="J13" s="43">
        <f t="shared" si="0"/>
        <v>500</v>
      </c>
      <c r="K13" s="43">
        <f t="shared" si="0"/>
        <v>500</v>
      </c>
      <c r="L13" s="43">
        <f t="shared" si="0"/>
        <v>500</v>
      </c>
      <c r="M13" s="43">
        <f>SUM(M5:M12)</f>
        <v>500</v>
      </c>
    </row>
    <row r="14" spans="1:13" x14ac:dyDescent="0.2">
      <c r="A14" s="78" t="s">
        <v>7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</row>
    <row r="15" spans="1:13" x14ac:dyDescent="0.2">
      <c r="A15" s="78" t="s">
        <v>8</v>
      </c>
      <c r="B15" s="114">
        <f t="shared" ref="B15:L15" si="1">B13-B14</f>
        <v>500</v>
      </c>
      <c r="C15" s="114">
        <f t="shared" si="1"/>
        <v>500</v>
      </c>
      <c r="D15" s="114">
        <f t="shared" si="1"/>
        <v>500</v>
      </c>
      <c r="E15" s="114">
        <f t="shared" si="1"/>
        <v>500</v>
      </c>
      <c r="F15" s="114">
        <f t="shared" si="1"/>
        <v>500</v>
      </c>
      <c r="G15" s="114"/>
      <c r="H15" s="114">
        <f t="shared" si="1"/>
        <v>500</v>
      </c>
      <c r="I15" s="114">
        <f t="shared" si="1"/>
        <v>500</v>
      </c>
      <c r="J15" s="114">
        <f t="shared" si="1"/>
        <v>500</v>
      </c>
      <c r="K15" s="114">
        <f t="shared" si="1"/>
        <v>500</v>
      </c>
      <c r="L15" s="114">
        <f t="shared" si="1"/>
        <v>500</v>
      </c>
      <c r="M15" s="114">
        <f>M13-M14</f>
        <v>500</v>
      </c>
    </row>
    <row r="16" spans="1:13" x14ac:dyDescent="0.2">
      <c r="A16" s="78" t="s">
        <v>10</v>
      </c>
      <c r="B16" s="43"/>
      <c r="C16" s="43">
        <f>B16+C15</f>
        <v>500</v>
      </c>
      <c r="D16" s="43">
        <f>C16+D15</f>
        <v>1000</v>
      </c>
      <c r="E16" s="43">
        <f t="shared" ref="E16:M16" si="2">D16+E15</f>
        <v>1500</v>
      </c>
      <c r="F16" s="43">
        <f t="shared" si="2"/>
        <v>2000</v>
      </c>
      <c r="G16" s="43">
        <f t="shared" si="2"/>
        <v>2000</v>
      </c>
      <c r="H16" s="43">
        <f t="shared" si="2"/>
        <v>2500</v>
      </c>
      <c r="I16" s="43">
        <f t="shared" si="2"/>
        <v>3000</v>
      </c>
      <c r="J16" s="43">
        <f t="shared" si="2"/>
        <v>3500</v>
      </c>
      <c r="K16" s="43">
        <f t="shared" si="2"/>
        <v>4000</v>
      </c>
      <c r="L16" s="43">
        <f t="shared" si="2"/>
        <v>4500</v>
      </c>
      <c r="M16" s="43">
        <f t="shared" si="2"/>
        <v>5000</v>
      </c>
    </row>
    <row r="20" spans="1:13" ht="20.25" x14ac:dyDescent="0.3">
      <c r="A20" s="1" t="s">
        <v>0</v>
      </c>
      <c r="B20" s="1" t="s">
        <v>1</v>
      </c>
    </row>
    <row r="22" spans="1:13" ht="20.25" x14ac:dyDescent="0.3">
      <c r="A22" t="s">
        <v>8</v>
      </c>
      <c r="C22" s="123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78"/>
      <c r="B23" s="79">
        <v>42005</v>
      </c>
      <c r="C23" s="79">
        <v>42036</v>
      </c>
      <c r="D23" s="79">
        <v>42064</v>
      </c>
      <c r="E23" s="79">
        <v>42095</v>
      </c>
      <c r="F23" s="79">
        <v>42125</v>
      </c>
      <c r="G23" s="79">
        <v>42156</v>
      </c>
      <c r="H23" s="79">
        <v>42186</v>
      </c>
      <c r="I23" s="79">
        <v>42217</v>
      </c>
      <c r="J23" s="79">
        <v>42248</v>
      </c>
      <c r="K23" s="79">
        <v>42278</v>
      </c>
      <c r="L23" s="79">
        <v>42309</v>
      </c>
      <c r="M23" s="79">
        <v>42339</v>
      </c>
    </row>
    <row r="24" spans="1:13" x14ac:dyDescent="0.2">
      <c r="A24" s="78" t="s">
        <v>2</v>
      </c>
      <c r="B24" s="113">
        <v>5000</v>
      </c>
      <c r="C24" s="113">
        <f>B34</f>
        <v>5500</v>
      </c>
      <c r="D24" s="113">
        <f t="shared" ref="D24:M24" si="3">C34</f>
        <v>6000</v>
      </c>
      <c r="E24" s="113">
        <f t="shared" si="3"/>
        <v>6500</v>
      </c>
      <c r="F24" s="113">
        <f t="shared" si="3"/>
        <v>7000</v>
      </c>
      <c r="G24" s="113">
        <f t="shared" si="3"/>
        <v>0</v>
      </c>
      <c r="H24" s="113">
        <f t="shared" si="3"/>
        <v>0</v>
      </c>
      <c r="I24" s="113">
        <f t="shared" si="3"/>
        <v>0</v>
      </c>
      <c r="J24" s="113">
        <f t="shared" si="3"/>
        <v>0</v>
      </c>
      <c r="K24" s="113">
        <f t="shared" si="3"/>
        <v>0</v>
      </c>
      <c r="L24" s="113">
        <f t="shared" si="3"/>
        <v>0</v>
      </c>
      <c r="M24" s="113">
        <f t="shared" si="3"/>
        <v>0</v>
      </c>
    </row>
    <row r="25" spans="1:13" x14ac:dyDescent="0.2">
      <c r="A25" s="78" t="s">
        <v>3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</row>
    <row r="26" spans="1:13" x14ac:dyDescent="0.2">
      <c r="A26" s="78" t="s">
        <v>4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</row>
    <row r="27" spans="1:13" x14ac:dyDescent="0.2">
      <c r="A27" s="78" t="s">
        <v>2</v>
      </c>
      <c r="B27" s="85"/>
      <c r="C27" s="85"/>
      <c r="D27" s="85"/>
      <c r="E27" s="85"/>
      <c r="F27" s="85"/>
      <c r="G27" s="85"/>
      <c r="H27" s="85"/>
      <c r="I27" s="85"/>
      <c r="J27" s="85"/>
      <c r="K27" s="113"/>
      <c r="L27" s="113"/>
      <c r="M27" s="85"/>
    </row>
    <row r="28" spans="1:13" x14ac:dyDescent="0.2">
      <c r="A28" s="78" t="s">
        <v>73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</row>
    <row r="29" spans="1:13" x14ac:dyDescent="0.2">
      <c r="A29" s="78" t="s">
        <v>74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</row>
    <row r="30" spans="1:13" x14ac:dyDescent="0.2">
      <c r="A30" s="78" t="s">
        <v>75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</row>
    <row r="31" spans="1:13" x14ac:dyDescent="0.2">
      <c r="A31" s="78" t="s">
        <v>5</v>
      </c>
      <c r="B31" s="113">
        <v>500</v>
      </c>
      <c r="C31" s="113">
        <v>500</v>
      </c>
      <c r="D31" s="113">
        <v>500</v>
      </c>
      <c r="E31" s="113">
        <v>500</v>
      </c>
      <c r="F31" s="113"/>
      <c r="G31" s="113"/>
      <c r="H31" s="113"/>
      <c r="I31" s="113"/>
      <c r="J31" s="113"/>
      <c r="K31" s="113"/>
      <c r="L31" s="113"/>
      <c r="M31" s="113"/>
    </row>
    <row r="32" spans="1:13" x14ac:dyDescent="0.2">
      <c r="A32" s="78" t="s">
        <v>6</v>
      </c>
      <c r="B32" s="43">
        <f>SUM(B24:B31)</f>
        <v>5500</v>
      </c>
      <c r="C32" s="43">
        <f>SUM(C24:C31)</f>
        <v>6000</v>
      </c>
      <c r="D32" s="43">
        <f>SUM(D24:D31)</f>
        <v>6500</v>
      </c>
      <c r="E32" s="43">
        <f>SUM(E24:E31)</f>
        <v>7000</v>
      </c>
      <c r="F32" s="43">
        <f>SUM(F24:F31)</f>
        <v>7000</v>
      </c>
      <c r="G32" s="43">
        <f t="shared" ref="G32:L32" si="4">SUM(G24:G31)</f>
        <v>0</v>
      </c>
      <c r="H32" s="43">
        <f t="shared" si="4"/>
        <v>0</v>
      </c>
      <c r="I32" s="43">
        <f t="shared" si="4"/>
        <v>0</v>
      </c>
      <c r="J32" s="43">
        <f t="shared" si="4"/>
        <v>0</v>
      </c>
      <c r="K32" s="43">
        <f t="shared" si="4"/>
        <v>0</v>
      </c>
      <c r="L32" s="43">
        <f t="shared" si="4"/>
        <v>0</v>
      </c>
      <c r="M32" s="43">
        <f>SUM(M24:M31)</f>
        <v>0</v>
      </c>
    </row>
    <row r="33" spans="1:13" x14ac:dyDescent="0.2">
      <c r="A33" s="78" t="s">
        <v>7</v>
      </c>
      <c r="B33" s="91"/>
      <c r="C33" s="91"/>
      <c r="D33" s="91"/>
      <c r="E33" s="91"/>
      <c r="F33" s="91">
        <v>7000</v>
      </c>
      <c r="G33" s="91"/>
      <c r="H33" s="91"/>
      <c r="I33" s="91"/>
      <c r="J33" s="91"/>
      <c r="K33" s="91"/>
      <c r="L33" s="91"/>
      <c r="M33" s="91"/>
    </row>
    <row r="34" spans="1:13" x14ac:dyDescent="0.2">
      <c r="A34" s="78" t="s">
        <v>8</v>
      </c>
      <c r="B34" s="114">
        <f>B32-B33</f>
        <v>5500</v>
      </c>
      <c r="C34" s="114">
        <f>C32-C33</f>
        <v>6000</v>
      </c>
      <c r="D34" s="114">
        <f>D32-D33</f>
        <v>6500</v>
      </c>
      <c r="E34" s="114">
        <f>E32-E33</f>
        <v>7000</v>
      </c>
      <c r="F34" s="114">
        <f>F32-F33</f>
        <v>0</v>
      </c>
      <c r="G34" s="114"/>
      <c r="H34" s="114">
        <f t="shared" ref="H34:M34" si="5">H32-H33</f>
        <v>0</v>
      </c>
      <c r="I34" s="114">
        <f t="shared" si="5"/>
        <v>0</v>
      </c>
      <c r="J34" s="114">
        <f t="shared" si="5"/>
        <v>0</v>
      </c>
      <c r="K34" s="114">
        <f t="shared" si="5"/>
        <v>0</v>
      </c>
      <c r="L34" s="114">
        <f t="shared" si="5"/>
        <v>0</v>
      </c>
      <c r="M34" s="114">
        <f t="shared" si="5"/>
        <v>0</v>
      </c>
    </row>
    <row r="35" spans="1:13" x14ac:dyDescent="0.2">
      <c r="A35" s="78" t="s">
        <v>10</v>
      </c>
      <c r="B35" s="43"/>
      <c r="C35" s="43">
        <f>B35+C34</f>
        <v>6000</v>
      </c>
      <c r="D35" s="43"/>
      <c r="E35" s="43"/>
      <c r="F35" s="43"/>
      <c r="G35" s="43">
        <f>F35+G34</f>
        <v>0</v>
      </c>
      <c r="H35" s="43"/>
      <c r="I35" s="43">
        <f>H35+I34</f>
        <v>0</v>
      </c>
      <c r="J35" s="43">
        <f>I35+J34</f>
        <v>0</v>
      </c>
      <c r="K35" s="43">
        <f>J35+K34</f>
        <v>0</v>
      </c>
      <c r="L35" s="43">
        <f>K35+L34</f>
        <v>0</v>
      </c>
      <c r="M35" s="43">
        <f>L35+M34</f>
        <v>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0"/>
  <dimension ref="A2:M45"/>
  <sheetViews>
    <sheetView workbookViewId="0">
      <selection activeCell="C14" sqref="C14"/>
    </sheetView>
  </sheetViews>
  <sheetFormatPr baseColWidth="10" defaultRowHeight="12.75" x14ac:dyDescent="0.2"/>
  <cols>
    <col min="1" max="1" width="30.5703125" customWidth="1"/>
    <col min="12" max="12" width="12.28515625" customWidth="1"/>
    <col min="13" max="13" width="12.5703125" customWidth="1"/>
  </cols>
  <sheetData>
    <row r="2" spans="1:13" ht="15.75" x14ac:dyDescent="0.25">
      <c r="A2" s="32" t="s">
        <v>0</v>
      </c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2">
      <c r="A3" s="81"/>
      <c r="B3" s="82">
        <v>46023</v>
      </c>
      <c r="C3" s="82">
        <v>46054</v>
      </c>
      <c r="D3" s="82">
        <v>46082</v>
      </c>
      <c r="E3" s="82">
        <v>46113</v>
      </c>
      <c r="F3" s="82">
        <v>46143</v>
      </c>
      <c r="G3" s="82">
        <v>46174</v>
      </c>
      <c r="H3" s="82">
        <v>46204</v>
      </c>
      <c r="I3" s="82">
        <v>46235</v>
      </c>
      <c r="J3" s="82">
        <v>46266</v>
      </c>
      <c r="K3" s="82">
        <v>46296</v>
      </c>
      <c r="L3" s="82">
        <v>46327</v>
      </c>
      <c r="M3" s="82">
        <v>46357</v>
      </c>
    </row>
    <row r="4" spans="1:13" x14ac:dyDescent="0.2">
      <c r="A4" s="78" t="s">
        <v>110</v>
      </c>
      <c r="B4" s="42"/>
      <c r="C4" s="42">
        <f t="shared" ref="C4:M4" si="0">B15</f>
        <v>36100</v>
      </c>
      <c r="D4" s="42">
        <f t="shared" si="0"/>
        <v>72200</v>
      </c>
      <c r="E4" s="42">
        <f t="shared" si="0"/>
        <v>72200</v>
      </c>
      <c r="F4" s="42">
        <f t="shared" si="0"/>
        <v>72200</v>
      </c>
      <c r="G4" s="42">
        <f t="shared" si="0"/>
        <v>72200</v>
      </c>
      <c r="H4" s="42">
        <f t="shared" si="0"/>
        <v>72200</v>
      </c>
      <c r="I4" s="42">
        <f t="shared" si="0"/>
        <v>72200</v>
      </c>
      <c r="J4" s="42">
        <f t="shared" si="0"/>
        <v>72200</v>
      </c>
      <c r="K4" s="42">
        <f t="shared" si="0"/>
        <v>72200</v>
      </c>
      <c r="L4" s="42">
        <f t="shared" si="0"/>
        <v>72200</v>
      </c>
      <c r="M4" s="42">
        <f t="shared" si="0"/>
        <v>72200</v>
      </c>
    </row>
    <row r="5" spans="1:13" x14ac:dyDescent="0.2">
      <c r="A5" s="7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2">
      <c r="A6" s="78" t="s">
        <v>3</v>
      </c>
      <c r="B6" s="42">
        <v>6100</v>
      </c>
      <c r="C6" s="42">
        <v>6100</v>
      </c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>
        <v>30000</v>
      </c>
      <c r="C12" s="42">
        <v>30000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6</v>
      </c>
      <c r="B13" s="43">
        <f t="shared" ref="B13:M13" si="1">SUM(B4:B12)</f>
        <v>36100</v>
      </c>
      <c r="C13" s="43">
        <f t="shared" si="1"/>
        <v>72200</v>
      </c>
      <c r="D13" s="43">
        <f t="shared" si="1"/>
        <v>72200</v>
      </c>
      <c r="E13" s="43">
        <f t="shared" si="1"/>
        <v>72200</v>
      </c>
      <c r="F13" s="43">
        <f t="shared" si="1"/>
        <v>72200</v>
      </c>
      <c r="G13" s="43">
        <f t="shared" si="1"/>
        <v>72200</v>
      </c>
      <c r="H13" s="43">
        <f t="shared" si="1"/>
        <v>72200</v>
      </c>
      <c r="I13" s="43">
        <f t="shared" si="1"/>
        <v>72200</v>
      </c>
      <c r="J13" s="43">
        <f t="shared" si="1"/>
        <v>72200</v>
      </c>
      <c r="K13" s="43">
        <f t="shared" si="1"/>
        <v>72200</v>
      </c>
      <c r="L13" s="43">
        <f t="shared" si="1"/>
        <v>72200</v>
      </c>
      <c r="M13" s="43">
        <f t="shared" si="1"/>
        <v>72200</v>
      </c>
    </row>
    <row r="14" spans="1:13" ht="13.5" thickBot="1" x14ac:dyDescent="0.25">
      <c r="A14" s="78" t="s">
        <v>7</v>
      </c>
      <c r="B14" s="44"/>
      <c r="C14" s="44"/>
      <c r="D14" s="44"/>
      <c r="E14" s="44">
        <v>0</v>
      </c>
      <c r="F14" s="44"/>
      <c r="G14" s="44"/>
      <c r="H14" s="44"/>
      <c r="I14" s="44"/>
      <c r="J14" s="44"/>
      <c r="K14" s="44"/>
      <c r="L14" s="44"/>
      <c r="M14" s="44"/>
    </row>
    <row r="15" spans="1:13" ht="13.5" thickBot="1" x14ac:dyDescent="0.25">
      <c r="A15" s="78" t="s">
        <v>111</v>
      </c>
      <c r="B15" s="45">
        <f t="shared" ref="B15:M15" si="2">B13-B14</f>
        <v>36100</v>
      </c>
      <c r="C15" s="46">
        <f t="shared" si="2"/>
        <v>72200</v>
      </c>
      <c r="D15" s="46">
        <f t="shared" si="2"/>
        <v>72200</v>
      </c>
      <c r="E15" s="46">
        <f t="shared" si="2"/>
        <v>72200</v>
      </c>
      <c r="F15" s="46">
        <f t="shared" si="2"/>
        <v>72200</v>
      </c>
      <c r="G15" s="46">
        <f t="shared" si="2"/>
        <v>72200</v>
      </c>
      <c r="H15" s="46">
        <f t="shared" si="2"/>
        <v>72200</v>
      </c>
      <c r="I15" s="46">
        <f t="shared" si="2"/>
        <v>72200</v>
      </c>
      <c r="J15" s="46">
        <f t="shared" si="2"/>
        <v>72200</v>
      </c>
      <c r="K15" s="46">
        <f t="shared" si="2"/>
        <v>72200</v>
      </c>
      <c r="L15" s="46">
        <f t="shared" si="2"/>
        <v>72200</v>
      </c>
      <c r="M15" s="47">
        <f t="shared" si="2"/>
        <v>72200</v>
      </c>
    </row>
    <row r="18" spans="1:13" x14ac:dyDescent="0.2">
      <c r="A18" s="81"/>
      <c r="B18" s="82">
        <v>45658</v>
      </c>
      <c r="C18" s="82">
        <v>45689</v>
      </c>
      <c r="D18" s="82">
        <v>45717</v>
      </c>
      <c r="E18" s="82">
        <v>45748</v>
      </c>
      <c r="F18" s="82">
        <v>45778</v>
      </c>
      <c r="G18" s="82">
        <v>45809</v>
      </c>
      <c r="H18" s="82">
        <v>45839</v>
      </c>
      <c r="I18" s="82">
        <v>45870</v>
      </c>
      <c r="J18" s="82">
        <v>45901</v>
      </c>
      <c r="K18" s="82">
        <v>45931</v>
      </c>
      <c r="L18" s="82">
        <v>45962</v>
      </c>
      <c r="M18" s="82">
        <v>45992</v>
      </c>
    </row>
    <row r="19" spans="1:13" x14ac:dyDescent="0.2">
      <c r="A19" s="78" t="s">
        <v>110</v>
      </c>
      <c r="B19" s="42">
        <v>270000</v>
      </c>
      <c r="C19" s="42">
        <f t="shared" ref="C19:M19" si="3">B30</f>
        <v>292500</v>
      </c>
      <c r="D19" s="42">
        <f t="shared" si="3"/>
        <v>325000</v>
      </c>
      <c r="E19" s="42">
        <f t="shared" si="3"/>
        <v>359630</v>
      </c>
      <c r="F19" s="42">
        <f t="shared" si="3"/>
        <v>394260</v>
      </c>
      <c r="G19" s="42">
        <f t="shared" si="3"/>
        <v>428890</v>
      </c>
      <c r="H19" s="42">
        <f t="shared" si="3"/>
        <v>463520</v>
      </c>
      <c r="I19" s="42">
        <f t="shared" si="3"/>
        <v>498150</v>
      </c>
      <c r="J19" s="42">
        <f t="shared" si="3"/>
        <v>532780</v>
      </c>
      <c r="K19" s="42">
        <f t="shared" si="3"/>
        <v>567410</v>
      </c>
      <c r="L19" s="42">
        <f t="shared" si="3"/>
        <v>602040</v>
      </c>
      <c r="M19" s="42">
        <f t="shared" si="3"/>
        <v>636670</v>
      </c>
    </row>
    <row r="20" spans="1:13" x14ac:dyDescent="0.2">
      <c r="A20" s="78" t="s">
        <v>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3</v>
      </c>
      <c r="B21" s="42">
        <v>2500</v>
      </c>
      <c r="C21" s="42">
        <v>2500</v>
      </c>
      <c r="D21" s="42">
        <v>4630</v>
      </c>
      <c r="E21" s="42">
        <v>4630</v>
      </c>
      <c r="F21" s="42">
        <v>4630</v>
      </c>
      <c r="G21" s="42">
        <v>4630</v>
      </c>
      <c r="H21" s="42">
        <v>4630</v>
      </c>
      <c r="I21" s="42">
        <v>4630</v>
      </c>
      <c r="J21" s="42">
        <v>4630</v>
      </c>
      <c r="K21" s="42">
        <v>4630</v>
      </c>
      <c r="L21" s="42">
        <v>4630</v>
      </c>
      <c r="M21" s="42">
        <v>4630</v>
      </c>
    </row>
    <row r="22" spans="1:13" x14ac:dyDescent="0.2">
      <c r="A22" s="78" t="s">
        <v>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5</v>
      </c>
      <c r="B27" s="42">
        <v>20000</v>
      </c>
      <c r="C27" s="42">
        <v>30000</v>
      </c>
      <c r="D27" s="42">
        <v>30000</v>
      </c>
      <c r="E27" s="42">
        <v>30000</v>
      </c>
      <c r="F27" s="42">
        <v>30000</v>
      </c>
      <c r="G27" s="42">
        <v>30000</v>
      </c>
      <c r="H27" s="42">
        <v>30000</v>
      </c>
      <c r="I27" s="42">
        <v>30000</v>
      </c>
      <c r="J27" s="42">
        <v>30000</v>
      </c>
      <c r="K27" s="42">
        <v>30000</v>
      </c>
      <c r="L27" s="42">
        <v>30000</v>
      </c>
      <c r="M27" s="42">
        <v>30000</v>
      </c>
    </row>
    <row r="28" spans="1:13" x14ac:dyDescent="0.2">
      <c r="A28" s="78" t="s">
        <v>6</v>
      </c>
      <c r="B28" s="43">
        <f t="shared" ref="B28:M28" si="4">SUM(B19:B27)</f>
        <v>292500</v>
      </c>
      <c r="C28" s="43">
        <f t="shared" si="4"/>
        <v>325000</v>
      </c>
      <c r="D28" s="43">
        <f t="shared" si="4"/>
        <v>359630</v>
      </c>
      <c r="E28" s="43">
        <f t="shared" si="4"/>
        <v>394260</v>
      </c>
      <c r="F28" s="43">
        <f t="shared" si="4"/>
        <v>428890</v>
      </c>
      <c r="G28" s="43">
        <f t="shared" si="4"/>
        <v>463520</v>
      </c>
      <c r="H28" s="43">
        <f t="shared" si="4"/>
        <v>498150</v>
      </c>
      <c r="I28" s="43">
        <f t="shared" si="4"/>
        <v>532780</v>
      </c>
      <c r="J28" s="43">
        <f t="shared" si="4"/>
        <v>567410</v>
      </c>
      <c r="K28" s="43">
        <f t="shared" si="4"/>
        <v>602040</v>
      </c>
      <c r="L28" s="43">
        <f t="shared" si="4"/>
        <v>636670</v>
      </c>
      <c r="M28" s="43">
        <f t="shared" si="4"/>
        <v>671300</v>
      </c>
    </row>
    <row r="29" spans="1:13" ht="13.5" thickBot="1" x14ac:dyDescent="0.25">
      <c r="A29" s="78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>
        <v>671300</v>
      </c>
    </row>
    <row r="30" spans="1:13" ht="13.5" thickBot="1" x14ac:dyDescent="0.25">
      <c r="A30" s="78" t="s">
        <v>111</v>
      </c>
      <c r="B30" s="45">
        <f t="shared" ref="B30:M30" si="5">B28-B29</f>
        <v>292500</v>
      </c>
      <c r="C30" s="46">
        <f t="shared" si="5"/>
        <v>325000</v>
      </c>
      <c r="D30" s="46">
        <f t="shared" si="5"/>
        <v>359630</v>
      </c>
      <c r="E30" s="46">
        <f t="shared" si="5"/>
        <v>394260</v>
      </c>
      <c r="F30" s="46">
        <f t="shared" si="5"/>
        <v>428890</v>
      </c>
      <c r="G30" s="46">
        <f t="shared" si="5"/>
        <v>463520</v>
      </c>
      <c r="H30" s="46">
        <f t="shared" si="5"/>
        <v>498150</v>
      </c>
      <c r="I30" s="46">
        <f t="shared" si="5"/>
        <v>532780</v>
      </c>
      <c r="J30" s="46">
        <f t="shared" si="5"/>
        <v>567410</v>
      </c>
      <c r="K30" s="46">
        <f t="shared" si="5"/>
        <v>602040</v>
      </c>
      <c r="L30" s="46">
        <f t="shared" si="5"/>
        <v>636670</v>
      </c>
      <c r="M30" s="47">
        <f t="shared" si="5"/>
        <v>0</v>
      </c>
    </row>
    <row r="33" spans="1:13" x14ac:dyDescent="0.2">
      <c r="A33" s="81"/>
      <c r="B33" s="82">
        <v>44562</v>
      </c>
      <c r="C33" s="82">
        <v>44593</v>
      </c>
      <c r="D33" s="82">
        <v>44621</v>
      </c>
      <c r="E33" s="82">
        <v>44652</v>
      </c>
      <c r="F33" s="82">
        <v>44682</v>
      </c>
      <c r="G33" s="82">
        <v>44713</v>
      </c>
      <c r="H33" s="82">
        <v>44743</v>
      </c>
      <c r="I33" s="82">
        <v>44774</v>
      </c>
      <c r="J33" s="82">
        <v>44805</v>
      </c>
      <c r="K33" s="82">
        <v>44835</v>
      </c>
      <c r="L33" s="82">
        <v>44866</v>
      </c>
      <c r="M33" s="82">
        <v>44896</v>
      </c>
    </row>
    <row r="34" spans="1:13" x14ac:dyDescent="0.2">
      <c r="A34" s="78" t="s">
        <v>110</v>
      </c>
      <c r="B34" s="42">
        <v>10352</v>
      </c>
      <c r="C34" s="42">
        <f t="shared" ref="C34:M34" si="6">B45</f>
        <v>11877</v>
      </c>
      <c r="D34" s="42">
        <f t="shared" si="6"/>
        <v>13677</v>
      </c>
      <c r="E34" s="42">
        <f t="shared" si="6"/>
        <v>15477</v>
      </c>
      <c r="F34" s="42">
        <f t="shared" si="6"/>
        <v>17277</v>
      </c>
      <c r="G34" s="42">
        <f t="shared" si="6"/>
        <v>19077</v>
      </c>
      <c r="H34" s="42">
        <f t="shared" si="6"/>
        <v>20877</v>
      </c>
      <c r="I34" s="42">
        <f t="shared" si="6"/>
        <v>77</v>
      </c>
      <c r="J34" s="42">
        <f t="shared" si="6"/>
        <v>3177</v>
      </c>
      <c r="K34" s="42">
        <f t="shared" si="6"/>
        <v>6277</v>
      </c>
      <c r="L34" s="42">
        <f t="shared" si="6"/>
        <v>9377</v>
      </c>
      <c r="M34" s="42">
        <f t="shared" si="6"/>
        <v>12477</v>
      </c>
    </row>
    <row r="35" spans="1:13" x14ac:dyDescent="0.2">
      <c r="A35" s="78" t="s">
        <v>2</v>
      </c>
      <c r="B35" s="42"/>
      <c r="C35" s="42"/>
      <c r="D35" s="42"/>
      <c r="E35" s="42"/>
      <c r="F35" s="42"/>
      <c r="G35" s="42"/>
      <c r="H35" s="42"/>
      <c r="I35" s="42">
        <v>300</v>
      </c>
      <c r="J35" s="42">
        <v>300</v>
      </c>
      <c r="K35" s="42">
        <v>300</v>
      </c>
      <c r="L35" s="42">
        <v>300</v>
      </c>
      <c r="M35" s="42">
        <v>300</v>
      </c>
    </row>
    <row r="36" spans="1:13" x14ac:dyDescent="0.2">
      <c r="A36" s="78" t="s">
        <v>3</v>
      </c>
      <c r="B36" s="42">
        <v>525</v>
      </c>
      <c r="C36" s="42">
        <v>800</v>
      </c>
      <c r="D36" s="42">
        <v>800</v>
      </c>
      <c r="E36" s="42">
        <v>800</v>
      </c>
      <c r="F36" s="42">
        <v>800</v>
      </c>
      <c r="G36" s="42">
        <v>800</v>
      </c>
      <c r="H36" s="42">
        <v>800</v>
      </c>
      <c r="I36" s="42">
        <v>800</v>
      </c>
      <c r="J36" s="42">
        <v>800</v>
      </c>
      <c r="K36" s="42">
        <v>800</v>
      </c>
      <c r="L36" s="42">
        <v>800</v>
      </c>
      <c r="M36" s="42">
        <v>800</v>
      </c>
    </row>
    <row r="37" spans="1:13" x14ac:dyDescent="0.2">
      <c r="A37" s="78" t="s">
        <v>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x14ac:dyDescent="0.2">
      <c r="A38" s="78" t="s">
        <v>9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x14ac:dyDescent="0.2">
      <c r="A39" s="78" t="s">
        <v>73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x14ac:dyDescent="0.2">
      <c r="A40" s="78" t="s">
        <v>74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75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5</v>
      </c>
      <c r="B42" s="42">
        <v>1000</v>
      </c>
      <c r="C42" s="42">
        <v>1000</v>
      </c>
      <c r="D42" s="42">
        <v>1000</v>
      </c>
      <c r="E42" s="42">
        <v>1000</v>
      </c>
      <c r="F42" s="42">
        <v>1000</v>
      </c>
      <c r="G42" s="42">
        <v>1000</v>
      </c>
      <c r="H42" s="42">
        <v>1000</v>
      </c>
      <c r="I42" s="42">
        <v>2000</v>
      </c>
      <c r="J42" s="42">
        <v>2000</v>
      </c>
      <c r="K42" s="42">
        <v>2000</v>
      </c>
      <c r="L42" s="42">
        <v>2000</v>
      </c>
      <c r="M42" s="42">
        <v>2000</v>
      </c>
    </row>
    <row r="43" spans="1:13" x14ac:dyDescent="0.2">
      <c r="A43" s="78" t="s">
        <v>6</v>
      </c>
      <c r="B43" s="43">
        <f t="shared" ref="B43:M43" si="7">SUM(B34:B42)</f>
        <v>11877</v>
      </c>
      <c r="C43" s="43">
        <f t="shared" si="7"/>
        <v>13677</v>
      </c>
      <c r="D43" s="43">
        <f t="shared" si="7"/>
        <v>15477</v>
      </c>
      <c r="E43" s="43">
        <f t="shared" si="7"/>
        <v>17277</v>
      </c>
      <c r="F43" s="43">
        <f t="shared" si="7"/>
        <v>19077</v>
      </c>
      <c r="G43" s="43">
        <f t="shared" si="7"/>
        <v>20877</v>
      </c>
      <c r="H43" s="43">
        <f t="shared" si="7"/>
        <v>22677</v>
      </c>
      <c r="I43" s="43">
        <f t="shared" si="7"/>
        <v>3177</v>
      </c>
      <c r="J43" s="43">
        <f t="shared" si="7"/>
        <v>6277</v>
      </c>
      <c r="K43" s="43">
        <f t="shared" si="7"/>
        <v>9377</v>
      </c>
      <c r="L43" s="43">
        <f t="shared" si="7"/>
        <v>12477</v>
      </c>
      <c r="M43" s="43">
        <f t="shared" si="7"/>
        <v>15577</v>
      </c>
    </row>
    <row r="44" spans="1:13" ht="13.5" thickBot="1" x14ac:dyDescent="0.25">
      <c r="A44" s="78" t="s">
        <v>7</v>
      </c>
      <c r="B44" s="44"/>
      <c r="C44" s="44"/>
      <c r="D44" s="44"/>
      <c r="E44" s="44"/>
      <c r="F44" s="44"/>
      <c r="G44" s="44"/>
      <c r="H44" s="44">
        <v>22600</v>
      </c>
      <c r="I44" s="44"/>
      <c r="J44" s="44"/>
      <c r="K44" s="44"/>
      <c r="L44" s="44"/>
      <c r="M44" s="44"/>
    </row>
    <row r="45" spans="1:13" ht="13.5" thickBot="1" x14ac:dyDescent="0.25">
      <c r="A45" s="78" t="s">
        <v>111</v>
      </c>
      <c r="B45" s="45">
        <f t="shared" ref="B45:M45" si="8">B43-B44</f>
        <v>11877</v>
      </c>
      <c r="C45" s="46">
        <f t="shared" si="8"/>
        <v>13677</v>
      </c>
      <c r="D45" s="46">
        <f t="shared" si="8"/>
        <v>15477</v>
      </c>
      <c r="E45" s="46">
        <f t="shared" si="8"/>
        <v>17277</v>
      </c>
      <c r="F45" s="46">
        <f t="shared" si="8"/>
        <v>19077</v>
      </c>
      <c r="G45" s="46">
        <f t="shared" si="8"/>
        <v>20877</v>
      </c>
      <c r="H45" s="46">
        <f t="shared" si="8"/>
        <v>77</v>
      </c>
      <c r="I45" s="46">
        <f t="shared" si="8"/>
        <v>3177</v>
      </c>
      <c r="J45" s="46">
        <f t="shared" si="8"/>
        <v>6277</v>
      </c>
      <c r="K45" s="46">
        <f t="shared" si="8"/>
        <v>9377</v>
      </c>
      <c r="L45" s="46">
        <f t="shared" si="8"/>
        <v>12477</v>
      </c>
      <c r="M45" s="47">
        <f t="shared" si="8"/>
        <v>15577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1"/>
  <dimension ref="A3:M39"/>
  <sheetViews>
    <sheetView topLeftCell="A19" workbookViewId="0">
      <selection activeCell="F35" sqref="F35"/>
    </sheetView>
  </sheetViews>
  <sheetFormatPr baseColWidth="10" defaultRowHeight="12.75" x14ac:dyDescent="0.2"/>
  <cols>
    <col min="1" max="1" width="30.85546875" customWidth="1"/>
  </cols>
  <sheetData>
    <row r="3" spans="1:13" ht="4.5" customHeight="1" x14ac:dyDescent="0.2"/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5" x14ac:dyDescent="0.2">
      <c r="A5" s="33"/>
      <c r="B5" s="82">
        <v>45658</v>
      </c>
      <c r="C5" s="82">
        <v>45689</v>
      </c>
      <c r="D5" s="82">
        <v>45717</v>
      </c>
      <c r="E5" s="82">
        <v>45748</v>
      </c>
      <c r="F5" s="82">
        <v>45778</v>
      </c>
      <c r="G5" s="82">
        <v>45809</v>
      </c>
      <c r="H5" s="82">
        <v>45839</v>
      </c>
      <c r="I5" s="82">
        <v>45870</v>
      </c>
      <c r="J5" s="82">
        <v>45901</v>
      </c>
      <c r="K5" s="82">
        <v>45931</v>
      </c>
      <c r="L5" s="82">
        <v>45962</v>
      </c>
      <c r="M5" s="82">
        <v>45992</v>
      </c>
    </row>
    <row r="6" spans="1:13" ht="15" x14ac:dyDescent="0.2">
      <c r="A6" s="8" t="s">
        <v>110</v>
      </c>
      <c r="B6" s="42"/>
      <c r="C6" s="42">
        <f t="shared" ref="C6:M6" si="0">B17</f>
        <v>0</v>
      </c>
      <c r="D6" s="42">
        <f t="shared" si="0"/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 t="shared" si="0"/>
        <v>0</v>
      </c>
      <c r="L6" s="42">
        <f t="shared" si="0"/>
        <v>0</v>
      </c>
      <c r="M6" s="42">
        <f t="shared" si="0"/>
        <v>0</v>
      </c>
    </row>
    <row r="7" spans="1:13" ht="15" x14ac:dyDescent="0.2">
      <c r="A7" s="8" t="s">
        <v>2</v>
      </c>
      <c r="B7" s="42">
        <v>43000</v>
      </c>
      <c r="C7" s="42">
        <v>56100</v>
      </c>
      <c r="D7" s="42">
        <v>56100</v>
      </c>
      <c r="E7" s="42">
        <v>56100</v>
      </c>
      <c r="F7" s="42">
        <v>56100</v>
      </c>
      <c r="G7" s="42">
        <v>56100</v>
      </c>
      <c r="H7" s="42">
        <v>56100</v>
      </c>
      <c r="I7" s="42">
        <v>63486</v>
      </c>
      <c r="J7" s="42">
        <v>63486</v>
      </c>
      <c r="K7" s="42">
        <v>63486</v>
      </c>
      <c r="L7" s="42">
        <v>63486</v>
      </c>
      <c r="M7" s="42">
        <v>63486</v>
      </c>
    </row>
    <row r="8" spans="1:13" ht="15" x14ac:dyDescent="0.2">
      <c r="A8" s="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4</v>
      </c>
      <c r="B9" s="42">
        <v>22700</v>
      </c>
      <c r="C9" s="42">
        <v>22700</v>
      </c>
      <c r="D9" s="42">
        <v>22700</v>
      </c>
      <c r="E9" s="42">
        <v>22700</v>
      </c>
      <c r="F9" s="42">
        <v>22700</v>
      </c>
      <c r="G9" s="42">
        <v>22700</v>
      </c>
      <c r="H9" s="42">
        <v>28000</v>
      </c>
      <c r="I9" s="42">
        <v>28000</v>
      </c>
      <c r="J9" s="42">
        <v>28000</v>
      </c>
      <c r="K9" s="42">
        <v>28000</v>
      </c>
      <c r="L9" s="42">
        <v>28000</v>
      </c>
      <c r="M9" s="42">
        <v>28000</v>
      </c>
    </row>
    <row r="10" spans="1:13" ht="15" x14ac:dyDescent="0.2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75</v>
      </c>
      <c r="B13" s="42"/>
      <c r="C13" s="42"/>
      <c r="D13" s="42"/>
      <c r="E13" s="42"/>
      <c r="F13" s="42"/>
      <c r="G13" s="42"/>
      <c r="H13" s="42"/>
      <c r="I13" s="42">
        <v>14</v>
      </c>
      <c r="J13" s="42">
        <v>14</v>
      </c>
      <c r="K13" s="42">
        <v>14</v>
      </c>
      <c r="L13" s="42">
        <v>14</v>
      </c>
      <c r="M13" s="42">
        <v>14</v>
      </c>
    </row>
    <row r="14" spans="1:13" ht="15" x14ac:dyDescent="0.2">
      <c r="A14" s="8" t="s">
        <v>5</v>
      </c>
      <c r="B14" s="42">
        <v>10000</v>
      </c>
      <c r="C14" s="42">
        <v>10000</v>
      </c>
      <c r="D14" s="42">
        <v>10000</v>
      </c>
      <c r="E14" s="42">
        <v>10000</v>
      </c>
      <c r="F14" s="42">
        <v>10000</v>
      </c>
      <c r="G14" s="42">
        <v>10000</v>
      </c>
      <c r="H14" s="42">
        <v>10000</v>
      </c>
      <c r="I14" s="42">
        <v>15000</v>
      </c>
      <c r="J14" s="42">
        <v>15000</v>
      </c>
      <c r="K14" s="42">
        <v>15000</v>
      </c>
      <c r="L14" s="42">
        <v>15000</v>
      </c>
      <c r="M14" s="42">
        <v>15000</v>
      </c>
    </row>
    <row r="15" spans="1:13" ht="15" x14ac:dyDescent="0.2">
      <c r="A15" s="8" t="s">
        <v>6</v>
      </c>
      <c r="B15" s="43">
        <f t="shared" ref="B15:M15" si="1">SUM(B6:B14)</f>
        <v>75700</v>
      </c>
      <c r="C15" s="43">
        <f t="shared" si="1"/>
        <v>88800</v>
      </c>
      <c r="D15" s="43">
        <f t="shared" si="1"/>
        <v>88800</v>
      </c>
      <c r="E15" s="43">
        <f t="shared" si="1"/>
        <v>88800</v>
      </c>
      <c r="F15" s="43">
        <f t="shared" si="1"/>
        <v>88800</v>
      </c>
      <c r="G15" s="43">
        <f t="shared" si="1"/>
        <v>88800</v>
      </c>
      <c r="H15" s="43">
        <f t="shared" si="1"/>
        <v>94100</v>
      </c>
      <c r="I15" s="43">
        <f t="shared" si="1"/>
        <v>106500</v>
      </c>
      <c r="J15" s="43">
        <f t="shared" si="1"/>
        <v>106500</v>
      </c>
      <c r="K15" s="43">
        <f t="shared" si="1"/>
        <v>106500</v>
      </c>
      <c r="L15" s="43">
        <f t="shared" si="1"/>
        <v>106500</v>
      </c>
      <c r="M15" s="43">
        <f t="shared" si="1"/>
        <v>106500</v>
      </c>
    </row>
    <row r="16" spans="1:13" ht="15.75" thickBot="1" x14ac:dyDescent="0.25">
      <c r="A16" s="8" t="s">
        <v>7</v>
      </c>
      <c r="B16" s="44">
        <v>75700</v>
      </c>
      <c r="C16" s="44">
        <v>88800</v>
      </c>
      <c r="D16" s="44">
        <v>88800</v>
      </c>
      <c r="E16" s="44">
        <v>88800</v>
      </c>
      <c r="F16" s="44">
        <v>88800</v>
      </c>
      <c r="G16" s="44">
        <v>88800</v>
      </c>
      <c r="H16" s="44">
        <v>94100</v>
      </c>
      <c r="I16" s="44">
        <v>106500</v>
      </c>
      <c r="J16" s="44">
        <v>106500</v>
      </c>
      <c r="K16" s="44">
        <v>106500</v>
      </c>
      <c r="L16" s="44">
        <v>106500</v>
      </c>
      <c r="M16" s="44">
        <v>106500</v>
      </c>
    </row>
    <row r="17" spans="1:13" ht="15.75" thickBot="1" x14ac:dyDescent="0.25">
      <c r="A17" s="8" t="s">
        <v>111</v>
      </c>
      <c r="B17" s="45">
        <f t="shared" ref="B17:M17" si="2">B15-B16</f>
        <v>0</v>
      </c>
      <c r="C17" s="46">
        <f t="shared" si="2"/>
        <v>0</v>
      </c>
      <c r="D17" s="46">
        <f t="shared" si="2"/>
        <v>0</v>
      </c>
      <c r="E17" s="46">
        <f t="shared" si="2"/>
        <v>0</v>
      </c>
      <c r="F17" s="46">
        <f t="shared" si="2"/>
        <v>0</v>
      </c>
      <c r="G17" s="46">
        <f t="shared" si="2"/>
        <v>0</v>
      </c>
      <c r="H17" s="46">
        <f t="shared" si="2"/>
        <v>0</v>
      </c>
      <c r="I17" s="46">
        <f t="shared" si="2"/>
        <v>0</v>
      </c>
      <c r="J17" s="46">
        <f t="shared" si="2"/>
        <v>0</v>
      </c>
      <c r="K17" s="46">
        <f t="shared" si="2"/>
        <v>0</v>
      </c>
      <c r="L17" s="46">
        <f t="shared" si="2"/>
        <v>0</v>
      </c>
      <c r="M17" s="47">
        <f t="shared" si="2"/>
        <v>0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81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2">
      <c r="A24" s="78" t="s">
        <v>110</v>
      </c>
      <c r="B24" s="42"/>
      <c r="C24" s="42">
        <f t="shared" ref="C24:M24" si="3">B35</f>
        <v>0</v>
      </c>
      <c r="D24" s="42">
        <f t="shared" si="3"/>
        <v>0</v>
      </c>
      <c r="E24" s="42">
        <f t="shared" si="3"/>
        <v>0</v>
      </c>
      <c r="F24" s="42">
        <f t="shared" si="3"/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2">
      <c r="A25" s="78" t="s">
        <v>2</v>
      </c>
      <c r="B25" s="42">
        <v>65610</v>
      </c>
      <c r="C25" s="42">
        <v>74000</v>
      </c>
      <c r="D25" s="42">
        <v>74000</v>
      </c>
      <c r="E25" s="42">
        <v>74000</v>
      </c>
      <c r="F25" s="42">
        <v>74000</v>
      </c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29000</v>
      </c>
      <c r="C27" s="42">
        <v>29000</v>
      </c>
      <c r="D27" s="42">
        <v>29000</v>
      </c>
      <c r="E27" s="42">
        <v>29000</v>
      </c>
      <c r="F27" s="42">
        <v>29000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15000</v>
      </c>
      <c r="C32" s="42">
        <v>15000</v>
      </c>
      <c r="D32" s="42">
        <v>15000</v>
      </c>
      <c r="E32" s="42">
        <v>15000</v>
      </c>
      <c r="F32" s="42">
        <v>15000</v>
      </c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 t="shared" ref="B33:M33" si="4">SUM(B24:B32)</f>
        <v>109610</v>
      </c>
      <c r="C33" s="43">
        <f t="shared" si="4"/>
        <v>118000</v>
      </c>
      <c r="D33" s="43">
        <f t="shared" si="4"/>
        <v>118000</v>
      </c>
      <c r="E33" s="43">
        <f t="shared" si="4"/>
        <v>118000</v>
      </c>
      <c r="F33" s="43">
        <f t="shared" si="4"/>
        <v>118000</v>
      </c>
      <c r="G33" s="43">
        <f t="shared" si="4"/>
        <v>0</v>
      </c>
      <c r="H33" s="43">
        <f t="shared" si="4"/>
        <v>0</v>
      </c>
      <c r="I33" s="43">
        <f t="shared" si="4"/>
        <v>0</v>
      </c>
      <c r="J33" s="43">
        <f t="shared" si="4"/>
        <v>0</v>
      </c>
      <c r="K33" s="43">
        <f t="shared" si="4"/>
        <v>0</v>
      </c>
      <c r="L33" s="43">
        <f t="shared" si="4"/>
        <v>0</v>
      </c>
      <c r="M33" s="43">
        <f t="shared" si="4"/>
        <v>0</v>
      </c>
    </row>
    <row r="34" spans="1:13" ht="13.5" thickBot="1" x14ac:dyDescent="0.25">
      <c r="A34" s="78" t="s">
        <v>7</v>
      </c>
      <c r="B34" s="44">
        <v>109610</v>
      </c>
      <c r="C34" s="44">
        <v>118000</v>
      </c>
      <c r="D34" s="44">
        <v>118000</v>
      </c>
      <c r="E34" s="44">
        <v>118000</v>
      </c>
      <c r="F34" s="44">
        <v>118000</v>
      </c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7">
        <f t="shared" si="5"/>
        <v>0</v>
      </c>
    </row>
    <row r="36" spans="1:13" x14ac:dyDescent="0.2">
      <c r="E36" s="124"/>
      <c r="F36" s="124"/>
    </row>
    <row r="37" spans="1:13" x14ac:dyDescent="0.2">
      <c r="E37" s="124"/>
    </row>
    <row r="38" spans="1:13" x14ac:dyDescent="0.2">
      <c r="E38" s="106">
        <f>E36+E37</f>
        <v>0</v>
      </c>
      <c r="F38" s="78"/>
    </row>
    <row r="39" spans="1:13" x14ac:dyDescent="0.2">
      <c r="E39" s="55"/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2"/>
  <dimension ref="A4:N36"/>
  <sheetViews>
    <sheetView topLeftCell="A7" workbookViewId="0">
      <selection activeCell="H16" sqref="H16:M16"/>
    </sheetView>
  </sheetViews>
  <sheetFormatPr baseColWidth="10" defaultRowHeight="12.75" x14ac:dyDescent="0.2"/>
  <cols>
    <col min="1" max="1" width="38.140625" customWidth="1"/>
  </cols>
  <sheetData>
    <row r="4" spans="1:13" ht="20.25" x14ac:dyDescent="0.3">
      <c r="A4" s="11" t="s">
        <v>11</v>
      </c>
      <c r="B4" s="216" t="s">
        <v>135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3" ht="20.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x14ac:dyDescent="0.2">
      <c r="A7" s="78"/>
      <c r="B7" s="79">
        <v>45658</v>
      </c>
      <c r="C7" s="79">
        <v>45689</v>
      </c>
      <c r="D7" s="79">
        <v>45717</v>
      </c>
      <c r="E7" s="79">
        <v>45748</v>
      </c>
      <c r="F7" s="79">
        <v>45778</v>
      </c>
      <c r="G7" s="79">
        <v>45809</v>
      </c>
      <c r="H7" s="79">
        <v>45839</v>
      </c>
      <c r="I7" s="79">
        <v>45870</v>
      </c>
      <c r="J7" s="79">
        <v>45901</v>
      </c>
      <c r="K7" s="79">
        <v>45931</v>
      </c>
      <c r="L7" s="79">
        <v>45962</v>
      </c>
      <c r="M7" s="79">
        <v>45992</v>
      </c>
    </row>
    <row r="8" spans="1:13" x14ac:dyDescent="0.2">
      <c r="A8" s="78" t="s">
        <v>110</v>
      </c>
      <c r="B8" s="42"/>
      <c r="C8" s="42">
        <f>B19</f>
        <v>110000</v>
      </c>
      <c r="D8" s="42">
        <f t="shared" ref="D8:M8" si="0">C19</f>
        <v>220000</v>
      </c>
      <c r="E8" s="42">
        <f t="shared" si="0"/>
        <v>330000</v>
      </c>
      <c r="F8" s="42">
        <f t="shared" si="0"/>
        <v>440000</v>
      </c>
      <c r="G8" s="42">
        <f t="shared" si="0"/>
        <v>550000</v>
      </c>
      <c r="H8" s="42">
        <f t="shared" si="0"/>
        <v>0</v>
      </c>
      <c r="I8" s="42">
        <f t="shared" si="0"/>
        <v>140000</v>
      </c>
      <c r="J8" s="42">
        <f t="shared" si="0"/>
        <v>280000</v>
      </c>
      <c r="K8" s="42">
        <f>J19</f>
        <v>420000</v>
      </c>
      <c r="L8" s="42">
        <f t="shared" si="0"/>
        <v>560000</v>
      </c>
      <c r="M8" s="42">
        <f t="shared" si="0"/>
        <v>700000</v>
      </c>
    </row>
    <row r="9" spans="1:13" x14ac:dyDescent="0.2">
      <c r="A9" s="78" t="s">
        <v>76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184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5</v>
      </c>
      <c r="B16" s="42">
        <v>110000</v>
      </c>
      <c r="C16" s="42">
        <v>110000</v>
      </c>
      <c r="D16" s="42">
        <v>110000</v>
      </c>
      <c r="E16" s="42">
        <v>110000</v>
      </c>
      <c r="F16" s="42">
        <v>110000</v>
      </c>
      <c r="G16" s="42">
        <v>110000</v>
      </c>
      <c r="H16" s="42">
        <v>140000</v>
      </c>
      <c r="I16" s="42">
        <v>140000</v>
      </c>
      <c r="J16" s="42">
        <v>140000</v>
      </c>
      <c r="K16" s="42">
        <v>140000</v>
      </c>
      <c r="L16" s="42">
        <v>140000</v>
      </c>
      <c r="M16" s="42">
        <v>140000</v>
      </c>
    </row>
    <row r="17" spans="1:14" x14ac:dyDescent="0.2">
      <c r="A17" s="78" t="s">
        <v>6</v>
      </c>
      <c r="B17" s="43">
        <f>SUM(B8:B16)</f>
        <v>110000</v>
      </c>
      <c r="C17" s="43">
        <f t="shared" ref="C17:M17" si="1">SUM(C8:C16)</f>
        <v>220000</v>
      </c>
      <c r="D17" s="43">
        <f t="shared" si="1"/>
        <v>330000</v>
      </c>
      <c r="E17" s="43">
        <f t="shared" si="1"/>
        <v>440000</v>
      </c>
      <c r="F17" s="43">
        <f t="shared" si="1"/>
        <v>550000</v>
      </c>
      <c r="G17" s="43">
        <f t="shared" si="1"/>
        <v>660000</v>
      </c>
      <c r="H17" s="43">
        <f t="shared" si="1"/>
        <v>140000</v>
      </c>
      <c r="I17" s="43">
        <f t="shared" si="1"/>
        <v>280000</v>
      </c>
      <c r="J17" s="43">
        <f t="shared" si="1"/>
        <v>420000</v>
      </c>
      <c r="K17" s="43">
        <f t="shared" si="1"/>
        <v>560000</v>
      </c>
      <c r="L17" s="43">
        <f t="shared" si="1"/>
        <v>700000</v>
      </c>
      <c r="M17" s="43">
        <f t="shared" si="1"/>
        <v>840000</v>
      </c>
    </row>
    <row r="18" spans="1:14" x14ac:dyDescent="0.2">
      <c r="A18" s="78" t="s">
        <v>7</v>
      </c>
      <c r="B18" s="44"/>
      <c r="C18" s="44"/>
      <c r="D18" s="44"/>
      <c r="E18" s="44"/>
      <c r="F18" s="44"/>
      <c r="G18" s="44">
        <v>660000</v>
      </c>
      <c r="H18" s="44"/>
      <c r="I18" s="44"/>
      <c r="J18" s="44"/>
      <c r="K18" s="44"/>
      <c r="L18" s="44"/>
      <c r="M18" s="44"/>
    </row>
    <row r="19" spans="1:14" x14ac:dyDescent="0.2">
      <c r="A19" s="78" t="s">
        <v>111</v>
      </c>
      <c r="B19" s="43">
        <f>B17-B18</f>
        <v>110000</v>
      </c>
      <c r="C19" s="43">
        <f>C17-C18</f>
        <v>220000</v>
      </c>
      <c r="D19" s="43">
        <f t="shared" ref="D19:M19" si="2">D17-D18</f>
        <v>330000</v>
      </c>
      <c r="E19" s="43">
        <f t="shared" si="2"/>
        <v>440000</v>
      </c>
      <c r="F19" s="43">
        <f t="shared" si="2"/>
        <v>550000</v>
      </c>
      <c r="G19" s="43">
        <f t="shared" si="2"/>
        <v>0</v>
      </c>
      <c r="H19" s="43">
        <f t="shared" si="2"/>
        <v>140000</v>
      </c>
      <c r="I19" s="43">
        <f t="shared" si="2"/>
        <v>280000</v>
      </c>
      <c r="J19" s="43">
        <f t="shared" si="2"/>
        <v>420000</v>
      </c>
      <c r="K19" s="43">
        <f t="shared" si="2"/>
        <v>560000</v>
      </c>
      <c r="L19" s="43">
        <f t="shared" si="2"/>
        <v>700000</v>
      </c>
      <c r="M19" s="43">
        <f t="shared" si="2"/>
        <v>840000</v>
      </c>
    </row>
    <row r="20" spans="1:14" x14ac:dyDescent="0.2">
      <c r="A20" s="78"/>
      <c r="B20" s="78"/>
      <c r="C20" s="78"/>
      <c r="D20" s="78"/>
      <c r="E20" s="78"/>
      <c r="F20" s="78"/>
      <c r="G20" s="78"/>
      <c r="H20" s="149">
        <v>44364</v>
      </c>
      <c r="I20" s="78"/>
      <c r="J20" s="78"/>
      <c r="K20" s="78"/>
      <c r="L20" s="78"/>
      <c r="M20" s="78"/>
    </row>
    <row r="21" spans="1:14" x14ac:dyDescent="0.2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4" x14ac:dyDescent="0.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4" x14ac:dyDescent="0.2">
      <c r="A23" s="80" t="s">
        <v>0</v>
      </c>
      <c r="B23" s="80" t="s">
        <v>1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</row>
    <row r="24" spans="1:14" x14ac:dyDescent="0.2">
      <c r="A24" s="81"/>
      <c r="B24" s="82">
        <v>45292</v>
      </c>
      <c r="C24" s="82">
        <v>45323</v>
      </c>
      <c r="D24" s="82">
        <v>45352</v>
      </c>
      <c r="E24" s="82">
        <v>45383</v>
      </c>
      <c r="F24" s="82">
        <v>45413</v>
      </c>
      <c r="G24" s="82">
        <v>45444</v>
      </c>
      <c r="H24" s="82">
        <v>45474</v>
      </c>
      <c r="I24" s="82">
        <v>45505</v>
      </c>
      <c r="J24" s="82">
        <v>45536</v>
      </c>
      <c r="K24" s="82">
        <v>45566</v>
      </c>
      <c r="L24" s="82">
        <v>45597</v>
      </c>
      <c r="M24" s="82">
        <v>45627</v>
      </c>
    </row>
    <row r="25" spans="1:14" x14ac:dyDescent="0.2">
      <c r="A25" s="78" t="s">
        <v>110</v>
      </c>
      <c r="B25" s="42"/>
      <c r="C25" s="42">
        <f t="shared" ref="C25:M25" si="3">B36</f>
        <v>80000</v>
      </c>
      <c r="D25" s="42">
        <f t="shared" si="3"/>
        <v>160000</v>
      </c>
      <c r="E25" s="42">
        <f t="shared" si="3"/>
        <v>240000</v>
      </c>
      <c r="F25" s="42">
        <f t="shared" si="3"/>
        <v>320000</v>
      </c>
      <c r="G25" s="42">
        <f t="shared" si="3"/>
        <v>400000</v>
      </c>
      <c r="H25" s="42">
        <f t="shared" si="3"/>
        <v>0</v>
      </c>
      <c r="I25" s="42">
        <f t="shared" si="3"/>
        <v>90000</v>
      </c>
      <c r="J25" s="42">
        <f t="shared" si="3"/>
        <v>180000</v>
      </c>
      <c r="K25" s="42">
        <f t="shared" si="3"/>
        <v>270000</v>
      </c>
      <c r="L25" s="42">
        <f t="shared" si="3"/>
        <v>360000</v>
      </c>
      <c r="M25" s="42">
        <f t="shared" si="3"/>
        <v>450000</v>
      </c>
    </row>
    <row r="26" spans="1:14" x14ac:dyDescent="0.2">
      <c r="A26" s="78" t="s">
        <v>144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x14ac:dyDescent="0.2">
      <c r="A27" s="7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4" x14ac:dyDescent="0.2">
      <c r="A28" s="78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4" x14ac:dyDescent="0.2">
      <c r="A29" s="7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4" x14ac:dyDescent="0.2">
      <c r="A30" s="7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4" x14ac:dyDescent="0.2">
      <c r="A31" s="7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>
        <v>30000</v>
      </c>
    </row>
    <row r="32" spans="1:14" x14ac:dyDescent="0.2">
      <c r="A32" s="7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>
        <v>20200</v>
      </c>
    </row>
    <row r="33" spans="1:14" x14ac:dyDescent="0.2">
      <c r="A33" s="78" t="s">
        <v>5</v>
      </c>
      <c r="B33" s="42">
        <v>80000</v>
      </c>
      <c r="C33" s="42">
        <v>80000</v>
      </c>
      <c r="D33" s="42">
        <v>80000</v>
      </c>
      <c r="E33" s="42">
        <v>80000</v>
      </c>
      <c r="F33" s="42">
        <v>80000</v>
      </c>
      <c r="G33" s="42">
        <v>80000</v>
      </c>
      <c r="H33" s="42">
        <v>90000</v>
      </c>
      <c r="I33" s="42">
        <v>90000</v>
      </c>
      <c r="J33" s="42">
        <v>90000</v>
      </c>
      <c r="K33" s="42">
        <v>90000</v>
      </c>
      <c r="L33" s="42">
        <v>90000</v>
      </c>
      <c r="M33" s="42">
        <v>100000</v>
      </c>
      <c r="N33">
        <f>N31-N32</f>
        <v>9800</v>
      </c>
    </row>
    <row r="34" spans="1:14" x14ac:dyDescent="0.2">
      <c r="A34" s="78" t="s">
        <v>6</v>
      </c>
      <c r="B34" s="43">
        <f t="shared" ref="B34:M34" si="4">SUM(B25:B33)</f>
        <v>80000</v>
      </c>
      <c r="C34" s="43">
        <f t="shared" si="4"/>
        <v>160000</v>
      </c>
      <c r="D34" s="43">
        <f t="shared" si="4"/>
        <v>240000</v>
      </c>
      <c r="E34" s="43">
        <f t="shared" si="4"/>
        <v>320000</v>
      </c>
      <c r="F34" s="43">
        <f t="shared" si="4"/>
        <v>400000</v>
      </c>
      <c r="G34" s="43">
        <f t="shared" si="4"/>
        <v>480000</v>
      </c>
      <c r="H34" s="43">
        <f t="shared" si="4"/>
        <v>90000</v>
      </c>
      <c r="I34" s="43">
        <f t="shared" si="4"/>
        <v>180000</v>
      </c>
      <c r="J34" s="43">
        <f t="shared" si="4"/>
        <v>270000</v>
      </c>
      <c r="K34" s="43">
        <f t="shared" si="4"/>
        <v>360000</v>
      </c>
      <c r="L34" s="43">
        <f t="shared" si="4"/>
        <v>450000</v>
      </c>
      <c r="M34" s="43">
        <f t="shared" si="4"/>
        <v>550000</v>
      </c>
    </row>
    <row r="35" spans="1:14" ht="13.5" thickBot="1" x14ac:dyDescent="0.25">
      <c r="A35" s="78" t="s">
        <v>7</v>
      </c>
      <c r="B35" s="44"/>
      <c r="C35" s="44"/>
      <c r="D35" s="44"/>
      <c r="E35" s="44"/>
      <c r="F35" s="44"/>
      <c r="G35" s="44">
        <v>480000</v>
      </c>
      <c r="H35" s="44"/>
      <c r="I35" s="44"/>
      <c r="J35" s="44"/>
      <c r="K35" s="44"/>
      <c r="L35" s="44"/>
      <c r="M35" s="44">
        <v>550000</v>
      </c>
    </row>
    <row r="36" spans="1:14" ht="13.5" thickBot="1" x14ac:dyDescent="0.25">
      <c r="A36" s="78" t="s">
        <v>111</v>
      </c>
      <c r="B36" s="45">
        <f t="shared" ref="B36:M36" si="5">B34-B35</f>
        <v>80000</v>
      </c>
      <c r="C36" s="46">
        <f t="shared" si="5"/>
        <v>160000</v>
      </c>
      <c r="D36" s="46">
        <f t="shared" si="5"/>
        <v>240000</v>
      </c>
      <c r="E36" s="46">
        <f t="shared" si="5"/>
        <v>320000</v>
      </c>
      <c r="F36" s="46">
        <f t="shared" si="5"/>
        <v>400000</v>
      </c>
      <c r="G36" s="46">
        <f t="shared" si="5"/>
        <v>0</v>
      </c>
      <c r="H36" s="46">
        <f t="shared" si="5"/>
        <v>90000</v>
      </c>
      <c r="I36" s="46">
        <f t="shared" si="5"/>
        <v>180000</v>
      </c>
      <c r="J36" s="46">
        <f t="shared" si="5"/>
        <v>270000</v>
      </c>
      <c r="K36" s="46">
        <f t="shared" si="5"/>
        <v>360000</v>
      </c>
      <c r="L36" s="46">
        <f t="shared" si="5"/>
        <v>450000</v>
      </c>
      <c r="M36" s="47">
        <f t="shared" si="5"/>
        <v>0</v>
      </c>
    </row>
  </sheetData>
  <mergeCells count="1">
    <mergeCell ref="B4:G4"/>
  </mergeCells>
  <phoneticPr fontId="4" type="noConversion"/>
  <pageMargins left="0.75" right="0.75" top="1" bottom="1" header="0" footer="0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3"/>
  <dimension ref="A4:O34"/>
  <sheetViews>
    <sheetView topLeftCell="A19" workbookViewId="0">
      <selection activeCell="B31" sqref="B31:M31"/>
    </sheetView>
  </sheetViews>
  <sheetFormatPr baseColWidth="10" defaultRowHeight="12.75" x14ac:dyDescent="0.2"/>
  <cols>
    <col min="1" max="1" width="26.28515625" customWidth="1"/>
    <col min="2" max="2" width="15" customWidth="1"/>
    <col min="3" max="3" width="12.7109375" customWidth="1"/>
    <col min="4" max="4" width="13.42578125" customWidth="1"/>
    <col min="5" max="5" width="13.7109375" customWidth="1"/>
    <col min="6" max="6" width="13.140625" customWidth="1"/>
    <col min="7" max="7" width="14" customWidth="1"/>
    <col min="8" max="10" width="12.85546875" customWidth="1"/>
    <col min="11" max="11" width="12.5703125" customWidth="1"/>
    <col min="12" max="12" width="13.5703125" customWidth="1"/>
    <col min="13" max="13" width="13.28515625" customWidth="1"/>
  </cols>
  <sheetData>
    <row r="4" spans="1:15" x14ac:dyDescent="0.2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5" x14ac:dyDescent="0.2">
      <c r="A5" s="78"/>
      <c r="B5" s="79">
        <v>45292</v>
      </c>
      <c r="C5" s="79">
        <v>45323</v>
      </c>
      <c r="D5" s="79">
        <v>45352</v>
      </c>
      <c r="E5" s="79">
        <v>45383</v>
      </c>
      <c r="F5" s="79">
        <v>45413</v>
      </c>
      <c r="G5" s="79">
        <v>45444</v>
      </c>
      <c r="H5" s="79">
        <v>45474</v>
      </c>
      <c r="I5" s="79">
        <v>45505</v>
      </c>
      <c r="J5" s="79">
        <v>45536</v>
      </c>
      <c r="K5" s="79">
        <v>45566</v>
      </c>
      <c r="L5" s="79">
        <v>45597</v>
      </c>
      <c r="M5" s="79">
        <v>45627</v>
      </c>
    </row>
    <row r="6" spans="1:15" x14ac:dyDescent="0.2">
      <c r="A6" s="78" t="s">
        <v>110</v>
      </c>
      <c r="B6" s="42"/>
      <c r="C6" s="42">
        <f>B17</f>
        <v>110000</v>
      </c>
      <c r="D6" s="42">
        <f t="shared" ref="D6:M6" si="0">C17</f>
        <v>220000</v>
      </c>
      <c r="E6" s="42">
        <f t="shared" si="0"/>
        <v>340000</v>
      </c>
      <c r="F6" s="42">
        <f t="shared" si="0"/>
        <v>460000</v>
      </c>
      <c r="G6" s="42">
        <f t="shared" si="0"/>
        <v>580000</v>
      </c>
      <c r="H6" s="42">
        <f t="shared" si="0"/>
        <v>0</v>
      </c>
      <c r="I6" s="42">
        <f t="shared" si="0"/>
        <v>150000</v>
      </c>
      <c r="J6" s="42">
        <f t="shared" si="0"/>
        <v>300000</v>
      </c>
      <c r="K6" s="42">
        <f>J17</f>
        <v>450000</v>
      </c>
      <c r="L6" s="42">
        <f t="shared" si="0"/>
        <v>600000</v>
      </c>
      <c r="M6" s="42">
        <f t="shared" si="0"/>
        <v>750000</v>
      </c>
    </row>
    <row r="7" spans="1:15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5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5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5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5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5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5" x14ac:dyDescent="0.2">
      <c r="A13" s="78" t="s">
        <v>184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5" x14ac:dyDescent="0.2">
      <c r="A14" s="78" t="s">
        <v>5</v>
      </c>
      <c r="B14" s="42">
        <v>110000</v>
      </c>
      <c r="C14" s="42">
        <v>110000</v>
      </c>
      <c r="D14" s="42">
        <v>120000</v>
      </c>
      <c r="E14" s="42">
        <v>120000</v>
      </c>
      <c r="F14" s="42">
        <v>120000</v>
      </c>
      <c r="G14" s="42">
        <v>120000</v>
      </c>
      <c r="H14" s="42">
        <v>150000</v>
      </c>
      <c r="I14" s="42">
        <v>150000</v>
      </c>
      <c r="J14" s="42">
        <v>150000</v>
      </c>
      <c r="K14" s="42">
        <v>150000</v>
      </c>
      <c r="L14" s="42">
        <v>150000</v>
      </c>
      <c r="M14" s="42">
        <v>150000</v>
      </c>
      <c r="O14" t="s">
        <v>421</v>
      </c>
    </row>
    <row r="15" spans="1:15" x14ac:dyDescent="0.2">
      <c r="A15" s="78" t="s">
        <v>6</v>
      </c>
      <c r="B15" s="43">
        <f>SUM(B6:B14)</f>
        <v>110000</v>
      </c>
      <c r="C15" s="43">
        <f t="shared" ref="C15:M15" si="1">SUM(C6:C14)</f>
        <v>220000</v>
      </c>
      <c r="D15" s="43">
        <f t="shared" si="1"/>
        <v>340000</v>
      </c>
      <c r="E15" s="43">
        <f t="shared" si="1"/>
        <v>460000</v>
      </c>
      <c r="F15" s="43">
        <f t="shared" si="1"/>
        <v>580000</v>
      </c>
      <c r="G15" s="43">
        <f t="shared" si="1"/>
        <v>700000</v>
      </c>
      <c r="H15" s="43">
        <f t="shared" si="1"/>
        <v>150000</v>
      </c>
      <c r="I15" s="43">
        <f t="shared" si="1"/>
        <v>300000</v>
      </c>
      <c r="J15" s="43">
        <f t="shared" si="1"/>
        <v>450000</v>
      </c>
      <c r="K15" s="43">
        <f t="shared" si="1"/>
        <v>600000</v>
      </c>
      <c r="L15" s="43">
        <f t="shared" si="1"/>
        <v>750000</v>
      </c>
      <c r="M15" s="43">
        <f t="shared" si="1"/>
        <v>900000</v>
      </c>
    </row>
    <row r="16" spans="1:15" x14ac:dyDescent="0.2">
      <c r="A16" s="78" t="s">
        <v>7</v>
      </c>
      <c r="B16" s="44"/>
      <c r="C16" s="44"/>
      <c r="D16" s="44"/>
      <c r="E16" s="44"/>
      <c r="F16" s="44"/>
      <c r="G16" s="44">
        <v>700000</v>
      </c>
      <c r="H16" s="44"/>
      <c r="I16" s="44"/>
      <c r="J16" s="44"/>
      <c r="K16" s="44"/>
      <c r="L16" s="44"/>
      <c r="M16" s="44"/>
    </row>
    <row r="17" spans="1:15" x14ac:dyDescent="0.2">
      <c r="A17" s="78" t="s">
        <v>111</v>
      </c>
      <c r="B17" s="43">
        <f>B15-B16</f>
        <v>110000</v>
      </c>
      <c r="C17" s="43">
        <f>C15-C16</f>
        <v>220000</v>
      </c>
      <c r="D17" s="43">
        <f t="shared" ref="D17:M17" si="2">D15-D16</f>
        <v>340000</v>
      </c>
      <c r="E17" s="43">
        <f t="shared" si="2"/>
        <v>460000</v>
      </c>
      <c r="F17" s="43">
        <f t="shared" si="2"/>
        <v>580000</v>
      </c>
      <c r="G17" s="43">
        <f t="shared" si="2"/>
        <v>0</v>
      </c>
      <c r="H17" s="43">
        <f t="shared" si="2"/>
        <v>150000</v>
      </c>
      <c r="I17" s="43">
        <f t="shared" si="2"/>
        <v>300000</v>
      </c>
      <c r="J17" s="43">
        <f t="shared" si="2"/>
        <v>450000</v>
      </c>
      <c r="K17" s="43">
        <f t="shared" si="2"/>
        <v>600000</v>
      </c>
      <c r="L17" s="43">
        <f t="shared" si="2"/>
        <v>750000</v>
      </c>
      <c r="M17" s="43">
        <f t="shared" si="2"/>
        <v>900000</v>
      </c>
    </row>
    <row r="19" spans="1:15" x14ac:dyDescent="0.2">
      <c r="M19" s="179"/>
    </row>
    <row r="21" spans="1:15" x14ac:dyDescent="0.2">
      <c r="A21" s="50" t="s">
        <v>0</v>
      </c>
      <c r="B21" s="50" t="s">
        <v>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5" x14ac:dyDescent="0.2">
      <c r="A22" s="78"/>
      <c r="B22" s="79">
        <v>45658</v>
      </c>
      <c r="C22" s="79">
        <v>45689</v>
      </c>
      <c r="D22" s="79">
        <v>45717</v>
      </c>
      <c r="E22" s="79">
        <v>45748</v>
      </c>
      <c r="F22" s="79">
        <v>45778</v>
      </c>
      <c r="G22" s="79">
        <v>45809</v>
      </c>
      <c r="H22" s="79">
        <v>45839</v>
      </c>
      <c r="I22" s="79">
        <v>45870</v>
      </c>
      <c r="J22" s="79">
        <v>45901</v>
      </c>
      <c r="K22" s="79">
        <v>45931</v>
      </c>
      <c r="L22" s="79">
        <v>45962</v>
      </c>
      <c r="M22" s="79">
        <v>45992</v>
      </c>
    </row>
    <row r="23" spans="1:15" x14ac:dyDescent="0.2">
      <c r="A23" s="78" t="s">
        <v>110</v>
      </c>
      <c r="B23" s="42">
        <v>900000</v>
      </c>
      <c r="C23" s="42">
        <f t="shared" ref="C23:M23" si="3">B34</f>
        <v>1080000</v>
      </c>
      <c r="D23" s="42">
        <f t="shared" si="3"/>
        <v>1260000</v>
      </c>
      <c r="E23" s="42">
        <f t="shared" si="3"/>
        <v>1440000</v>
      </c>
      <c r="F23" s="42">
        <f t="shared" si="3"/>
        <v>1620000</v>
      </c>
      <c r="G23" s="42">
        <f t="shared" si="3"/>
        <v>1800000</v>
      </c>
      <c r="H23" s="42">
        <f t="shared" si="3"/>
        <v>1980000</v>
      </c>
      <c r="I23" s="42">
        <f t="shared" si="3"/>
        <v>2160000</v>
      </c>
      <c r="J23" s="42">
        <f t="shared" si="3"/>
        <v>2340000</v>
      </c>
      <c r="K23" s="42">
        <f t="shared" si="3"/>
        <v>2520000</v>
      </c>
      <c r="L23" s="42">
        <f t="shared" si="3"/>
        <v>2700000</v>
      </c>
      <c r="M23" s="42">
        <f t="shared" si="3"/>
        <v>2880000</v>
      </c>
      <c r="O23" t="s">
        <v>420</v>
      </c>
    </row>
    <row r="24" spans="1:15" x14ac:dyDescent="0.2">
      <c r="A24" s="7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5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5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5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5" x14ac:dyDescent="0.2">
      <c r="A28" s="78" t="s">
        <v>73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5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5" x14ac:dyDescent="0.2">
      <c r="A30" s="78" t="s">
        <v>184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5" x14ac:dyDescent="0.2">
      <c r="A31" s="78" t="s">
        <v>5</v>
      </c>
      <c r="B31" s="42">
        <v>180000</v>
      </c>
      <c r="C31" s="42">
        <v>180000</v>
      </c>
      <c r="D31" s="42">
        <v>180000</v>
      </c>
      <c r="E31" s="42">
        <v>180000</v>
      </c>
      <c r="F31" s="42">
        <v>180000</v>
      </c>
      <c r="G31" s="42">
        <v>180000</v>
      </c>
      <c r="H31" s="42">
        <v>180000</v>
      </c>
      <c r="I31" s="42">
        <v>180000</v>
      </c>
      <c r="J31" s="42">
        <v>180000</v>
      </c>
      <c r="K31" s="42">
        <v>180000</v>
      </c>
      <c r="L31" s="42">
        <v>180000</v>
      </c>
      <c r="M31" s="42">
        <v>180000</v>
      </c>
    </row>
    <row r="32" spans="1:15" x14ac:dyDescent="0.2">
      <c r="A32" s="78" t="s">
        <v>6</v>
      </c>
      <c r="B32" s="43">
        <f>SUM(B23:B31)</f>
        <v>1080000</v>
      </c>
      <c r="C32" s="43">
        <f t="shared" ref="C32:M32" si="4">SUM(C23:C31)</f>
        <v>1260000</v>
      </c>
      <c r="D32" s="43">
        <f t="shared" si="4"/>
        <v>1440000</v>
      </c>
      <c r="E32" s="43">
        <f t="shared" si="4"/>
        <v>1620000</v>
      </c>
      <c r="F32" s="43">
        <f t="shared" si="4"/>
        <v>1800000</v>
      </c>
      <c r="G32" s="43">
        <f t="shared" si="4"/>
        <v>1980000</v>
      </c>
      <c r="H32" s="43">
        <f t="shared" si="4"/>
        <v>2160000</v>
      </c>
      <c r="I32" s="43">
        <f t="shared" si="4"/>
        <v>2340000</v>
      </c>
      <c r="J32" s="43">
        <f t="shared" si="4"/>
        <v>2520000</v>
      </c>
      <c r="K32" s="43">
        <f t="shared" si="4"/>
        <v>2700000</v>
      </c>
      <c r="L32" s="43">
        <f t="shared" si="4"/>
        <v>2880000</v>
      </c>
      <c r="M32" s="43">
        <f t="shared" si="4"/>
        <v>3060000</v>
      </c>
    </row>
    <row r="33" spans="1:13" x14ac:dyDescent="0.2">
      <c r="A33" s="78" t="s">
        <v>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13" x14ac:dyDescent="0.2">
      <c r="A34" s="78" t="s">
        <v>111</v>
      </c>
      <c r="B34" s="43">
        <f>B32-B33</f>
        <v>1080000</v>
      </c>
      <c r="C34" s="43">
        <f>C32-C33</f>
        <v>1260000</v>
      </c>
      <c r="D34" s="43">
        <f t="shared" ref="D34:M34" si="5">D32-D33</f>
        <v>1440000</v>
      </c>
      <c r="E34" s="43">
        <f t="shared" si="5"/>
        <v>1620000</v>
      </c>
      <c r="F34" s="43">
        <f t="shared" si="5"/>
        <v>1800000</v>
      </c>
      <c r="G34" s="43">
        <f t="shared" si="5"/>
        <v>1980000</v>
      </c>
      <c r="H34" s="43">
        <f t="shared" si="5"/>
        <v>2160000</v>
      </c>
      <c r="I34" s="43">
        <f t="shared" si="5"/>
        <v>2340000</v>
      </c>
      <c r="J34" s="43">
        <f t="shared" si="5"/>
        <v>2520000</v>
      </c>
      <c r="K34" s="43">
        <f t="shared" si="5"/>
        <v>2700000</v>
      </c>
      <c r="L34" s="43">
        <f t="shared" si="5"/>
        <v>2880000</v>
      </c>
      <c r="M34" s="43">
        <f t="shared" si="5"/>
        <v>3060000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4"/>
  <dimension ref="A3:M48"/>
  <sheetViews>
    <sheetView workbookViewId="0">
      <selection activeCell="M16" sqref="M16"/>
    </sheetView>
  </sheetViews>
  <sheetFormatPr baseColWidth="10" defaultRowHeight="12.75" x14ac:dyDescent="0.2"/>
  <cols>
    <col min="1" max="1" width="31" customWidth="1"/>
    <col min="2" max="11" width="12.85546875" bestFit="1" customWidth="1"/>
    <col min="12" max="12" width="12.5703125" customWidth="1"/>
    <col min="13" max="13" width="12.7109375" customWidth="1"/>
  </cols>
  <sheetData>
    <row r="3" spans="1:13" x14ac:dyDescent="0.2">
      <c r="A3" s="80" t="s">
        <v>0</v>
      </c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>
        <v>40000</v>
      </c>
      <c r="C5" s="42">
        <f t="shared" ref="C5:M5" si="0">B16</f>
        <v>240000</v>
      </c>
      <c r="D5" s="42">
        <f t="shared" si="0"/>
        <v>440000</v>
      </c>
      <c r="E5" s="42">
        <f t="shared" si="0"/>
        <v>640000</v>
      </c>
      <c r="F5" s="42">
        <f t="shared" si="0"/>
        <v>840000</v>
      </c>
      <c r="G5" s="42">
        <f t="shared" si="0"/>
        <v>1040000</v>
      </c>
      <c r="H5" s="42">
        <f t="shared" si="0"/>
        <v>1240000</v>
      </c>
      <c r="I5" s="42">
        <f t="shared" si="0"/>
        <v>1440000</v>
      </c>
      <c r="J5" s="42">
        <f t="shared" si="0"/>
        <v>1640000</v>
      </c>
      <c r="K5" s="42">
        <f t="shared" si="0"/>
        <v>1840000</v>
      </c>
      <c r="L5" s="42">
        <f t="shared" si="0"/>
        <v>2040000</v>
      </c>
      <c r="M5" s="42">
        <f t="shared" si="0"/>
        <v>2240000</v>
      </c>
    </row>
    <row r="6" spans="1:13" x14ac:dyDescent="0.2">
      <c r="A6" s="78" t="s">
        <v>144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200000</v>
      </c>
      <c r="C13" s="42">
        <v>200000</v>
      </c>
      <c r="D13" s="42">
        <v>200000</v>
      </c>
      <c r="E13" s="42">
        <v>200000</v>
      </c>
      <c r="F13" s="42">
        <v>200000</v>
      </c>
      <c r="G13" s="42">
        <v>200000</v>
      </c>
      <c r="H13" s="42">
        <v>200000</v>
      </c>
      <c r="I13" s="42">
        <v>200000</v>
      </c>
      <c r="J13" s="42">
        <v>200000</v>
      </c>
      <c r="K13" s="42">
        <v>200000</v>
      </c>
      <c r="L13" s="42">
        <v>200000</v>
      </c>
      <c r="M13" s="42">
        <v>200000</v>
      </c>
    </row>
    <row r="14" spans="1:13" x14ac:dyDescent="0.2">
      <c r="A14" s="78" t="s">
        <v>6</v>
      </c>
      <c r="B14" s="43">
        <f t="shared" ref="B14:M14" si="1">SUM(B5:B13)</f>
        <v>240000</v>
      </c>
      <c r="C14" s="43">
        <f t="shared" si="1"/>
        <v>440000</v>
      </c>
      <c r="D14" s="43">
        <f t="shared" si="1"/>
        <v>640000</v>
      </c>
      <c r="E14" s="43">
        <f t="shared" si="1"/>
        <v>840000</v>
      </c>
      <c r="F14" s="43">
        <f t="shared" si="1"/>
        <v>1040000</v>
      </c>
      <c r="G14" s="43">
        <f t="shared" si="1"/>
        <v>1240000</v>
      </c>
      <c r="H14" s="43">
        <f t="shared" si="1"/>
        <v>1440000</v>
      </c>
      <c r="I14" s="43">
        <f t="shared" si="1"/>
        <v>1640000</v>
      </c>
      <c r="J14" s="43">
        <f t="shared" si="1"/>
        <v>1840000</v>
      </c>
      <c r="K14" s="43">
        <f t="shared" si="1"/>
        <v>2040000</v>
      </c>
      <c r="L14" s="43">
        <f t="shared" si="1"/>
        <v>2240000</v>
      </c>
      <c r="M14" s="43">
        <f t="shared" si="1"/>
        <v>2440000</v>
      </c>
    </row>
    <row r="15" spans="1:13" ht="13.5" thickBot="1" x14ac:dyDescent="0.25">
      <c r="A15" s="78" t="s">
        <v>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>
        <v>2000000</v>
      </c>
    </row>
    <row r="16" spans="1:13" ht="13.5" thickBot="1" x14ac:dyDescent="0.25">
      <c r="A16" s="78" t="s">
        <v>111</v>
      </c>
      <c r="B16" s="45">
        <f t="shared" ref="B16:M16" si="2">B14-B15</f>
        <v>240000</v>
      </c>
      <c r="C16" s="46">
        <f t="shared" si="2"/>
        <v>440000</v>
      </c>
      <c r="D16" s="46">
        <f t="shared" si="2"/>
        <v>640000</v>
      </c>
      <c r="E16" s="46">
        <f t="shared" si="2"/>
        <v>840000</v>
      </c>
      <c r="F16" s="46">
        <f t="shared" si="2"/>
        <v>1040000</v>
      </c>
      <c r="G16" s="46">
        <f t="shared" si="2"/>
        <v>1240000</v>
      </c>
      <c r="H16" s="46">
        <f t="shared" si="2"/>
        <v>1440000</v>
      </c>
      <c r="I16" s="46">
        <f t="shared" si="2"/>
        <v>1640000</v>
      </c>
      <c r="J16" s="46">
        <f t="shared" si="2"/>
        <v>1840000</v>
      </c>
      <c r="K16" s="46">
        <f t="shared" si="2"/>
        <v>2040000</v>
      </c>
      <c r="L16" s="46">
        <f t="shared" si="2"/>
        <v>2240000</v>
      </c>
      <c r="M16" s="47">
        <f t="shared" si="2"/>
        <v>440000</v>
      </c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80" t="s">
        <v>0</v>
      </c>
      <c r="B19" s="80" t="s">
        <v>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13" x14ac:dyDescent="0.2">
      <c r="A20" s="81"/>
      <c r="B20" s="82">
        <v>44927</v>
      </c>
      <c r="C20" s="82">
        <v>44958</v>
      </c>
      <c r="D20" s="82">
        <v>44986</v>
      </c>
      <c r="E20" s="82">
        <v>45017</v>
      </c>
      <c r="F20" s="82">
        <v>45047</v>
      </c>
      <c r="G20" s="82">
        <v>45078</v>
      </c>
      <c r="H20" s="82">
        <v>45108</v>
      </c>
      <c r="I20" s="82">
        <v>45139</v>
      </c>
      <c r="J20" s="82">
        <v>45170</v>
      </c>
      <c r="K20" s="82">
        <v>45200</v>
      </c>
      <c r="L20" s="82">
        <v>45231</v>
      </c>
      <c r="M20" s="82">
        <v>45261</v>
      </c>
    </row>
    <row r="21" spans="1:13" x14ac:dyDescent="0.2">
      <c r="A21" s="78" t="s">
        <v>110</v>
      </c>
      <c r="B21" s="42"/>
      <c r="C21" s="42">
        <f t="shared" ref="C21:M21" si="3">B32</f>
        <v>80000</v>
      </c>
      <c r="D21" s="42">
        <f t="shared" si="3"/>
        <v>160000</v>
      </c>
      <c r="E21" s="42">
        <f t="shared" si="3"/>
        <v>240000</v>
      </c>
      <c r="F21" s="42">
        <f t="shared" si="3"/>
        <v>320000</v>
      </c>
      <c r="G21" s="42">
        <f t="shared" si="3"/>
        <v>400000</v>
      </c>
      <c r="H21" s="42">
        <f t="shared" si="3"/>
        <v>480000</v>
      </c>
      <c r="I21" s="42">
        <f t="shared" si="3"/>
        <v>560000</v>
      </c>
      <c r="J21" s="42">
        <f t="shared" si="3"/>
        <v>640000</v>
      </c>
      <c r="K21" s="42">
        <f t="shared" si="3"/>
        <v>720000</v>
      </c>
      <c r="L21" s="42">
        <f t="shared" si="3"/>
        <v>800000</v>
      </c>
      <c r="M21" s="42">
        <f t="shared" si="3"/>
        <v>880000</v>
      </c>
    </row>
    <row r="22" spans="1:13" x14ac:dyDescent="0.2">
      <c r="A22" s="78" t="s">
        <v>144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80000</v>
      </c>
      <c r="C29" s="42">
        <v>80000</v>
      </c>
      <c r="D29" s="42">
        <v>80000</v>
      </c>
      <c r="E29" s="42">
        <v>80000</v>
      </c>
      <c r="F29" s="42">
        <v>80000</v>
      </c>
      <c r="G29" s="42">
        <v>80000</v>
      </c>
      <c r="H29" s="42">
        <v>80000</v>
      </c>
      <c r="I29" s="42">
        <v>80000</v>
      </c>
      <c r="J29" s="42">
        <v>80000</v>
      </c>
      <c r="K29" s="42">
        <v>80000</v>
      </c>
      <c r="L29" s="42">
        <v>80000</v>
      </c>
      <c r="M29" s="42">
        <v>80000</v>
      </c>
    </row>
    <row r="30" spans="1:13" x14ac:dyDescent="0.2">
      <c r="A30" s="78" t="s">
        <v>6</v>
      </c>
      <c r="B30" s="43">
        <f t="shared" ref="B30:M30" si="4">SUM(B21:B29)</f>
        <v>80000</v>
      </c>
      <c r="C30" s="43">
        <f t="shared" si="4"/>
        <v>160000</v>
      </c>
      <c r="D30" s="43">
        <f t="shared" si="4"/>
        <v>240000</v>
      </c>
      <c r="E30" s="43">
        <f t="shared" si="4"/>
        <v>320000</v>
      </c>
      <c r="F30" s="43">
        <f t="shared" si="4"/>
        <v>400000</v>
      </c>
      <c r="G30" s="43">
        <f t="shared" si="4"/>
        <v>480000</v>
      </c>
      <c r="H30" s="43">
        <f t="shared" si="4"/>
        <v>560000</v>
      </c>
      <c r="I30" s="43">
        <f t="shared" si="4"/>
        <v>640000</v>
      </c>
      <c r="J30" s="43">
        <f t="shared" si="4"/>
        <v>720000</v>
      </c>
      <c r="K30" s="43">
        <f t="shared" si="4"/>
        <v>800000</v>
      </c>
      <c r="L30" s="43">
        <f t="shared" si="4"/>
        <v>880000</v>
      </c>
      <c r="M30" s="43">
        <f t="shared" si="4"/>
        <v>960000</v>
      </c>
    </row>
    <row r="31" spans="1:13" ht="13.5" thickBot="1" x14ac:dyDescent="0.25">
      <c r="A31" s="78" t="s">
        <v>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13.5" thickBot="1" x14ac:dyDescent="0.25">
      <c r="A32" s="78" t="s">
        <v>111</v>
      </c>
      <c r="B32" s="45">
        <f t="shared" ref="B32:M32" si="5">B30-B31</f>
        <v>80000</v>
      </c>
      <c r="C32" s="46">
        <f t="shared" si="5"/>
        <v>160000</v>
      </c>
      <c r="D32" s="46">
        <f t="shared" si="5"/>
        <v>240000</v>
      </c>
      <c r="E32" s="46">
        <f t="shared" si="5"/>
        <v>320000</v>
      </c>
      <c r="F32" s="46">
        <f t="shared" si="5"/>
        <v>400000</v>
      </c>
      <c r="G32" s="46">
        <f t="shared" si="5"/>
        <v>480000</v>
      </c>
      <c r="H32" s="46">
        <f t="shared" si="5"/>
        <v>560000</v>
      </c>
      <c r="I32" s="46">
        <f t="shared" si="5"/>
        <v>640000</v>
      </c>
      <c r="J32" s="46">
        <f t="shared" si="5"/>
        <v>720000</v>
      </c>
      <c r="K32" s="46">
        <f t="shared" si="5"/>
        <v>800000</v>
      </c>
      <c r="L32" s="46">
        <f t="shared" si="5"/>
        <v>880000</v>
      </c>
      <c r="M32" s="47">
        <f t="shared" si="5"/>
        <v>960000</v>
      </c>
    </row>
    <row r="33" spans="1:13" x14ac:dyDescent="0.2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</row>
    <row r="34" spans="1:13" x14ac:dyDescent="0.2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</row>
    <row r="35" spans="1:13" x14ac:dyDescent="0.2">
      <c r="A35" s="80" t="s">
        <v>0</v>
      </c>
      <c r="B35" s="80" t="s">
        <v>1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</row>
    <row r="36" spans="1:13" x14ac:dyDescent="0.2">
      <c r="A36" s="81"/>
      <c r="B36" s="82">
        <v>45292</v>
      </c>
      <c r="C36" s="82">
        <v>45323</v>
      </c>
      <c r="D36" s="82">
        <v>45352</v>
      </c>
      <c r="E36" s="82">
        <v>45383</v>
      </c>
      <c r="F36" s="82">
        <v>45413</v>
      </c>
      <c r="G36" s="82">
        <v>45444</v>
      </c>
      <c r="H36" s="82">
        <v>45474</v>
      </c>
      <c r="I36" s="82">
        <v>45505</v>
      </c>
      <c r="J36" s="82">
        <v>45536</v>
      </c>
      <c r="K36" s="82">
        <v>45566</v>
      </c>
      <c r="L36" s="82">
        <v>45597</v>
      </c>
      <c r="M36" s="82">
        <v>45627</v>
      </c>
    </row>
    <row r="37" spans="1:13" x14ac:dyDescent="0.2">
      <c r="A37" s="78" t="s">
        <v>110</v>
      </c>
      <c r="B37" s="42">
        <v>960000</v>
      </c>
      <c r="C37" s="42">
        <f t="shared" ref="C37:M37" si="6">B48</f>
        <v>1050000</v>
      </c>
      <c r="D37" s="42">
        <f t="shared" si="6"/>
        <v>1140000</v>
      </c>
      <c r="E37" s="42">
        <f t="shared" si="6"/>
        <v>1230000</v>
      </c>
      <c r="F37" s="42">
        <f t="shared" si="6"/>
        <v>1320000</v>
      </c>
      <c r="G37" s="42">
        <f t="shared" si="6"/>
        <v>1410000</v>
      </c>
      <c r="H37" s="42">
        <f t="shared" si="6"/>
        <v>1500000</v>
      </c>
      <c r="I37" s="42">
        <f t="shared" si="6"/>
        <v>1590000</v>
      </c>
      <c r="J37" s="42">
        <f t="shared" si="6"/>
        <v>1680000</v>
      </c>
      <c r="K37" s="42">
        <f t="shared" si="6"/>
        <v>1770000</v>
      </c>
      <c r="L37" s="42">
        <f t="shared" si="6"/>
        <v>1860000</v>
      </c>
      <c r="M37" s="42">
        <f t="shared" si="6"/>
        <v>1950000</v>
      </c>
    </row>
    <row r="38" spans="1:13" x14ac:dyDescent="0.2">
      <c r="A38" s="78" t="s">
        <v>144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x14ac:dyDescent="0.2">
      <c r="A39" s="78" t="s">
        <v>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x14ac:dyDescent="0.2">
      <c r="A40" s="78" t="s">
        <v>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73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74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75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5</v>
      </c>
      <c r="B45" s="42">
        <v>90000</v>
      </c>
      <c r="C45" s="42">
        <v>90000</v>
      </c>
      <c r="D45" s="42">
        <v>90000</v>
      </c>
      <c r="E45" s="42">
        <v>90000</v>
      </c>
      <c r="F45" s="42">
        <v>90000</v>
      </c>
      <c r="G45" s="42">
        <v>90000</v>
      </c>
      <c r="H45" s="42">
        <v>90000</v>
      </c>
      <c r="I45" s="42">
        <v>90000</v>
      </c>
      <c r="J45" s="42">
        <v>90000</v>
      </c>
      <c r="K45" s="42">
        <v>90000</v>
      </c>
      <c r="L45" s="42">
        <v>90000</v>
      </c>
      <c r="M45" s="42">
        <v>90000</v>
      </c>
    </row>
    <row r="46" spans="1:13" x14ac:dyDescent="0.2">
      <c r="A46" s="78" t="s">
        <v>6</v>
      </c>
      <c r="B46" s="43">
        <f t="shared" ref="B46:M46" si="7">SUM(B37:B45)</f>
        <v>1050000</v>
      </c>
      <c r="C46" s="43">
        <f t="shared" si="7"/>
        <v>1140000</v>
      </c>
      <c r="D46" s="43">
        <f t="shared" si="7"/>
        <v>1230000</v>
      </c>
      <c r="E46" s="43">
        <f t="shared" si="7"/>
        <v>1320000</v>
      </c>
      <c r="F46" s="43">
        <f t="shared" si="7"/>
        <v>1410000</v>
      </c>
      <c r="G46" s="43">
        <f t="shared" si="7"/>
        <v>1500000</v>
      </c>
      <c r="H46" s="43">
        <f t="shared" si="7"/>
        <v>1590000</v>
      </c>
      <c r="I46" s="43">
        <f t="shared" si="7"/>
        <v>1680000</v>
      </c>
      <c r="J46" s="43">
        <f t="shared" si="7"/>
        <v>1770000</v>
      </c>
      <c r="K46" s="43">
        <f t="shared" si="7"/>
        <v>1860000</v>
      </c>
      <c r="L46" s="43">
        <f t="shared" si="7"/>
        <v>1950000</v>
      </c>
      <c r="M46" s="43">
        <f t="shared" si="7"/>
        <v>2040000</v>
      </c>
    </row>
    <row r="47" spans="1:13" ht="13.5" thickBot="1" x14ac:dyDescent="0.25">
      <c r="A47" s="78" t="s">
        <v>7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>
        <v>2000000</v>
      </c>
    </row>
    <row r="48" spans="1:13" ht="13.5" thickBot="1" x14ac:dyDescent="0.25">
      <c r="A48" s="78" t="s">
        <v>111</v>
      </c>
      <c r="B48" s="45">
        <f t="shared" ref="B48:M48" si="8">B46-B47</f>
        <v>1050000</v>
      </c>
      <c r="C48" s="46">
        <f t="shared" si="8"/>
        <v>1140000</v>
      </c>
      <c r="D48" s="46">
        <f t="shared" si="8"/>
        <v>1230000</v>
      </c>
      <c r="E48" s="46">
        <f t="shared" si="8"/>
        <v>1320000</v>
      </c>
      <c r="F48" s="46">
        <f t="shared" si="8"/>
        <v>1410000</v>
      </c>
      <c r="G48" s="46">
        <f t="shared" si="8"/>
        <v>1500000</v>
      </c>
      <c r="H48" s="46">
        <f t="shared" si="8"/>
        <v>1590000</v>
      </c>
      <c r="I48" s="46">
        <f t="shared" si="8"/>
        <v>1680000</v>
      </c>
      <c r="J48" s="46">
        <f t="shared" si="8"/>
        <v>1770000</v>
      </c>
      <c r="K48" s="46">
        <f t="shared" si="8"/>
        <v>1860000</v>
      </c>
      <c r="L48" s="46">
        <f t="shared" si="8"/>
        <v>1950000</v>
      </c>
      <c r="M48" s="47">
        <f t="shared" si="8"/>
        <v>40000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5"/>
  <dimension ref="A3:M34"/>
  <sheetViews>
    <sheetView topLeftCell="A16" workbookViewId="0">
      <selection activeCell="F34" sqref="F34"/>
    </sheetView>
  </sheetViews>
  <sheetFormatPr baseColWidth="10" defaultRowHeight="12.75" x14ac:dyDescent="0.2"/>
  <cols>
    <col min="1" max="1" width="25.85546875" customWidth="1"/>
  </cols>
  <sheetData>
    <row r="3" spans="1:13" x14ac:dyDescent="0.2">
      <c r="A3" s="50" t="s">
        <v>292</v>
      </c>
    </row>
    <row r="4" spans="1:13" x14ac:dyDescent="0.2">
      <c r="A4" s="80" t="s">
        <v>0</v>
      </c>
      <c r="B4" s="80" t="s">
        <v>1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x14ac:dyDescent="0.2">
      <c r="A5" s="81"/>
      <c r="B5" s="82">
        <v>45658</v>
      </c>
      <c r="C5" s="82">
        <v>45689</v>
      </c>
      <c r="D5" s="82">
        <v>45717</v>
      </c>
      <c r="E5" s="82">
        <v>45748</v>
      </c>
      <c r="F5" s="82">
        <v>45778</v>
      </c>
      <c r="G5" s="82">
        <v>45809</v>
      </c>
      <c r="H5" s="82">
        <v>45839</v>
      </c>
      <c r="I5" s="82">
        <v>45870</v>
      </c>
      <c r="J5" s="82">
        <v>45901</v>
      </c>
      <c r="K5" s="82">
        <v>45931</v>
      </c>
      <c r="L5" s="82">
        <v>45962</v>
      </c>
      <c r="M5" s="82">
        <v>45992</v>
      </c>
    </row>
    <row r="6" spans="1:13" x14ac:dyDescent="0.2">
      <c r="A6" s="78" t="s">
        <v>110</v>
      </c>
      <c r="B6" s="42"/>
      <c r="C6" s="42">
        <f t="shared" ref="C6:M6" si="0">B17</f>
        <v>0</v>
      </c>
      <c r="D6" s="42">
        <f t="shared" si="0"/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 t="shared" si="0"/>
        <v>0</v>
      </c>
      <c r="L6" s="42">
        <f t="shared" si="0"/>
        <v>0</v>
      </c>
      <c r="M6" s="42">
        <f t="shared" si="0"/>
        <v>0</v>
      </c>
    </row>
    <row r="7" spans="1:13" x14ac:dyDescent="0.2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>
        <v>29100</v>
      </c>
      <c r="C8" s="42">
        <v>47410</v>
      </c>
      <c r="D8" s="42">
        <v>47410</v>
      </c>
      <c r="E8" s="42">
        <v>47410</v>
      </c>
      <c r="F8" s="42">
        <v>47410</v>
      </c>
      <c r="G8" s="42">
        <v>47410</v>
      </c>
      <c r="H8" s="42">
        <v>47410</v>
      </c>
      <c r="I8" s="42">
        <v>63290</v>
      </c>
      <c r="J8" s="42">
        <v>63290</v>
      </c>
      <c r="K8" s="42">
        <v>63290</v>
      </c>
      <c r="L8" s="42">
        <v>63290</v>
      </c>
      <c r="M8" s="42">
        <v>63290</v>
      </c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300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>
        <v>11000</v>
      </c>
      <c r="I12" s="42">
        <v>11500</v>
      </c>
      <c r="J12" s="42">
        <v>11500</v>
      </c>
      <c r="K12" s="42">
        <v>11500</v>
      </c>
      <c r="L12" s="42">
        <v>11500</v>
      </c>
      <c r="M12" s="42">
        <v>11500</v>
      </c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5000</v>
      </c>
      <c r="C14" s="42">
        <v>15000</v>
      </c>
      <c r="D14" s="42">
        <v>15000</v>
      </c>
      <c r="E14" s="42">
        <v>15000</v>
      </c>
      <c r="F14" s="42">
        <v>15000</v>
      </c>
      <c r="G14" s="42">
        <v>15000</v>
      </c>
      <c r="H14" s="42">
        <v>15000</v>
      </c>
      <c r="I14" s="42">
        <v>20000</v>
      </c>
      <c r="J14" s="42">
        <v>20000</v>
      </c>
      <c r="K14" s="42">
        <v>20000</v>
      </c>
      <c r="L14" s="42">
        <v>20000</v>
      </c>
      <c r="M14" s="42">
        <v>20000</v>
      </c>
    </row>
    <row r="15" spans="1:13" x14ac:dyDescent="0.2">
      <c r="A15" s="78" t="s">
        <v>6</v>
      </c>
      <c r="B15" s="43">
        <f t="shared" ref="B15:M15" si="1">SUM(B6:B14)</f>
        <v>34100</v>
      </c>
      <c r="C15" s="43">
        <f t="shared" si="1"/>
        <v>62410</v>
      </c>
      <c r="D15" s="43">
        <f t="shared" si="1"/>
        <v>62410</v>
      </c>
      <c r="E15" s="43">
        <f t="shared" si="1"/>
        <v>62410</v>
      </c>
      <c r="F15" s="43">
        <f t="shared" si="1"/>
        <v>62410</v>
      </c>
      <c r="G15" s="43">
        <f t="shared" si="1"/>
        <v>62410</v>
      </c>
      <c r="H15" s="43">
        <f t="shared" si="1"/>
        <v>73410</v>
      </c>
      <c r="I15" s="43">
        <f t="shared" si="1"/>
        <v>94790</v>
      </c>
      <c r="J15" s="43">
        <f t="shared" si="1"/>
        <v>94790</v>
      </c>
      <c r="K15" s="43">
        <f t="shared" si="1"/>
        <v>94790</v>
      </c>
      <c r="L15" s="43">
        <f t="shared" si="1"/>
        <v>94790</v>
      </c>
      <c r="M15" s="43">
        <f t="shared" si="1"/>
        <v>94790</v>
      </c>
    </row>
    <row r="16" spans="1:13" ht="13.5" thickBot="1" x14ac:dyDescent="0.25">
      <c r="A16" s="78" t="s">
        <v>7</v>
      </c>
      <c r="B16" s="44">
        <v>34100</v>
      </c>
      <c r="C16" s="44">
        <v>62410</v>
      </c>
      <c r="D16" s="44">
        <v>62410</v>
      </c>
      <c r="E16" s="44">
        <v>62410</v>
      </c>
      <c r="F16" s="44">
        <v>62410</v>
      </c>
      <c r="G16" s="44">
        <v>62410</v>
      </c>
      <c r="H16" s="44">
        <v>73410</v>
      </c>
      <c r="I16" s="44">
        <v>94790</v>
      </c>
      <c r="J16" s="44">
        <v>94790</v>
      </c>
      <c r="K16" s="44">
        <v>94790</v>
      </c>
      <c r="L16" s="44">
        <v>94790</v>
      </c>
      <c r="M16" s="44">
        <v>94790</v>
      </c>
    </row>
    <row r="17" spans="1:13" ht="13.5" thickBot="1" x14ac:dyDescent="0.25">
      <c r="A17" s="78" t="s">
        <v>111</v>
      </c>
      <c r="B17" s="45">
        <f t="shared" ref="B17:M17" si="2">B15-B16</f>
        <v>0</v>
      </c>
      <c r="C17" s="46">
        <f t="shared" si="2"/>
        <v>0</v>
      </c>
      <c r="D17" s="46">
        <f t="shared" si="2"/>
        <v>0</v>
      </c>
      <c r="E17" s="46">
        <f t="shared" si="2"/>
        <v>0</v>
      </c>
      <c r="F17" s="46">
        <f t="shared" si="2"/>
        <v>0</v>
      </c>
      <c r="G17" s="46">
        <f t="shared" si="2"/>
        <v>0</v>
      </c>
      <c r="H17" s="46">
        <f t="shared" si="2"/>
        <v>0</v>
      </c>
      <c r="I17" s="46">
        <f t="shared" si="2"/>
        <v>0</v>
      </c>
      <c r="J17" s="46">
        <f t="shared" si="2"/>
        <v>0</v>
      </c>
      <c r="K17" s="46">
        <f t="shared" si="2"/>
        <v>0</v>
      </c>
      <c r="L17" s="46">
        <f t="shared" si="2"/>
        <v>0</v>
      </c>
      <c r="M17" s="47">
        <f t="shared" si="2"/>
        <v>0</v>
      </c>
    </row>
    <row r="18" spans="1:13" x14ac:dyDescent="0.2">
      <c r="J18" s="128">
        <v>43742</v>
      </c>
    </row>
    <row r="21" spans="1:13" x14ac:dyDescent="0.2">
      <c r="A21" s="80" t="s">
        <v>0</v>
      </c>
      <c r="B21" s="80" t="s">
        <v>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x14ac:dyDescent="0.2">
      <c r="A22" s="81"/>
      <c r="B22" s="82">
        <v>46023</v>
      </c>
      <c r="C22" s="82">
        <v>46054</v>
      </c>
      <c r="D22" s="82">
        <v>46082</v>
      </c>
      <c r="E22" s="82">
        <v>46113</v>
      </c>
      <c r="F22" s="82">
        <v>46143</v>
      </c>
      <c r="G22" s="82">
        <v>46174</v>
      </c>
      <c r="H22" s="82">
        <v>46204</v>
      </c>
      <c r="I22" s="82">
        <v>46235</v>
      </c>
      <c r="J22" s="82">
        <v>46266</v>
      </c>
      <c r="K22" s="82">
        <v>46296</v>
      </c>
      <c r="L22" s="82">
        <v>46327</v>
      </c>
      <c r="M22" s="82">
        <v>46357</v>
      </c>
    </row>
    <row r="23" spans="1:13" x14ac:dyDescent="0.2">
      <c r="A23" s="78" t="s">
        <v>110</v>
      </c>
      <c r="B23" s="42"/>
      <c r="C23" s="42">
        <f t="shared" ref="C23:M23" si="3">B34</f>
        <v>0</v>
      </c>
      <c r="D23" s="42">
        <f t="shared" si="3"/>
        <v>0</v>
      </c>
      <c r="E23" s="42">
        <f t="shared" si="3"/>
        <v>0</v>
      </c>
      <c r="F23" s="42">
        <f t="shared" si="3"/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2</v>
      </c>
      <c r="B24" s="42">
        <v>67720</v>
      </c>
      <c r="C24" s="42">
        <v>75000</v>
      </c>
      <c r="D24" s="42">
        <v>75000</v>
      </c>
      <c r="E24" s="42">
        <v>75000</v>
      </c>
      <c r="F24" s="42">
        <v>75000</v>
      </c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771</v>
      </c>
      <c r="B28" s="42">
        <v>13500</v>
      </c>
      <c r="C28" s="42">
        <v>15000</v>
      </c>
      <c r="D28" s="42">
        <v>15000</v>
      </c>
      <c r="E28" s="42">
        <v>15000</v>
      </c>
      <c r="F28" s="42">
        <v>15000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30000</v>
      </c>
      <c r="C31" s="42">
        <v>30000</v>
      </c>
      <c r="D31" s="42">
        <v>30000</v>
      </c>
      <c r="E31" s="42">
        <v>30000</v>
      </c>
      <c r="F31" s="42">
        <v>30000</v>
      </c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6</v>
      </c>
      <c r="B32" s="43">
        <f t="shared" ref="B32:M32" si="4">SUM(B23:B31)</f>
        <v>111220</v>
      </c>
      <c r="C32" s="43">
        <f t="shared" si="4"/>
        <v>120000</v>
      </c>
      <c r="D32" s="43">
        <f t="shared" si="4"/>
        <v>120000</v>
      </c>
      <c r="E32" s="43">
        <f t="shared" si="4"/>
        <v>120000</v>
      </c>
      <c r="F32" s="43">
        <f t="shared" si="4"/>
        <v>120000</v>
      </c>
      <c r="G32" s="43">
        <f t="shared" si="4"/>
        <v>0</v>
      </c>
      <c r="H32" s="43">
        <f t="shared" si="4"/>
        <v>0</v>
      </c>
      <c r="I32" s="43">
        <f t="shared" si="4"/>
        <v>0</v>
      </c>
      <c r="J32" s="43">
        <f t="shared" si="4"/>
        <v>0</v>
      </c>
      <c r="K32" s="43">
        <f t="shared" si="4"/>
        <v>0</v>
      </c>
      <c r="L32" s="43">
        <f t="shared" si="4"/>
        <v>0</v>
      </c>
      <c r="M32" s="43">
        <f t="shared" si="4"/>
        <v>0</v>
      </c>
    </row>
    <row r="33" spans="1:13" ht="13.5" thickBot="1" x14ac:dyDescent="0.25">
      <c r="A33" s="78" t="s">
        <v>7</v>
      </c>
      <c r="B33" s="44">
        <v>111220</v>
      </c>
      <c r="C33" s="44">
        <v>120000</v>
      </c>
      <c r="D33" s="44">
        <v>120000</v>
      </c>
      <c r="E33" s="44">
        <v>120000</v>
      </c>
      <c r="F33" s="44">
        <v>120000</v>
      </c>
      <c r="G33" s="44"/>
      <c r="H33" s="44"/>
      <c r="I33" s="44"/>
      <c r="J33" s="44"/>
      <c r="K33" s="44"/>
      <c r="L33" s="44"/>
      <c r="M33" s="44"/>
    </row>
    <row r="34" spans="1:13" ht="13.5" thickBot="1" x14ac:dyDescent="0.25">
      <c r="A34" s="78" t="s">
        <v>111</v>
      </c>
      <c r="B34" s="45">
        <f t="shared" ref="B34:M34" si="5">B32-B33</f>
        <v>0</v>
      </c>
      <c r="C34" s="46">
        <f>C32-C33</f>
        <v>0</v>
      </c>
      <c r="D34" s="46">
        <f t="shared" si="5"/>
        <v>0</v>
      </c>
      <c r="E34" s="46">
        <f t="shared" si="5"/>
        <v>0</v>
      </c>
      <c r="F34" s="46">
        <f t="shared" si="5"/>
        <v>0</v>
      </c>
      <c r="G34" s="46">
        <f t="shared" si="5"/>
        <v>0</v>
      </c>
      <c r="H34" s="46">
        <f t="shared" si="5"/>
        <v>0</v>
      </c>
      <c r="I34" s="46">
        <f t="shared" si="5"/>
        <v>0</v>
      </c>
      <c r="J34" s="46">
        <f t="shared" si="5"/>
        <v>0</v>
      </c>
      <c r="K34" s="46">
        <f t="shared" si="5"/>
        <v>0</v>
      </c>
      <c r="L34" s="46">
        <f t="shared" si="5"/>
        <v>0</v>
      </c>
      <c r="M34" s="46">
        <f t="shared" si="5"/>
        <v>0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6"/>
  <dimension ref="A4:M51"/>
  <sheetViews>
    <sheetView topLeftCell="A28" workbookViewId="0">
      <selection activeCell="E47" sqref="E47:F47"/>
    </sheetView>
  </sheetViews>
  <sheetFormatPr baseColWidth="10" defaultRowHeight="12.75" x14ac:dyDescent="0.2"/>
  <cols>
    <col min="1" max="1" width="31" customWidth="1"/>
  </cols>
  <sheetData>
    <row r="4" spans="1:13" x14ac:dyDescent="0.2">
      <c r="A4" s="50" t="s">
        <v>177</v>
      </c>
    </row>
    <row r="5" spans="1:13" ht="15.75" x14ac:dyDescent="0.25">
      <c r="A5" s="32" t="s">
        <v>0</v>
      </c>
      <c r="B5" s="32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2">
      <c r="A6" s="81"/>
      <c r="B6" s="82">
        <v>45292</v>
      </c>
      <c r="C6" s="82">
        <v>45323</v>
      </c>
      <c r="D6" s="82">
        <v>45352</v>
      </c>
      <c r="E6" s="82">
        <v>45383</v>
      </c>
      <c r="F6" s="82">
        <v>45413</v>
      </c>
      <c r="G6" s="82">
        <v>45444</v>
      </c>
      <c r="H6" s="82">
        <v>45474</v>
      </c>
      <c r="I6" s="82">
        <v>45505</v>
      </c>
      <c r="J6" s="82">
        <v>45536</v>
      </c>
      <c r="K6" s="82">
        <v>45566</v>
      </c>
      <c r="L6" s="82">
        <v>45597</v>
      </c>
      <c r="M6" s="82">
        <v>45627</v>
      </c>
    </row>
    <row r="7" spans="1:13" x14ac:dyDescent="0.2">
      <c r="A7" s="78" t="s">
        <v>110</v>
      </c>
      <c r="B7" s="42">
        <v>145000</v>
      </c>
      <c r="C7" s="42">
        <f t="shared" ref="C7:M7" si="0">B18</f>
        <v>83000</v>
      </c>
      <c r="D7" s="42">
        <f t="shared" si="0"/>
        <v>116000</v>
      </c>
      <c r="E7" s="42">
        <f t="shared" si="0"/>
        <v>149000</v>
      </c>
      <c r="F7" s="42">
        <f t="shared" si="0"/>
        <v>182000</v>
      </c>
      <c r="G7" s="42">
        <f t="shared" si="0"/>
        <v>215000</v>
      </c>
      <c r="H7" s="42">
        <f t="shared" si="0"/>
        <v>250000</v>
      </c>
      <c r="I7" s="42">
        <f t="shared" si="0"/>
        <v>185000</v>
      </c>
      <c r="J7" s="42">
        <f t="shared" si="0"/>
        <v>220000</v>
      </c>
      <c r="K7" s="42">
        <f t="shared" si="0"/>
        <v>155000</v>
      </c>
      <c r="L7" s="42">
        <f t="shared" si="0"/>
        <v>190000</v>
      </c>
      <c r="M7" s="42">
        <f t="shared" si="0"/>
        <v>225000</v>
      </c>
    </row>
    <row r="8" spans="1:13" x14ac:dyDescent="0.2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>
        <v>8000</v>
      </c>
      <c r="C10" s="42">
        <v>8000</v>
      </c>
      <c r="D10" s="42">
        <v>8000</v>
      </c>
      <c r="E10" s="42">
        <v>8000</v>
      </c>
      <c r="F10" s="42">
        <v>8000</v>
      </c>
      <c r="G10" s="42">
        <v>10000</v>
      </c>
      <c r="H10" s="42">
        <v>10000</v>
      </c>
      <c r="I10" s="42">
        <v>10000</v>
      </c>
      <c r="J10" s="42">
        <v>10000</v>
      </c>
      <c r="K10" s="42">
        <v>10000</v>
      </c>
      <c r="L10" s="42">
        <v>10000</v>
      </c>
      <c r="M10" s="42">
        <v>10000</v>
      </c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10000</v>
      </c>
      <c r="C15" s="42">
        <v>25000</v>
      </c>
      <c r="D15" s="42">
        <v>25000</v>
      </c>
      <c r="E15" s="42">
        <v>25000</v>
      </c>
      <c r="F15" s="42">
        <v>25000</v>
      </c>
      <c r="G15" s="42">
        <v>25000</v>
      </c>
      <c r="H15" s="42">
        <v>25000</v>
      </c>
      <c r="I15" s="42">
        <v>25000</v>
      </c>
      <c r="J15" s="42">
        <v>25000</v>
      </c>
      <c r="K15" s="42">
        <v>25000</v>
      </c>
      <c r="L15" s="42">
        <v>25000</v>
      </c>
      <c r="M15" s="42">
        <v>25000</v>
      </c>
    </row>
    <row r="16" spans="1:13" x14ac:dyDescent="0.2">
      <c r="A16" s="78" t="s">
        <v>6</v>
      </c>
      <c r="B16" s="43">
        <f t="shared" ref="B16:M16" si="1">SUM(B7:B15)</f>
        <v>163000</v>
      </c>
      <c r="C16" s="43">
        <f t="shared" si="1"/>
        <v>116000</v>
      </c>
      <c r="D16" s="43">
        <f t="shared" si="1"/>
        <v>149000</v>
      </c>
      <c r="E16" s="43">
        <f t="shared" si="1"/>
        <v>182000</v>
      </c>
      <c r="F16" s="43">
        <f t="shared" si="1"/>
        <v>215000</v>
      </c>
      <c r="G16" s="43">
        <f t="shared" si="1"/>
        <v>250000</v>
      </c>
      <c r="H16" s="43">
        <f t="shared" si="1"/>
        <v>285000</v>
      </c>
      <c r="I16" s="43">
        <f t="shared" si="1"/>
        <v>220000</v>
      </c>
      <c r="J16" s="43">
        <f t="shared" si="1"/>
        <v>255000</v>
      </c>
      <c r="K16" s="43">
        <f t="shared" si="1"/>
        <v>190000</v>
      </c>
      <c r="L16" s="43">
        <f t="shared" si="1"/>
        <v>225000</v>
      </c>
      <c r="M16" s="43">
        <f t="shared" si="1"/>
        <v>260000</v>
      </c>
    </row>
    <row r="17" spans="1:13" ht="13.5" thickBot="1" x14ac:dyDescent="0.25">
      <c r="A17" s="78" t="s">
        <v>7</v>
      </c>
      <c r="B17" s="44">
        <v>80000</v>
      </c>
      <c r="C17" s="44"/>
      <c r="D17" s="44"/>
      <c r="E17" s="44"/>
      <c r="F17" s="44"/>
      <c r="G17" s="44"/>
      <c r="H17" s="44">
        <v>100000</v>
      </c>
      <c r="I17" s="44"/>
      <c r="J17" s="44">
        <v>100000</v>
      </c>
      <c r="K17" s="44"/>
      <c r="L17" s="44"/>
      <c r="M17" s="44"/>
    </row>
    <row r="18" spans="1:13" ht="13.5" thickBot="1" x14ac:dyDescent="0.25">
      <c r="A18" s="78" t="s">
        <v>111</v>
      </c>
      <c r="B18" s="45">
        <f t="shared" ref="B18:M18" si="2">B16-B17</f>
        <v>83000</v>
      </c>
      <c r="C18" s="46">
        <f t="shared" si="2"/>
        <v>116000</v>
      </c>
      <c r="D18" s="46">
        <f t="shared" si="2"/>
        <v>149000</v>
      </c>
      <c r="E18" s="46">
        <f t="shared" si="2"/>
        <v>182000</v>
      </c>
      <c r="F18" s="46">
        <f t="shared" si="2"/>
        <v>215000</v>
      </c>
      <c r="G18" s="46">
        <f t="shared" si="2"/>
        <v>250000</v>
      </c>
      <c r="H18" s="46">
        <f t="shared" si="2"/>
        <v>185000</v>
      </c>
      <c r="I18" s="46">
        <f t="shared" si="2"/>
        <v>220000</v>
      </c>
      <c r="J18" s="46">
        <f t="shared" si="2"/>
        <v>155000</v>
      </c>
      <c r="K18" s="46">
        <f t="shared" si="2"/>
        <v>190000</v>
      </c>
      <c r="L18" s="46">
        <f t="shared" si="2"/>
        <v>225000</v>
      </c>
      <c r="M18" s="47">
        <f t="shared" si="2"/>
        <v>260000</v>
      </c>
    </row>
    <row r="21" spans="1:13" x14ac:dyDescent="0.2">
      <c r="A21" s="50" t="s">
        <v>177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81"/>
      <c r="B23" s="82">
        <v>45658</v>
      </c>
      <c r="C23" s="82">
        <v>45689</v>
      </c>
      <c r="D23" s="82">
        <v>45717</v>
      </c>
      <c r="E23" s="82">
        <v>45748</v>
      </c>
      <c r="F23" s="82">
        <v>45778</v>
      </c>
      <c r="G23" s="82">
        <v>45809</v>
      </c>
      <c r="H23" s="82">
        <v>45839</v>
      </c>
      <c r="I23" s="82">
        <v>45870</v>
      </c>
      <c r="J23" s="82">
        <v>45901</v>
      </c>
      <c r="K23" s="82">
        <v>45931</v>
      </c>
      <c r="L23" s="82">
        <v>45962</v>
      </c>
      <c r="M23" s="82">
        <v>45992</v>
      </c>
    </row>
    <row r="24" spans="1:13" x14ac:dyDescent="0.2">
      <c r="A24" s="78" t="s">
        <v>110</v>
      </c>
      <c r="B24" s="42">
        <v>260000</v>
      </c>
      <c r="C24" s="42">
        <f>B35</f>
        <v>212300</v>
      </c>
      <c r="D24" s="42">
        <f t="shared" ref="D24:M24" si="3">C35</f>
        <v>144600</v>
      </c>
      <c r="E24" s="42">
        <f t="shared" si="3"/>
        <v>196900</v>
      </c>
      <c r="F24" s="42">
        <f t="shared" si="3"/>
        <v>249200</v>
      </c>
      <c r="G24" s="42">
        <f t="shared" si="3"/>
        <v>201500</v>
      </c>
      <c r="H24" s="42">
        <f t="shared" si="3"/>
        <v>257000</v>
      </c>
      <c r="I24" s="42">
        <f t="shared" si="3"/>
        <v>312500</v>
      </c>
      <c r="J24" s="42">
        <f t="shared" si="3"/>
        <v>368000</v>
      </c>
      <c r="K24" s="42">
        <f t="shared" si="3"/>
        <v>423500</v>
      </c>
      <c r="L24" s="42">
        <f t="shared" si="3"/>
        <v>479000</v>
      </c>
      <c r="M24" s="42">
        <f t="shared" si="3"/>
        <v>534500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>
        <v>22300</v>
      </c>
      <c r="C27" s="42">
        <v>22300</v>
      </c>
      <c r="D27" s="42">
        <v>22300</v>
      </c>
      <c r="E27" s="42">
        <v>22300</v>
      </c>
      <c r="F27" s="42">
        <v>22300</v>
      </c>
      <c r="G27" s="42">
        <v>25500</v>
      </c>
      <c r="H27" s="42">
        <v>25500</v>
      </c>
      <c r="I27" s="42">
        <v>25500</v>
      </c>
      <c r="J27" s="42">
        <v>25500</v>
      </c>
      <c r="K27" s="42">
        <v>25500</v>
      </c>
      <c r="L27" s="42">
        <v>25500</v>
      </c>
      <c r="M27" s="42">
        <v>28000</v>
      </c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>
        <v>30000</v>
      </c>
      <c r="C32" s="42">
        <v>30000</v>
      </c>
      <c r="D32" s="42">
        <v>30000</v>
      </c>
      <c r="E32" s="42">
        <v>30000</v>
      </c>
      <c r="F32" s="42">
        <v>30000</v>
      </c>
      <c r="G32" s="42">
        <v>30000</v>
      </c>
      <c r="H32" s="42">
        <v>30000</v>
      </c>
      <c r="I32" s="42">
        <v>30000</v>
      </c>
      <c r="J32" s="42">
        <v>30000</v>
      </c>
      <c r="K32" s="42">
        <v>30000</v>
      </c>
      <c r="L32" s="42">
        <v>30000</v>
      </c>
      <c r="M32" s="42">
        <v>30000</v>
      </c>
    </row>
    <row r="33" spans="1:13" x14ac:dyDescent="0.2">
      <c r="A33" s="78" t="s">
        <v>6</v>
      </c>
      <c r="B33" s="43">
        <f t="shared" ref="B33:M33" si="4">SUM(B24:B32)</f>
        <v>312300</v>
      </c>
      <c r="C33" s="43">
        <f t="shared" si="4"/>
        <v>264600</v>
      </c>
      <c r="D33" s="43">
        <f t="shared" si="4"/>
        <v>196900</v>
      </c>
      <c r="E33" s="43">
        <f t="shared" si="4"/>
        <v>249200</v>
      </c>
      <c r="F33" s="43">
        <f t="shared" si="4"/>
        <v>301500</v>
      </c>
      <c r="G33" s="43">
        <f t="shared" si="4"/>
        <v>257000</v>
      </c>
      <c r="H33" s="43">
        <f t="shared" si="4"/>
        <v>312500</v>
      </c>
      <c r="I33" s="43">
        <f t="shared" si="4"/>
        <v>368000</v>
      </c>
      <c r="J33" s="43">
        <f t="shared" si="4"/>
        <v>423500</v>
      </c>
      <c r="K33" s="43">
        <f t="shared" si="4"/>
        <v>479000</v>
      </c>
      <c r="L33" s="43">
        <f t="shared" si="4"/>
        <v>534500</v>
      </c>
      <c r="M33" s="43">
        <f t="shared" si="4"/>
        <v>592500</v>
      </c>
    </row>
    <row r="34" spans="1:13" ht="13.5" thickBot="1" x14ac:dyDescent="0.25">
      <c r="A34" s="78" t="s">
        <v>7</v>
      </c>
      <c r="B34" s="44">
        <v>100000</v>
      </c>
      <c r="C34" s="44">
        <v>120000</v>
      </c>
      <c r="D34" s="44"/>
      <c r="E34" s="44"/>
      <c r="F34" s="44">
        <v>100000</v>
      </c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212300</v>
      </c>
      <c r="C35" s="46">
        <f t="shared" si="5"/>
        <v>144600</v>
      </c>
      <c r="D35" s="46">
        <f t="shared" si="5"/>
        <v>196900</v>
      </c>
      <c r="E35" s="46">
        <f t="shared" si="5"/>
        <v>249200</v>
      </c>
      <c r="F35" s="46">
        <f t="shared" si="5"/>
        <v>201500</v>
      </c>
      <c r="G35" s="46">
        <f t="shared" si="5"/>
        <v>257000</v>
      </c>
      <c r="H35" s="46">
        <f t="shared" si="5"/>
        <v>312500</v>
      </c>
      <c r="I35" s="46">
        <f t="shared" si="5"/>
        <v>368000</v>
      </c>
      <c r="J35" s="46">
        <f t="shared" si="5"/>
        <v>423500</v>
      </c>
      <c r="K35" s="46">
        <f t="shared" si="5"/>
        <v>479000</v>
      </c>
      <c r="L35" s="46">
        <f t="shared" si="5"/>
        <v>534500</v>
      </c>
      <c r="M35" s="47">
        <f t="shared" si="5"/>
        <v>592500</v>
      </c>
    </row>
    <row r="36" spans="1:13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</row>
    <row r="37" spans="1:13" x14ac:dyDescent="0.2">
      <c r="A37" s="80" t="s">
        <v>0</v>
      </c>
      <c r="B37" s="80" t="s">
        <v>1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</row>
    <row r="38" spans="1:13" x14ac:dyDescent="0.2">
      <c r="A38" s="81"/>
      <c r="B38" s="82">
        <v>46023</v>
      </c>
      <c r="C38" s="82">
        <v>46054</v>
      </c>
      <c r="D38" s="82">
        <v>46082</v>
      </c>
      <c r="E38" s="82">
        <v>46113</v>
      </c>
      <c r="F38" s="82">
        <v>46143</v>
      </c>
      <c r="G38" s="82">
        <v>46174</v>
      </c>
      <c r="H38" s="82">
        <v>46204</v>
      </c>
      <c r="I38" s="82">
        <v>46235</v>
      </c>
      <c r="J38" s="82">
        <v>46266</v>
      </c>
      <c r="K38" s="82">
        <v>46296</v>
      </c>
      <c r="L38" s="82">
        <v>46327</v>
      </c>
      <c r="M38" s="82">
        <v>46357</v>
      </c>
    </row>
    <row r="39" spans="1:13" x14ac:dyDescent="0.2">
      <c r="A39" s="78" t="s">
        <v>110</v>
      </c>
      <c r="B39" s="42">
        <v>595000</v>
      </c>
      <c r="C39" s="42">
        <f t="shared" ref="C39:M39" si="6">B50</f>
        <v>655000</v>
      </c>
      <c r="D39" s="42">
        <f t="shared" si="6"/>
        <v>715000</v>
      </c>
      <c r="E39" s="42">
        <f t="shared" si="6"/>
        <v>775000</v>
      </c>
      <c r="F39" s="42">
        <f t="shared" si="6"/>
        <v>835000</v>
      </c>
      <c r="G39" s="42">
        <f t="shared" si="6"/>
        <v>895000</v>
      </c>
      <c r="H39" s="42">
        <f t="shared" si="6"/>
        <v>895000</v>
      </c>
      <c r="I39" s="42">
        <f t="shared" si="6"/>
        <v>895000</v>
      </c>
      <c r="J39" s="42">
        <f t="shared" si="6"/>
        <v>895000</v>
      </c>
      <c r="K39" s="42">
        <f t="shared" si="6"/>
        <v>895000</v>
      </c>
      <c r="L39" s="42">
        <f t="shared" si="6"/>
        <v>895000</v>
      </c>
      <c r="M39" s="42">
        <f t="shared" si="6"/>
        <v>895000</v>
      </c>
    </row>
    <row r="40" spans="1:13" x14ac:dyDescent="0.2">
      <c r="A40" s="78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2">
      <c r="A41" s="78" t="s">
        <v>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2">
      <c r="A42" s="78" t="s">
        <v>4</v>
      </c>
      <c r="B42" s="42">
        <v>30000</v>
      </c>
      <c r="C42" s="42">
        <v>30000</v>
      </c>
      <c r="D42" s="42">
        <v>30000</v>
      </c>
      <c r="E42" s="42">
        <v>30000</v>
      </c>
      <c r="F42" s="42">
        <v>30000</v>
      </c>
      <c r="G42" s="42"/>
      <c r="H42" s="42"/>
      <c r="I42" s="42"/>
      <c r="J42" s="42"/>
      <c r="K42" s="42"/>
      <c r="L42" s="42"/>
      <c r="M42" s="42"/>
    </row>
    <row r="43" spans="1:13" x14ac:dyDescent="0.2">
      <c r="A43" s="78" t="s">
        <v>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73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74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75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5</v>
      </c>
      <c r="B47" s="42">
        <v>30000</v>
      </c>
      <c r="C47" s="42">
        <v>30000</v>
      </c>
      <c r="D47" s="42">
        <v>30000</v>
      </c>
      <c r="E47" s="42">
        <v>30000</v>
      </c>
      <c r="F47" s="42">
        <v>30000</v>
      </c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6</v>
      </c>
      <c r="B48" s="43">
        <f t="shared" ref="B48:M48" si="7">SUM(B39:B47)</f>
        <v>655000</v>
      </c>
      <c r="C48" s="43">
        <f t="shared" si="7"/>
        <v>715000</v>
      </c>
      <c r="D48" s="43">
        <f t="shared" si="7"/>
        <v>775000</v>
      </c>
      <c r="E48" s="43">
        <f t="shared" si="7"/>
        <v>835000</v>
      </c>
      <c r="F48" s="43">
        <f t="shared" si="7"/>
        <v>895000</v>
      </c>
      <c r="G48" s="43">
        <f t="shared" si="7"/>
        <v>895000</v>
      </c>
      <c r="H48" s="43">
        <f t="shared" si="7"/>
        <v>895000</v>
      </c>
      <c r="I48" s="43">
        <f t="shared" si="7"/>
        <v>895000</v>
      </c>
      <c r="J48" s="43">
        <f t="shared" si="7"/>
        <v>895000</v>
      </c>
      <c r="K48" s="43">
        <f t="shared" si="7"/>
        <v>895000</v>
      </c>
      <c r="L48" s="43">
        <f t="shared" si="7"/>
        <v>895000</v>
      </c>
      <c r="M48" s="43">
        <f t="shared" si="7"/>
        <v>895000</v>
      </c>
    </row>
    <row r="49" spans="1:13" ht="13.5" thickBot="1" x14ac:dyDescent="0.25">
      <c r="A49" s="78" t="s">
        <v>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3" ht="13.5" thickBot="1" x14ac:dyDescent="0.25">
      <c r="A50" s="78" t="s">
        <v>111</v>
      </c>
      <c r="B50" s="45">
        <f t="shared" ref="B50:M50" si="8">B48-B49</f>
        <v>655000</v>
      </c>
      <c r="C50" s="46">
        <f t="shared" si="8"/>
        <v>715000</v>
      </c>
      <c r="D50" s="46">
        <f t="shared" si="8"/>
        <v>775000</v>
      </c>
      <c r="E50" s="46">
        <f t="shared" si="8"/>
        <v>835000</v>
      </c>
      <c r="F50" s="46">
        <f t="shared" si="8"/>
        <v>895000</v>
      </c>
      <c r="G50" s="46">
        <f t="shared" si="8"/>
        <v>895000</v>
      </c>
      <c r="H50" s="46">
        <f t="shared" si="8"/>
        <v>895000</v>
      </c>
      <c r="I50" s="46">
        <f t="shared" si="8"/>
        <v>895000</v>
      </c>
      <c r="J50" s="46">
        <f t="shared" si="8"/>
        <v>895000</v>
      </c>
      <c r="K50" s="46">
        <f t="shared" si="8"/>
        <v>895000</v>
      </c>
      <c r="L50" s="46">
        <f t="shared" si="8"/>
        <v>895000</v>
      </c>
      <c r="M50" s="46">
        <f t="shared" si="8"/>
        <v>895000</v>
      </c>
    </row>
    <row r="51" spans="1:13" x14ac:dyDescent="0.2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3"/>
  <dimension ref="A2:M31"/>
  <sheetViews>
    <sheetView topLeftCell="A13" workbookViewId="0">
      <selection activeCell="F23" sqref="F23"/>
    </sheetView>
  </sheetViews>
  <sheetFormatPr baseColWidth="10" defaultRowHeight="12.75" x14ac:dyDescent="0.2"/>
  <cols>
    <col min="1" max="1" width="31.28515625" customWidth="1"/>
  </cols>
  <sheetData>
    <row r="2" spans="1:13" ht="15.75" x14ac:dyDescent="0.25">
      <c r="A2" s="32" t="s">
        <v>0</v>
      </c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5.75" x14ac:dyDescent="0.25">
      <c r="A3" s="33"/>
      <c r="B3" s="34">
        <v>45658</v>
      </c>
      <c r="C3" s="34">
        <v>45689</v>
      </c>
      <c r="D3" s="34">
        <v>45717</v>
      </c>
      <c r="E3" s="34">
        <v>45748</v>
      </c>
      <c r="F3" s="34">
        <v>45778</v>
      </c>
      <c r="G3" s="34">
        <v>45809</v>
      </c>
      <c r="H3" s="34">
        <v>45839</v>
      </c>
      <c r="I3" s="34">
        <v>45870</v>
      </c>
      <c r="J3" s="34">
        <v>45901</v>
      </c>
      <c r="K3" s="34">
        <v>45931</v>
      </c>
      <c r="L3" s="34">
        <v>45962</v>
      </c>
      <c r="M3" s="34">
        <v>45992</v>
      </c>
    </row>
    <row r="4" spans="1:13" ht="15" x14ac:dyDescent="0.2">
      <c r="A4" s="8" t="s">
        <v>110</v>
      </c>
      <c r="B4" s="42"/>
      <c r="C4" s="42">
        <f t="shared" ref="C4:K4" si="0">B15</f>
        <v>0</v>
      </c>
      <c r="D4" s="42">
        <f t="shared" si="0"/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>K15</f>
        <v>90600</v>
      </c>
      <c r="M4" s="42">
        <f>L15</f>
        <v>0</v>
      </c>
    </row>
    <row r="5" spans="1:13" ht="15" x14ac:dyDescent="0.2">
      <c r="A5" s="8" t="s">
        <v>2</v>
      </c>
      <c r="B5" s="42"/>
      <c r="C5" s="42"/>
      <c r="D5" s="42"/>
      <c r="E5" s="42"/>
      <c r="F5" s="42"/>
      <c r="G5" s="42"/>
      <c r="H5" s="42"/>
      <c r="I5" s="42"/>
      <c r="J5" s="42">
        <v>25100</v>
      </c>
      <c r="K5" s="42">
        <v>25100</v>
      </c>
      <c r="L5" s="42">
        <v>25100</v>
      </c>
      <c r="M5" s="42">
        <v>25100</v>
      </c>
    </row>
    <row r="6" spans="1:13" ht="15" x14ac:dyDescent="0.2">
      <c r="A6" s="8" t="s">
        <v>4</v>
      </c>
      <c r="B6" s="42"/>
      <c r="C6" s="42"/>
      <c r="D6" s="42"/>
      <c r="E6" s="42"/>
      <c r="F6" s="42"/>
      <c r="G6" s="42"/>
      <c r="H6" s="42"/>
      <c r="I6" s="42"/>
      <c r="J6" s="42">
        <v>25500</v>
      </c>
      <c r="K6" s="42">
        <v>25500</v>
      </c>
      <c r="L6" s="42">
        <v>25500</v>
      </c>
      <c r="M6" s="42">
        <v>25500</v>
      </c>
    </row>
    <row r="7" spans="1:13" ht="15" x14ac:dyDescent="0.2">
      <c r="A7" s="8" t="s">
        <v>260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751</v>
      </c>
      <c r="B11" s="42"/>
      <c r="C11" s="42"/>
      <c r="D11" s="42"/>
      <c r="E11" s="42"/>
      <c r="F11" s="42"/>
      <c r="G11" s="42"/>
      <c r="H11" s="42"/>
      <c r="I11" s="42"/>
      <c r="J11" s="42"/>
      <c r="K11" s="126"/>
      <c r="L11" s="42"/>
      <c r="M11" s="42"/>
    </row>
    <row r="12" spans="1:13" ht="15" x14ac:dyDescent="0.2">
      <c r="A12" s="8" t="s">
        <v>5</v>
      </c>
      <c r="B12" s="42"/>
      <c r="C12" s="42"/>
      <c r="D12" s="42"/>
      <c r="E12" s="42"/>
      <c r="F12" s="42"/>
      <c r="G12" s="42"/>
      <c r="H12" s="42"/>
      <c r="I12" s="42"/>
      <c r="J12" s="42">
        <v>40000</v>
      </c>
      <c r="K12" s="42">
        <v>40000</v>
      </c>
      <c r="L12" s="42">
        <v>40000</v>
      </c>
      <c r="M12" s="42">
        <v>40000</v>
      </c>
    </row>
    <row r="13" spans="1:13" ht="15" x14ac:dyDescent="0.2">
      <c r="A13" s="8" t="s">
        <v>6</v>
      </c>
      <c r="B13" s="43">
        <f t="shared" ref="B13:M13" si="1">SUM(B4:B12)</f>
        <v>0</v>
      </c>
      <c r="C13" s="43">
        <f t="shared" si="1"/>
        <v>0</v>
      </c>
      <c r="D13" s="43">
        <f t="shared" si="1"/>
        <v>0</v>
      </c>
      <c r="E13" s="43">
        <f t="shared" si="1"/>
        <v>0</v>
      </c>
      <c r="F13" s="43">
        <f t="shared" si="1"/>
        <v>0</v>
      </c>
      <c r="G13" s="43">
        <f t="shared" si="1"/>
        <v>0</v>
      </c>
      <c r="H13" s="43">
        <f t="shared" si="1"/>
        <v>0</v>
      </c>
      <c r="I13" s="43">
        <f t="shared" si="1"/>
        <v>0</v>
      </c>
      <c r="J13" s="43">
        <f t="shared" si="1"/>
        <v>90600</v>
      </c>
      <c r="K13" s="43">
        <f t="shared" si="1"/>
        <v>90600</v>
      </c>
      <c r="L13" s="43">
        <f t="shared" si="1"/>
        <v>181200</v>
      </c>
      <c r="M13" s="43">
        <f t="shared" si="1"/>
        <v>90600</v>
      </c>
    </row>
    <row r="14" spans="1:13" ht="15.75" thickBot="1" x14ac:dyDescent="0.25">
      <c r="A14" s="8" t="s">
        <v>7</v>
      </c>
      <c r="B14" s="44"/>
      <c r="C14" s="44"/>
      <c r="D14" s="44"/>
      <c r="E14" s="44"/>
      <c r="F14" s="44"/>
      <c r="G14" s="44"/>
      <c r="H14" s="44"/>
      <c r="I14" s="44"/>
      <c r="J14" s="44">
        <v>90600</v>
      </c>
      <c r="K14" s="44"/>
      <c r="L14" s="44">
        <v>181200</v>
      </c>
      <c r="M14" s="44"/>
    </row>
    <row r="15" spans="1:13" ht="15.75" thickBot="1" x14ac:dyDescent="0.25">
      <c r="A15" s="8" t="s">
        <v>111</v>
      </c>
      <c r="B15" s="45">
        <f t="shared" ref="B15:M15" si="2">B13-B14</f>
        <v>0</v>
      </c>
      <c r="C15" s="46">
        <f t="shared" si="2"/>
        <v>0</v>
      </c>
      <c r="D15" s="46">
        <f t="shared" si="2"/>
        <v>0</v>
      </c>
      <c r="E15" s="46">
        <f t="shared" si="2"/>
        <v>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90600</v>
      </c>
      <c r="L15" s="46">
        <f t="shared" si="2"/>
        <v>0</v>
      </c>
      <c r="M15" s="47">
        <f t="shared" si="2"/>
        <v>90600</v>
      </c>
    </row>
    <row r="18" spans="1:13" ht="15.75" x14ac:dyDescent="0.25">
      <c r="A18" s="32" t="s">
        <v>0</v>
      </c>
      <c r="B18" s="32" t="s">
        <v>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ht="15.75" x14ac:dyDescent="0.25">
      <c r="A19" s="33"/>
      <c r="B19" s="34">
        <v>46023</v>
      </c>
      <c r="C19" s="34">
        <v>46054</v>
      </c>
      <c r="D19" s="34">
        <v>46082</v>
      </c>
      <c r="E19" s="34">
        <v>46113</v>
      </c>
      <c r="F19" s="34">
        <v>46143</v>
      </c>
      <c r="G19" s="34">
        <v>46174</v>
      </c>
      <c r="H19" s="34">
        <v>46204</v>
      </c>
      <c r="I19" s="34">
        <v>46235</v>
      </c>
      <c r="J19" s="34">
        <v>46266</v>
      </c>
      <c r="K19" s="34">
        <v>46296</v>
      </c>
      <c r="L19" s="34">
        <v>46327</v>
      </c>
      <c r="M19" s="34">
        <v>46357</v>
      </c>
    </row>
    <row r="20" spans="1:13" ht="15" x14ac:dyDescent="0.2">
      <c r="A20" s="8" t="s">
        <v>110</v>
      </c>
      <c r="B20" s="42">
        <v>90600</v>
      </c>
      <c r="C20" s="42">
        <f t="shared" ref="C20:M20" si="3">B31</f>
        <v>0</v>
      </c>
      <c r="D20" s="42">
        <f t="shared" si="3"/>
        <v>99700</v>
      </c>
      <c r="E20" s="42">
        <f t="shared" si="3"/>
        <v>0</v>
      </c>
      <c r="F20" s="42">
        <f t="shared" si="3"/>
        <v>99700</v>
      </c>
      <c r="G20" s="42">
        <f t="shared" si="3"/>
        <v>169700</v>
      </c>
      <c r="H20" s="42">
        <f t="shared" si="3"/>
        <v>169700</v>
      </c>
      <c r="I20" s="42">
        <f t="shared" si="3"/>
        <v>169700</v>
      </c>
      <c r="J20" s="42">
        <f t="shared" si="3"/>
        <v>169700</v>
      </c>
      <c r="K20" s="42">
        <f t="shared" si="3"/>
        <v>169700</v>
      </c>
      <c r="L20" s="42">
        <f t="shared" si="3"/>
        <v>169700</v>
      </c>
      <c r="M20" s="42">
        <f t="shared" si="3"/>
        <v>169700</v>
      </c>
    </row>
    <row r="21" spans="1:13" ht="15" x14ac:dyDescent="0.2">
      <c r="A21" s="8" t="s">
        <v>2</v>
      </c>
      <c r="B21" s="42">
        <v>29700</v>
      </c>
      <c r="C21" s="42">
        <v>29700</v>
      </c>
      <c r="D21" s="42">
        <v>29700</v>
      </c>
      <c r="E21" s="42">
        <v>29700</v>
      </c>
      <c r="F21" s="42"/>
      <c r="G21" s="42"/>
      <c r="H21" s="42"/>
      <c r="I21" s="42"/>
      <c r="J21" s="42"/>
      <c r="K21" s="42"/>
      <c r="L21" s="42"/>
      <c r="M21" s="42"/>
    </row>
    <row r="22" spans="1:13" ht="15" x14ac:dyDescent="0.2">
      <c r="A22" s="8" t="s">
        <v>4</v>
      </c>
      <c r="B22" s="42">
        <v>30000</v>
      </c>
      <c r="C22" s="42">
        <v>30000</v>
      </c>
      <c r="D22" s="42">
        <v>30000</v>
      </c>
      <c r="E22" s="42">
        <v>30000</v>
      </c>
      <c r="F22" s="42">
        <v>30000</v>
      </c>
      <c r="G22" s="42"/>
      <c r="H22" s="42"/>
      <c r="I22" s="42"/>
      <c r="J22" s="42"/>
      <c r="K22" s="42"/>
      <c r="L22" s="42"/>
      <c r="M22" s="42"/>
    </row>
    <row r="23" spans="1:13" ht="15" x14ac:dyDescent="0.2">
      <c r="A23" s="8" t="s">
        <v>260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751</v>
      </c>
      <c r="B27" s="42"/>
      <c r="C27" s="42"/>
      <c r="D27" s="42"/>
      <c r="E27" s="42"/>
      <c r="F27" s="42"/>
      <c r="G27" s="42"/>
      <c r="H27" s="42"/>
      <c r="I27" s="42"/>
      <c r="J27" s="42"/>
      <c r="K27" s="126"/>
      <c r="L27" s="42"/>
      <c r="M27" s="42"/>
    </row>
    <row r="28" spans="1:13" ht="15" x14ac:dyDescent="0.2">
      <c r="A28" s="8" t="s">
        <v>5</v>
      </c>
      <c r="B28" s="42">
        <v>40000</v>
      </c>
      <c r="C28" s="42">
        <v>40000</v>
      </c>
      <c r="D28" s="42">
        <v>40000</v>
      </c>
      <c r="E28" s="42">
        <v>40000</v>
      </c>
      <c r="F28" s="42">
        <v>40000</v>
      </c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6</v>
      </c>
      <c r="B29" s="43">
        <f t="shared" ref="B29:M29" si="4">SUM(B20:B28)</f>
        <v>190300</v>
      </c>
      <c r="C29" s="43">
        <f t="shared" si="4"/>
        <v>99700</v>
      </c>
      <c r="D29" s="43">
        <f>SUM(D20:D28)</f>
        <v>199400</v>
      </c>
      <c r="E29" s="43">
        <f t="shared" si="4"/>
        <v>99700</v>
      </c>
      <c r="F29" s="43">
        <f t="shared" si="4"/>
        <v>169700</v>
      </c>
      <c r="G29" s="43">
        <f t="shared" si="4"/>
        <v>169700</v>
      </c>
      <c r="H29" s="43">
        <f t="shared" si="4"/>
        <v>169700</v>
      </c>
      <c r="I29" s="43">
        <f t="shared" si="4"/>
        <v>169700</v>
      </c>
      <c r="J29" s="43">
        <f t="shared" si="4"/>
        <v>169700</v>
      </c>
      <c r="K29" s="43">
        <f t="shared" si="4"/>
        <v>169700</v>
      </c>
      <c r="L29" s="43">
        <f t="shared" si="4"/>
        <v>169700</v>
      </c>
      <c r="M29" s="43">
        <f t="shared" si="4"/>
        <v>169700</v>
      </c>
    </row>
    <row r="30" spans="1:13" ht="15.75" thickBot="1" x14ac:dyDescent="0.25">
      <c r="A30" s="8" t="s">
        <v>7</v>
      </c>
      <c r="B30" s="44">
        <v>190300</v>
      </c>
      <c r="C30" s="44"/>
      <c r="D30" s="44">
        <v>199400</v>
      </c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15.75" thickBot="1" x14ac:dyDescent="0.25">
      <c r="A31" s="8" t="s">
        <v>111</v>
      </c>
      <c r="B31" s="45">
        <f t="shared" ref="B31:M31" si="5">B29-B30</f>
        <v>0</v>
      </c>
      <c r="C31" s="46">
        <f t="shared" si="5"/>
        <v>99700</v>
      </c>
      <c r="D31" s="46">
        <f t="shared" si="5"/>
        <v>0</v>
      </c>
      <c r="E31" s="46">
        <f t="shared" si="5"/>
        <v>99700</v>
      </c>
      <c r="F31" s="46">
        <f t="shared" si="5"/>
        <v>169700</v>
      </c>
      <c r="G31" s="46">
        <f t="shared" si="5"/>
        <v>169700</v>
      </c>
      <c r="H31" s="46">
        <f t="shared" si="5"/>
        <v>169700</v>
      </c>
      <c r="I31" s="46">
        <f t="shared" si="5"/>
        <v>169700</v>
      </c>
      <c r="J31" s="46">
        <f t="shared" si="5"/>
        <v>169700</v>
      </c>
      <c r="K31" s="46">
        <f t="shared" si="5"/>
        <v>169700</v>
      </c>
      <c r="L31" s="46">
        <f t="shared" si="5"/>
        <v>169700</v>
      </c>
      <c r="M31" s="47">
        <f t="shared" si="5"/>
        <v>169700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7"/>
  <dimension ref="A2:M33"/>
  <sheetViews>
    <sheetView topLeftCell="A13" workbookViewId="0">
      <selection activeCell="F34" sqref="F34"/>
    </sheetView>
  </sheetViews>
  <sheetFormatPr baseColWidth="10" defaultRowHeight="12.75" x14ac:dyDescent="0.2"/>
  <cols>
    <col min="1" max="1" width="32.28515625" customWidth="1"/>
    <col min="3" max="4" width="12.7109375" customWidth="1"/>
    <col min="5" max="5" width="14.5703125" customWidth="1"/>
    <col min="6" max="6" width="13" customWidth="1"/>
    <col min="7" max="8" width="12.5703125" customWidth="1"/>
    <col min="9" max="9" width="12.85546875" customWidth="1"/>
    <col min="10" max="10" width="14" customWidth="1"/>
    <col min="11" max="11" width="13.28515625" customWidth="1"/>
    <col min="12" max="12" width="13.140625" customWidth="1"/>
    <col min="13" max="13" width="14.5703125" customWidth="1"/>
  </cols>
  <sheetData>
    <row r="2" spans="1:13" x14ac:dyDescent="0.2">
      <c r="A2" s="50" t="s">
        <v>170</v>
      </c>
    </row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ht="15.75" x14ac:dyDescent="0.25">
      <c r="A4" s="33"/>
      <c r="B4" s="34">
        <v>45658</v>
      </c>
      <c r="C4" s="34">
        <v>45689</v>
      </c>
      <c r="D4" s="34">
        <v>45717</v>
      </c>
      <c r="E4" s="34">
        <v>45748</v>
      </c>
      <c r="F4" s="34">
        <v>45778</v>
      </c>
      <c r="G4" s="34">
        <v>45809</v>
      </c>
      <c r="H4" s="34">
        <v>45839</v>
      </c>
      <c r="I4" s="34">
        <v>45870</v>
      </c>
      <c r="J4" s="34">
        <v>45901</v>
      </c>
      <c r="K4" s="34">
        <v>45931</v>
      </c>
      <c r="L4" s="34">
        <v>45962</v>
      </c>
      <c r="M4" s="34">
        <v>45992</v>
      </c>
    </row>
    <row r="5" spans="1:13" ht="15" x14ac:dyDescent="0.2">
      <c r="A5" s="8" t="s">
        <v>110</v>
      </c>
      <c r="B5" s="42"/>
      <c r="C5" s="42">
        <f t="shared" ref="C5:K5" si="0">B16</f>
        <v>0</v>
      </c>
      <c r="D5" s="42">
        <f t="shared" si="0"/>
        <v>20</v>
      </c>
      <c r="E5" s="42">
        <f t="shared" si="0"/>
        <v>20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42">
        <f t="shared" si="0"/>
        <v>0</v>
      </c>
      <c r="J5" s="42">
        <f t="shared" si="0"/>
        <v>0</v>
      </c>
      <c r="K5" s="42">
        <f t="shared" si="0"/>
        <v>0</v>
      </c>
      <c r="L5" s="42">
        <f>K16</f>
        <v>0</v>
      </c>
      <c r="M5" s="42">
        <f>L16</f>
        <v>485280</v>
      </c>
    </row>
    <row r="6" spans="1:13" ht="15" x14ac:dyDescent="0.2">
      <c r="A6" s="8" t="s">
        <v>209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" x14ac:dyDescent="0.2">
      <c r="A7" s="8" t="s">
        <v>439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260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74</v>
      </c>
      <c r="B11" s="42">
        <v>96430</v>
      </c>
      <c r="C11" s="42">
        <v>96520</v>
      </c>
      <c r="D11" s="42">
        <f>80000+50000</f>
        <v>130000</v>
      </c>
      <c r="E11" s="42">
        <v>135200</v>
      </c>
      <c r="F11" s="42">
        <v>136400</v>
      </c>
      <c r="G11" s="42">
        <v>160780</v>
      </c>
      <c r="H11" s="42">
        <v>150320</v>
      </c>
      <c r="I11" s="42">
        <f>44715+85000+33120</f>
        <v>162835</v>
      </c>
      <c r="J11" s="42">
        <f>33300+46615+85000</f>
        <v>164915</v>
      </c>
      <c r="K11" s="42">
        <f>33200+48400+90000</f>
        <v>171600</v>
      </c>
      <c r="L11" s="42">
        <f>51780+33500+100000</f>
        <v>185280</v>
      </c>
      <c r="M11" s="42">
        <f>51800+33500+150000</f>
        <v>235300</v>
      </c>
    </row>
    <row r="12" spans="1:13" ht="15" x14ac:dyDescent="0.2">
      <c r="A12" s="8" t="s">
        <v>650</v>
      </c>
      <c r="B12" s="42">
        <v>90000</v>
      </c>
      <c r="C12" s="42">
        <v>90000</v>
      </c>
      <c r="D12" s="42">
        <v>95000</v>
      </c>
      <c r="E12" s="42">
        <v>100000</v>
      </c>
      <c r="F12" s="42">
        <v>110000</v>
      </c>
      <c r="G12" s="42">
        <v>110000</v>
      </c>
      <c r="H12" s="42">
        <v>120000</v>
      </c>
      <c r="I12" s="42">
        <v>120000</v>
      </c>
      <c r="J12" s="42">
        <v>130000</v>
      </c>
      <c r="K12" s="126">
        <v>150000</v>
      </c>
      <c r="L12" s="42">
        <v>150000</v>
      </c>
      <c r="M12" s="42">
        <v>180000</v>
      </c>
    </row>
    <row r="13" spans="1:13" ht="15" x14ac:dyDescent="0.2">
      <c r="A13" s="8" t="s">
        <v>438</v>
      </c>
      <c r="B13" s="42">
        <v>90000</v>
      </c>
      <c r="C13" s="42">
        <v>90000</v>
      </c>
      <c r="D13" s="42">
        <v>95000</v>
      </c>
      <c r="E13" s="42">
        <v>100000</v>
      </c>
      <c r="F13" s="42">
        <v>110000</v>
      </c>
      <c r="G13" s="42">
        <v>110000</v>
      </c>
      <c r="H13" s="42">
        <v>120000</v>
      </c>
      <c r="I13" s="42">
        <v>120000</v>
      </c>
      <c r="J13" s="42">
        <v>130000</v>
      </c>
      <c r="K13" s="42">
        <v>150000</v>
      </c>
      <c r="L13" s="42">
        <v>150000</v>
      </c>
      <c r="M13" s="42">
        <v>180000</v>
      </c>
    </row>
    <row r="14" spans="1:13" ht="15" x14ac:dyDescent="0.2">
      <c r="A14" s="8" t="s">
        <v>6</v>
      </c>
      <c r="B14" s="43">
        <f t="shared" ref="B14:M14" si="1">SUM(B5:B13)</f>
        <v>276430</v>
      </c>
      <c r="C14" s="43">
        <f t="shared" si="1"/>
        <v>276520</v>
      </c>
      <c r="D14" s="43">
        <f t="shared" si="1"/>
        <v>320020</v>
      </c>
      <c r="E14" s="43">
        <f t="shared" si="1"/>
        <v>335220</v>
      </c>
      <c r="F14" s="43">
        <f t="shared" si="1"/>
        <v>356400</v>
      </c>
      <c r="G14" s="43">
        <f t="shared" si="1"/>
        <v>380780</v>
      </c>
      <c r="H14" s="43">
        <f t="shared" si="1"/>
        <v>390320</v>
      </c>
      <c r="I14" s="43">
        <f t="shared" si="1"/>
        <v>402835</v>
      </c>
      <c r="J14" s="43">
        <f t="shared" si="1"/>
        <v>424915</v>
      </c>
      <c r="K14" s="43">
        <f t="shared" si="1"/>
        <v>471600</v>
      </c>
      <c r="L14" s="43">
        <f t="shared" si="1"/>
        <v>485280</v>
      </c>
      <c r="M14" s="43">
        <f t="shared" si="1"/>
        <v>1080580</v>
      </c>
    </row>
    <row r="15" spans="1:13" ht="15.75" thickBot="1" x14ac:dyDescent="0.25">
      <c r="A15" s="8" t="s">
        <v>7</v>
      </c>
      <c r="B15" s="44">
        <v>276430</v>
      </c>
      <c r="C15" s="44">
        <v>276500</v>
      </c>
      <c r="D15" s="44">
        <v>320000</v>
      </c>
      <c r="E15" s="44">
        <v>335220</v>
      </c>
      <c r="F15" s="44">
        <v>356400</v>
      </c>
      <c r="G15" s="44">
        <v>380780</v>
      </c>
      <c r="H15" s="44">
        <f>200000+190320</f>
        <v>390320</v>
      </c>
      <c r="I15" s="44">
        <v>402835</v>
      </c>
      <c r="J15" s="44">
        <v>424915</v>
      </c>
      <c r="K15" s="44">
        <v>471600</v>
      </c>
      <c r="L15" s="44"/>
      <c r="M15" s="44">
        <v>1080000</v>
      </c>
    </row>
    <row r="16" spans="1:13" ht="15.75" thickBot="1" x14ac:dyDescent="0.25">
      <c r="A16" s="8" t="s">
        <v>111</v>
      </c>
      <c r="B16" s="45">
        <f t="shared" ref="B16:M16" si="2">B14-B15</f>
        <v>0</v>
      </c>
      <c r="C16" s="46">
        <f t="shared" si="2"/>
        <v>20</v>
      </c>
      <c r="D16" s="46">
        <f t="shared" si="2"/>
        <v>20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485280</v>
      </c>
      <c r="M16" s="47">
        <f t="shared" si="2"/>
        <v>580</v>
      </c>
    </row>
    <row r="19" spans="1:13" x14ac:dyDescent="0.2">
      <c r="A19" s="81"/>
      <c r="B19" s="82">
        <v>46023</v>
      </c>
      <c r="C19" s="82">
        <v>46054</v>
      </c>
      <c r="D19" s="82">
        <v>46082</v>
      </c>
      <c r="E19" s="82">
        <v>46113</v>
      </c>
      <c r="F19" s="82">
        <v>46143</v>
      </c>
      <c r="G19" s="82">
        <v>46174</v>
      </c>
      <c r="H19" s="82">
        <v>46204</v>
      </c>
      <c r="I19" s="82">
        <v>46235</v>
      </c>
      <c r="J19" s="82">
        <v>46266</v>
      </c>
      <c r="K19" s="82">
        <v>46296</v>
      </c>
      <c r="L19" s="82">
        <v>46327</v>
      </c>
      <c r="M19" s="82">
        <v>46357</v>
      </c>
    </row>
    <row r="20" spans="1:13" x14ac:dyDescent="0.2">
      <c r="A20" s="78" t="s">
        <v>110</v>
      </c>
      <c r="B20" s="42"/>
      <c r="C20" s="42">
        <f t="shared" ref="C20:M20" si="3">B31</f>
        <v>586700</v>
      </c>
      <c r="D20" s="42">
        <f t="shared" si="3"/>
        <v>0</v>
      </c>
      <c r="E20" s="42">
        <f t="shared" si="3"/>
        <v>0</v>
      </c>
      <c r="F20" s="42">
        <f t="shared" si="3"/>
        <v>610500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209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259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260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444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492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>
        <v>186700</v>
      </c>
      <c r="C26" s="42">
        <f>53000+37100+100000</f>
        <v>190100</v>
      </c>
      <c r="D26" s="42">
        <v>191500</v>
      </c>
      <c r="E26" s="42">
        <v>210500</v>
      </c>
      <c r="F26" s="42">
        <v>210500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651</v>
      </c>
      <c r="B27" s="42">
        <v>200000</v>
      </c>
      <c r="C27" s="42">
        <v>200000</v>
      </c>
      <c r="D27" s="42">
        <v>200000</v>
      </c>
      <c r="E27" s="42">
        <v>200000</v>
      </c>
      <c r="F27" s="42">
        <v>200000</v>
      </c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438</v>
      </c>
      <c r="B28" s="42">
        <v>200000</v>
      </c>
      <c r="C28" s="42">
        <v>200000</v>
      </c>
      <c r="D28" s="42">
        <v>200000</v>
      </c>
      <c r="E28" s="42">
        <v>200000</v>
      </c>
      <c r="F28" s="42">
        <v>200000</v>
      </c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 t="shared" ref="B29:M29" si="4">SUM(B20:B28)</f>
        <v>586700</v>
      </c>
      <c r="C29" s="43">
        <f t="shared" si="4"/>
        <v>1176800</v>
      </c>
      <c r="D29" s="43">
        <f t="shared" si="4"/>
        <v>591500</v>
      </c>
      <c r="E29" s="43">
        <f t="shared" si="4"/>
        <v>610500</v>
      </c>
      <c r="F29" s="43">
        <f t="shared" si="4"/>
        <v>1221000</v>
      </c>
      <c r="G29" s="43">
        <f t="shared" si="4"/>
        <v>0</v>
      </c>
      <c r="H29" s="43">
        <f t="shared" si="4"/>
        <v>0</v>
      </c>
      <c r="I29" s="43">
        <f t="shared" si="4"/>
        <v>0</v>
      </c>
      <c r="J29" s="43">
        <f t="shared" si="4"/>
        <v>0</v>
      </c>
      <c r="K29" s="43">
        <f t="shared" si="4"/>
        <v>0</v>
      </c>
      <c r="L29" s="43">
        <f t="shared" si="4"/>
        <v>0</v>
      </c>
      <c r="M29" s="43">
        <f t="shared" si="4"/>
        <v>0</v>
      </c>
    </row>
    <row r="30" spans="1:13" ht="13.5" thickBot="1" x14ac:dyDescent="0.25">
      <c r="A30" s="78" t="s">
        <v>7</v>
      </c>
      <c r="B30" s="44"/>
      <c r="C30" s="44">
        <v>1176800</v>
      </c>
      <c r="D30" s="44">
        <v>591500</v>
      </c>
      <c r="E30" s="44"/>
      <c r="F30" s="44">
        <v>1221000</v>
      </c>
      <c r="G30" s="44"/>
      <c r="H30" s="44"/>
      <c r="I30" s="44"/>
      <c r="J30" s="44"/>
      <c r="K30" s="44"/>
      <c r="L30" s="44"/>
      <c r="M30" s="44"/>
    </row>
    <row r="31" spans="1:13" ht="13.5" thickBot="1" x14ac:dyDescent="0.25">
      <c r="A31" s="78" t="s">
        <v>111</v>
      </c>
      <c r="B31" s="45">
        <f t="shared" ref="B31:M31" si="5">B29-B30</f>
        <v>586700</v>
      </c>
      <c r="C31" s="46">
        <f t="shared" si="5"/>
        <v>0</v>
      </c>
      <c r="D31" s="46">
        <f t="shared" si="5"/>
        <v>0</v>
      </c>
      <c r="E31" s="46">
        <f t="shared" si="5"/>
        <v>610500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7">
        <f t="shared" si="5"/>
        <v>0</v>
      </c>
    </row>
    <row r="32" spans="1:13" x14ac:dyDescent="0.2">
      <c r="C32" s="128">
        <v>45320</v>
      </c>
      <c r="F32" t="s">
        <v>795</v>
      </c>
      <c r="L32" s="128">
        <v>45625</v>
      </c>
    </row>
    <row r="33" spans="3:6" x14ac:dyDescent="0.2">
      <c r="C33" t="s">
        <v>663</v>
      </c>
      <c r="F33" t="s">
        <v>796</v>
      </c>
    </row>
  </sheetData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8"/>
  <dimension ref="A1:M53"/>
  <sheetViews>
    <sheetView showGridLines="0" topLeftCell="A22" workbookViewId="0">
      <selection activeCell="F35" sqref="F35"/>
    </sheetView>
  </sheetViews>
  <sheetFormatPr baseColWidth="10" defaultRowHeight="20.25" x14ac:dyDescent="0.3"/>
  <cols>
    <col min="1" max="1" width="30" style="2" customWidth="1"/>
    <col min="2" max="2" width="11.28515625" style="2" bestFit="1" customWidth="1"/>
    <col min="3" max="3" width="13.85546875" style="2" bestFit="1" customWidth="1"/>
    <col min="4" max="4" width="11.28515625" style="2" bestFit="1" customWidth="1"/>
    <col min="5" max="6" width="11.42578125" style="2"/>
    <col min="7" max="7" width="11.140625" style="2" bestFit="1" customWidth="1"/>
    <col min="8" max="8" width="11" style="2" customWidth="1"/>
    <col min="9" max="9" width="11.5703125" style="2" bestFit="1" customWidth="1"/>
    <col min="10" max="10" width="11.28515625" style="2" bestFit="1" customWidth="1"/>
    <col min="11" max="11" width="11.42578125" style="2"/>
    <col min="12" max="12" width="13.140625" style="2" customWidth="1"/>
    <col min="13" max="13" width="12.7109375" style="2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490</v>
      </c>
      <c r="C2" s="216"/>
      <c r="D2" s="216"/>
      <c r="E2" s="216"/>
      <c r="F2" s="216"/>
      <c r="G2" s="216"/>
    </row>
    <row r="4" spans="1:13" x14ac:dyDescent="0.3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3">
      <c r="A6" s="78" t="s">
        <v>110</v>
      </c>
      <c r="B6" s="42"/>
      <c r="C6" s="42">
        <f t="shared" ref="C6:J6" si="0">B17</f>
        <v>0</v>
      </c>
      <c r="D6" s="42">
        <f t="shared" si="0"/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2700</v>
      </c>
      <c r="J6" s="42">
        <f t="shared" si="0"/>
        <v>0</v>
      </c>
      <c r="K6" s="42">
        <f>J17</f>
        <v>-450</v>
      </c>
      <c r="L6" s="42" t="str">
        <f>K17</f>
        <v xml:space="preserve"> </v>
      </c>
      <c r="M6" s="42">
        <f>L17</f>
        <v>0</v>
      </c>
    </row>
    <row r="7" spans="1:13" x14ac:dyDescent="0.3">
      <c r="A7" s="78" t="s">
        <v>2</v>
      </c>
      <c r="B7" s="42"/>
      <c r="C7" s="42">
        <v>3640</v>
      </c>
      <c r="D7" s="42">
        <v>3640</v>
      </c>
      <c r="E7" s="42">
        <v>3640</v>
      </c>
      <c r="F7" s="42">
        <v>3640</v>
      </c>
      <c r="G7" s="42">
        <v>3640</v>
      </c>
      <c r="H7" s="42">
        <v>3640</v>
      </c>
      <c r="I7" s="42">
        <v>5185</v>
      </c>
      <c r="J7" s="42">
        <v>5185</v>
      </c>
      <c r="K7" s="42">
        <v>5185</v>
      </c>
      <c r="L7" s="42">
        <v>5185</v>
      </c>
      <c r="M7" s="42">
        <v>5185</v>
      </c>
    </row>
    <row r="8" spans="1:13" x14ac:dyDescent="0.3">
      <c r="A8" s="78" t="s">
        <v>3</v>
      </c>
      <c r="B8" s="42">
        <v>5500</v>
      </c>
      <c r="C8" s="42">
        <v>7160</v>
      </c>
      <c r="D8" s="42">
        <v>7160</v>
      </c>
      <c r="E8" s="42">
        <v>7160</v>
      </c>
      <c r="F8" s="42">
        <v>7160</v>
      </c>
      <c r="G8" s="42">
        <v>7160</v>
      </c>
      <c r="H8" s="42">
        <v>7160</v>
      </c>
      <c r="I8" s="42">
        <v>7160</v>
      </c>
      <c r="J8" s="42">
        <v>7160</v>
      </c>
      <c r="K8" s="42">
        <v>7160</v>
      </c>
      <c r="L8" s="42">
        <v>7160</v>
      </c>
      <c r="M8" s="42">
        <v>7160</v>
      </c>
    </row>
    <row r="9" spans="1:13" x14ac:dyDescent="0.3">
      <c r="A9" s="78" t="s">
        <v>4</v>
      </c>
      <c r="B9" s="42">
        <v>22800</v>
      </c>
      <c r="C9" s="42">
        <v>22800</v>
      </c>
      <c r="D9" s="42">
        <v>22800</v>
      </c>
      <c r="E9" s="42">
        <v>22800</v>
      </c>
      <c r="F9" s="42">
        <v>22800</v>
      </c>
      <c r="G9" s="42">
        <v>22800</v>
      </c>
      <c r="H9" s="42">
        <v>25500</v>
      </c>
      <c r="I9" s="42">
        <v>25500</v>
      </c>
      <c r="J9" s="42">
        <v>25500</v>
      </c>
      <c r="K9" s="42">
        <v>25500</v>
      </c>
      <c r="L9" s="42">
        <v>25500</v>
      </c>
      <c r="M9" s="42">
        <v>25500</v>
      </c>
    </row>
    <row r="10" spans="1:13" x14ac:dyDescent="0.3">
      <c r="A10" s="78" t="s">
        <v>9</v>
      </c>
      <c r="B10" s="42"/>
      <c r="C10" s="42"/>
      <c r="D10" s="42"/>
      <c r="E10" s="42"/>
      <c r="F10" s="42"/>
      <c r="G10" s="42"/>
      <c r="H10" s="42"/>
      <c r="I10" s="42">
        <v>5</v>
      </c>
      <c r="J10" s="42"/>
      <c r="K10" s="42"/>
      <c r="L10" s="42"/>
      <c r="M10" s="42"/>
    </row>
    <row r="11" spans="1:13" x14ac:dyDescent="0.3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5</v>
      </c>
      <c r="B14" s="42">
        <v>20000</v>
      </c>
      <c r="C14" s="42">
        <v>25000</v>
      </c>
      <c r="D14" s="42">
        <v>25000</v>
      </c>
      <c r="E14" s="42">
        <v>25000</v>
      </c>
      <c r="F14" s="42">
        <v>25000</v>
      </c>
      <c r="G14" s="42">
        <v>25000</v>
      </c>
      <c r="H14" s="42">
        <v>25000</v>
      </c>
      <c r="I14" s="42">
        <v>27000</v>
      </c>
      <c r="J14" s="42">
        <v>29705</v>
      </c>
      <c r="K14" s="42">
        <v>29000</v>
      </c>
      <c r="L14" s="42">
        <v>29705</v>
      </c>
      <c r="M14" s="42">
        <v>29705</v>
      </c>
    </row>
    <row r="15" spans="1:13" x14ac:dyDescent="0.3">
      <c r="A15" s="78" t="s">
        <v>6</v>
      </c>
      <c r="B15" s="43">
        <f>SUM(B6:B14)</f>
        <v>48300</v>
      </c>
      <c r="C15" s="43">
        <f t="shared" ref="C15:M15" si="1">SUM(C6:C14)</f>
        <v>58600</v>
      </c>
      <c r="D15" s="43">
        <f t="shared" si="1"/>
        <v>58600</v>
      </c>
      <c r="E15" s="43">
        <f t="shared" si="1"/>
        <v>58600</v>
      </c>
      <c r="F15" s="43">
        <f t="shared" si="1"/>
        <v>58600</v>
      </c>
      <c r="G15" s="43">
        <f t="shared" si="1"/>
        <v>58600</v>
      </c>
      <c r="H15" s="43">
        <f t="shared" si="1"/>
        <v>61300</v>
      </c>
      <c r="I15" s="43">
        <f t="shared" si="1"/>
        <v>67550</v>
      </c>
      <c r="J15" s="43">
        <f t="shared" si="1"/>
        <v>67550</v>
      </c>
      <c r="K15" s="43">
        <f t="shared" si="1"/>
        <v>66395</v>
      </c>
      <c r="L15" s="43">
        <f t="shared" si="1"/>
        <v>67550</v>
      </c>
      <c r="M15" s="43">
        <f t="shared" si="1"/>
        <v>67550</v>
      </c>
    </row>
    <row r="16" spans="1:13" x14ac:dyDescent="0.3">
      <c r="A16" s="78" t="s">
        <v>7</v>
      </c>
      <c r="B16" s="44">
        <v>48300</v>
      </c>
      <c r="C16" s="44">
        <v>58600</v>
      </c>
      <c r="D16" s="44">
        <v>58600</v>
      </c>
      <c r="E16" s="44">
        <v>58600</v>
      </c>
      <c r="F16" s="44">
        <v>58600</v>
      </c>
      <c r="G16" s="44">
        <v>58600</v>
      </c>
      <c r="H16" s="44">
        <v>58600</v>
      </c>
      <c r="I16" s="44">
        <v>67550</v>
      </c>
      <c r="J16" s="44">
        <v>68000</v>
      </c>
      <c r="K16" s="44">
        <v>66395</v>
      </c>
      <c r="L16" s="44">
        <v>67550</v>
      </c>
      <c r="M16" s="44">
        <v>67550</v>
      </c>
    </row>
    <row r="17" spans="1:13" x14ac:dyDescent="0.3">
      <c r="A17" s="7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0</v>
      </c>
      <c r="F17" s="43">
        <f t="shared" si="2"/>
        <v>0</v>
      </c>
      <c r="G17" s="43">
        <f t="shared" si="2"/>
        <v>0</v>
      </c>
      <c r="H17" s="43">
        <f t="shared" si="2"/>
        <v>2700</v>
      </c>
      <c r="I17" s="43">
        <f t="shared" si="2"/>
        <v>0</v>
      </c>
      <c r="J17" s="43">
        <f t="shared" si="2"/>
        <v>-450</v>
      </c>
      <c r="K17" s="43" t="s">
        <v>181</v>
      </c>
      <c r="L17" s="43">
        <f t="shared" si="2"/>
        <v>0</v>
      </c>
      <c r="M17" s="43">
        <f t="shared" si="2"/>
        <v>0</v>
      </c>
    </row>
    <row r="22" spans="1:13" x14ac:dyDescent="0.3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3">
      <c r="A23" s="33"/>
      <c r="B23" s="82">
        <v>46023</v>
      </c>
      <c r="C23" s="82">
        <v>46054</v>
      </c>
      <c r="D23" s="82">
        <v>46082</v>
      </c>
      <c r="E23" s="82">
        <v>46113</v>
      </c>
      <c r="F23" s="82">
        <v>46143</v>
      </c>
      <c r="G23" s="82">
        <v>46174</v>
      </c>
      <c r="H23" s="82">
        <v>46204</v>
      </c>
      <c r="I23" s="82">
        <v>46235</v>
      </c>
      <c r="J23" s="82">
        <v>46266</v>
      </c>
      <c r="K23" s="82">
        <v>46296</v>
      </c>
      <c r="L23" s="82">
        <v>46327</v>
      </c>
      <c r="M23" s="82">
        <v>46357</v>
      </c>
    </row>
    <row r="24" spans="1:13" x14ac:dyDescent="0.3">
      <c r="A24" s="8" t="s">
        <v>110</v>
      </c>
      <c r="B24" s="42"/>
      <c r="C24" s="42">
        <f>B35</f>
        <v>0</v>
      </c>
      <c r="D24" s="42">
        <f>C35</f>
        <v>0</v>
      </c>
      <c r="E24" s="42">
        <f>D35</f>
        <v>0</v>
      </c>
      <c r="F24" s="42">
        <f>E35</f>
        <v>0</v>
      </c>
      <c r="G24" s="42">
        <f t="shared" ref="G24:M24" si="3">F35</f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3">
      <c r="A25" s="8" t="s">
        <v>2</v>
      </c>
      <c r="B25" s="42">
        <v>5190</v>
      </c>
      <c r="C25" s="42">
        <v>5190</v>
      </c>
      <c r="D25" s="42">
        <v>5190</v>
      </c>
      <c r="E25" s="42">
        <v>5190</v>
      </c>
      <c r="F25" s="42">
        <v>5190</v>
      </c>
      <c r="G25" s="42"/>
      <c r="H25" s="42"/>
      <c r="I25" s="42"/>
      <c r="J25" s="42"/>
      <c r="K25" s="42"/>
      <c r="L25" s="42"/>
      <c r="M25" s="42"/>
    </row>
    <row r="26" spans="1:13" x14ac:dyDescent="0.3">
      <c r="A26" s="8" t="s">
        <v>3</v>
      </c>
      <c r="B26" s="42">
        <v>9280</v>
      </c>
      <c r="C26" s="42">
        <v>9280</v>
      </c>
      <c r="D26" s="42">
        <v>9280</v>
      </c>
      <c r="E26" s="42">
        <v>9280</v>
      </c>
      <c r="F26" s="42">
        <v>9280</v>
      </c>
      <c r="G26" s="42"/>
      <c r="H26" s="42"/>
      <c r="I26" s="42"/>
      <c r="J26" s="42"/>
      <c r="K26" s="42"/>
      <c r="L26" s="42"/>
      <c r="M26" s="42"/>
    </row>
    <row r="27" spans="1:13" x14ac:dyDescent="0.3">
      <c r="A27" s="8" t="s">
        <v>4</v>
      </c>
      <c r="B27" s="42">
        <v>30000</v>
      </c>
      <c r="C27" s="42">
        <v>30000</v>
      </c>
      <c r="D27" s="42">
        <v>30000</v>
      </c>
      <c r="E27" s="42">
        <v>30000</v>
      </c>
      <c r="F27" s="42">
        <v>30000</v>
      </c>
      <c r="G27" s="42"/>
      <c r="H27" s="42"/>
      <c r="I27" s="42"/>
      <c r="J27" s="42"/>
      <c r="K27" s="42"/>
      <c r="L27" s="42"/>
      <c r="M27" s="42"/>
    </row>
    <row r="28" spans="1:13" x14ac:dyDescent="0.3">
      <c r="A28" s="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8" t="s">
        <v>75</v>
      </c>
      <c r="B31" s="42">
        <v>30</v>
      </c>
      <c r="C31" s="42">
        <v>30</v>
      </c>
      <c r="D31" s="42">
        <v>30</v>
      </c>
      <c r="E31" s="42">
        <v>30</v>
      </c>
      <c r="F31" s="42">
        <v>30</v>
      </c>
      <c r="G31" s="42"/>
      <c r="H31" s="42"/>
      <c r="I31" s="42"/>
      <c r="J31" s="42"/>
      <c r="K31" s="42"/>
      <c r="L31" s="42"/>
      <c r="M31" s="42"/>
    </row>
    <row r="32" spans="1:13" x14ac:dyDescent="0.3">
      <c r="A32" s="8" t="s">
        <v>5</v>
      </c>
      <c r="B32" s="42">
        <v>30000</v>
      </c>
      <c r="C32" s="42">
        <v>30000</v>
      </c>
      <c r="D32" s="42">
        <v>30000</v>
      </c>
      <c r="E32" s="42">
        <v>30000</v>
      </c>
      <c r="F32" s="42">
        <v>30000</v>
      </c>
      <c r="G32" s="42"/>
      <c r="H32" s="42"/>
      <c r="I32" s="42"/>
      <c r="J32" s="42"/>
      <c r="K32" s="42"/>
      <c r="L32" s="42"/>
      <c r="M32" s="42"/>
    </row>
    <row r="33" spans="1:13" x14ac:dyDescent="0.3">
      <c r="A33" s="8" t="s">
        <v>6</v>
      </c>
      <c r="B33" s="43">
        <f t="shared" ref="B33:M33" si="4">SUM(B24:B32)</f>
        <v>74500</v>
      </c>
      <c r="C33" s="43">
        <f t="shared" si="4"/>
        <v>74500</v>
      </c>
      <c r="D33" s="43">
        <f t="shared" si="4"/>
        <v>74500</v>
      </c>
      <c r="E33" s="43">
        <f t="shared" si="4"/>
        <v>74500</v>
      </c>
      <c r="F33" s="43">
        <f t="shared" si="4"/>
        <v>74500</v>
      </c>
      <c r="G33" s="43">
        <f t="shared" si="4"/>
        <v>0</v>
      </c>
      <c r="H33" s="43">
        <f t="shared" si="4"/>
        <v>0</v>
      </c>
      <c r="I33" s="43">
        <f t="shared" si="4"/>
        <v>0</v>
      </c>
      <c r="J33" s="43">
        <f t="shared" si="4"/>
        <v>0</v>
      </c>
      <c r="K33" s="43">
        <f t="shared" si="4"/>
        <v>0</v>
      </c>
      <c r="L33" s="43">
        <f t="shared" si="4"/>
        <v>0</v>
      </c>
      <c r="M33" s="43">
        <f t="shared" si="4"/>
        <v>0</v>
      </c>
    </row>
    <row r="34" spans="1:13" ht="21" thickBot="1" x14ac:dyDescent="0.35">
      <c r="A34" s="8" t="s">
        <v>7</v>
      </c>
      <c r="B34" s="44">
        <v>74500</v>
      </c>
      <c r="C34" s="44">
        <v>74500</v>
      </c>
      <c r="D34" s="44">
        <v>74500</v>
      </c>
      <c r="E34" s="44">
        <v>74500</v>
      </c>
      <c r="F34" s="44">
        <v>74500</v>
      </c>
      <c r="G34" s="44"/>
      <c r="H34" s="44"/>
      <c r="I34" s="44"/>
      <c r="J34" s="44"/>
      <c r="K34" s="44"/>
      <c r="L34" s="44"/>
      <c r="M34" s="44"/>
    </row>
    <row r="35" spans="1:13" ht="21" thickBot="1" x14ac:dyDescent="0.35">
      <c r="A35" s="8" t="s">
        <v>111</v>
      </c>
      <c r="B35" s="45">
        <f t="shared" ref="B35:M35" si="5">B33-B34</f>
        <v>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7">
        <f t="shared" si="5"/>
        <v>0</v>
      </c>
    </row>
    <row r="36" spans="1:13" x14ac:dyDescent="0.3">
      <c r="F36" s="125">
        <v>45419</v>
      </c>
      <c r="H36" s="125">
        <v>45476</v>
      </c>
    </row>
    <row r="40" spans="1:13" x14ac:dyDescent="0.3">
      <c r="A40" s="32" t="s">
        <v>0</v>
      </c>
      <c r="B40" s="32" t="s">
        <v>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 x14ac:dyDescent="0.3">
      <c r="A41" s="33"/>
      <c r="B41" s="34">
        <v>39814</v>
      </c>
      <c r="C41" s="34">
        <v>39845</v>
      </c>
      <c r="D41" s="34">
        <v>39873</v>
      </c>
      <c r="E41" s="34">
        <v>39904</v>
      </c>
      <c r="F41" s="34">
        <v>39934</v>
      </c>
      <c r="G41" s="34">
        <v>39965</v>
      </c>
      <c r="H41" s="34">
        <v>39995</v>
      </c>
      <c r="I41" s="34">
        <v>40026</v>
      </c>
      <c r="J41" s="34">
        <v>40057</v>
      </c>
      <c r="K41" s="34">
        <v>40087</v>
      </c>
      <c r="L41" s="34">
        <v>40118</v>
      </c>
      <c r="M41" s="34">
        <v>40148</v>
      </c>
    </row>
    <row r="42" spans="1:13" x14ac:dyDescent="0.3">
      <c r="A42" s="8" t="s">
        <v>110</v>
      </c>
      <c r="B42" s="28"/>
      <c r="C42" s="28">
        <f t="shared" ref="C42:M42" si="6">B53</f>
        <v>0</v>
      </c>
      <c r="D42" s="28">
        <f t="shared" si="6"/>
        <v>0</v>
      </c>
      <c r="E42" s="28">
        <f t="shared" si="6"/>
        <v>-1</v>
      </c>
      <c r="F42" s="28">
        <f t="shared" si="6"/>
        <v>137.75</v>
      </c>
      <c r="G42" s="28">
        <f t="shared" si="6"/>
        <v>0</v>
      </c>
      <c r="H42" s="28">
        <f t="shared" si="6"/>
        <v>0</v>
      </c>
      <c r="I42" s="28">
        <f t="shared" si="6"/>
        <v>0</v>
      </c>
      <c r="J42" s="28">
        <f t="shared" si="6"/>
        <v>-20</v>
      </c>
      <c r="K42" s="28">
        <f t="shared" si="6"/>
        <v>0</v>
      </c>
      <c r="L42" s="28">
        <f t="shared" si="6"/>
        <v>0</v>
      </c>
      <c r="M42" s="28">
        <f t="shared" si="6"/>
        <v>0</v>
      </c>
    </row>
    <row r="43" spans="1:13" x14ac:dyDescent="0.3">
      <c r="A43" s="8" t="s">
        <v>2</v>
      </c>
      <c r="B43" s="28">
        <v>142</v>
      </c>
      <c r="C43" s="28">
        <f>142+9.75+9.75+9.75</f>
        <v>171.25</v>
      </c>
      <c r="D43" s="28">
        <v>160</v>
      </c>
      <c r="E43" s="28">
        <v>159.75</v>
      </c>
      <c r="F43" s="28">
        <v>159.75</v>
      </c>
      <c r="G43" s="28">
        <v>159.75</v>
      </c>
      <c r="H43" s="28">
        <v>159.75</v>
      </c>
      <c r="I43" s="28">
        <v>159.75</v>
      </c>
      <c r="J43" s="28">
        <v>159.75</v>
      </c>
      <c r="K43" s="28">
        <v>159.75</v>
      </c>
      <c r="L43" s="28">
        <v>159.75</v>
      </c>
      <c r="M43" s="28">
        <v>159.75</v>
      </c>
    </row>
    <row r="44" spans="1:13" x14ac:dyDescent="0.3">
      <c r="A44" s="8" t="s">
        <v>3</v>
      </c>
      <c r="B44" s="28">
        <v>45</v>
      </c>
      <c r="C44" s="28">
        <v>45</v>
      </c>
      <c r="D44" s="28">
        <v>45</v>
      </c>
      <c r="E44" s="28">
        <v>45</v>
      </c>
      <c r="F44" s="28">
        <v>45</v>
      </c>
      <c r="G44" s="28">
        <v>45</v>
      </c>
      <c r="H44" s="28">
        <v>45</v>
      </c>
      <c r="I44" s="28">
        <v>45</v>
      </c>
      <c r="J44" s="28">
        <v>45</v>
      </c>
      <c r="K44" s="28">
        <v>45</v>
      </c>
      <c r="L44" s="28">
        <v>45</v>
      </c>
      <c r="M44" s="28">
        <v>45</v>
      </c>
    </row>
    <row r="45" spans="1:13" x14ac:dyDescent="0.3">
      <c r="A45" s="8" t="s">
        <v>4</v>
      </c>
      <c r="B45" s="28">
        <v>34</v>
      </c>
      <c r="C45" s="28">
        <v>34</v>
      </c>
      <c r="D45" s="28">
        <v>34</v>
      </c>
      <c r="E45" s="28">
        <v>34</v>
      </c>
      <c r="F45" s="28">
        <v>34</v>
      </c>
      <c r="G45" s="28">
        <v>34</v>
      </c>
      <c r="H45" s="28">
        <v>34</v>
      </c>
      <c r="I45" s="28">
        <v>34</v>
      </c>
      <c r="J45" s="28">
        <v>34</v>
      </c>
      <c r="K45" s="28">
        <v>34</v>
      </c>
      <c r="L45" s="28">
        <v>34</v>
      </c>
      <c r="M45" s="28">
        <v>34</v>
      </c>
    </row>
    <row r="46" spans="1:13" x14ac:dyDescent="0.3">
      <c r="A46" s="8" t="s">
        <v>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x14ac:dyDescent="0.3">
      <c r="A47" s="8" t="s">
        <v>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x14ac:dyDescent="0.3">
      <c r="A48" s="8" t="s">
        <v>74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x14ac:dyDescent="0.3">
      <c r="A49" s="8" t="s">
        <v>75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x14ac:dyDescent="0.3">
      <c r="A50" s="8" t="s">
        <v>5</v>
      </c>
      <c r="B50" s="28">
        <v>59</v>
      </c>
      <c r="C50" s="28">
        <v>60</v>
      </c>
      <c r="D50" s="28">
        <v>60</v>
      </c>
      <c r="E50" s="28">
        <v>60</v>
      </c>
      <c r="F50" s="28">
        <v>60</v>
      </c>
      <c r="G50" s="28">
        <v>60</v>
      </c>
      <c r="H50" s="28">
        <v>61.25</v>
      </c>
      <c r="I50" s="28">
        <v>61.25</v>
      </c>
      <c r="J50" s="28">
        <v>61.25</v>
      </c>
      <c r="K50" s="28">
        <v>61.25</v>
      </c>
      <c r="L50" s="28">
        <v>81.25</v>
      </c>
      <c r="M50" s="28">
        <v>81.25</v>
      </c>
    </row>
    <row r="51" spans="1:13" x14ac:dyDescent="0.3">
      <c r="A51" s="8" t="s">
        <v>6</v>
      </c>
      <c r="B51" s="29">
        <f t="shared" ref="B51:M51" si="7">SUM(B42:B50)</f>
        <v>280</v>
      </c>
      <c r="C51" s="29">
        <f t="shared" si="7"/>
        <v>310.25</v>
      </c>
      <c r="D51" s="29">
        <f t="shared" si="7"/>
        <v>299</v>
      </c>
      <c r="E51" s="29">
        <f t="shared" si="7"/>
        <v>297.75</v>
      </c>
      <c r="F51" s="29">
        <f t="shared" si="7"/>
        <v>436.5</v>
      </c>
      <c r="G51" s="29">
        <f t="shared" si="7"/>
        <v>298.75</v>
      </c>
      <c r="H51" s="29">
        <f t="shared" si="7"/>
        <v>300</v>
      </c>
      <c r="I51" s="29">
        <f t="shared" si="7"/>
        <v>300</v>
      </c>
      <c r="J51" s="29">
        <f t="shared" si="7"/>
        <v>280</v>
      </c>
      <c r="K51" s="29">
        <f t="shared" si="7"/>
        <v>300</v>
      </c>
      <c r="L51" s="29">
        <f t="shared" si="7"/>
        <v>320</v>
      </c>
      <c r="M51" s="29">
        <f t="shared" si="7"/>
        <v>320</v>
      </c>
    </row>
    <row r="52" spans="1:13" ht="21" thickBot="1" x14ac:dyDescent="0.35">
      <c r="A52" s="8" t="s">
        <v>7</v>
      </c>
      <c r="B52" s="30">
        <f>140+140</f>
        <v>280</v>
      </c>
      <c r="C52" s="30">
        <f>140+170.25</f>
        <v>310.25</v>
      </c>
      <c r="D52" s="30">
        <v>300</v>
      </c>
      <c r="E52" s="30">
        <v>160</v>
      </c>
      <c r="F52" s="30">
        <f>297.5+139</f>
        <v>436.5</v>
      </c>
      <c r="G52" s="30">
        <v>298.75</v>
      </c>
      <c r="H52" s="30">
        <f>160+140</f>
        <v>300</v>
      </c>
      <c r="I52" s="30">
        <v>320</v>
      </c>
      <c r="J52" s="30">
        <v>280</v>
      </c>
      <c r="K52" s="30">
        <v>300</v>
      </c>
      <c r="L52" s="30">
        <v>320</v>
      </c>
      <c r="M52" s="30">
        <f>160+160</f>
        <v>320</v>
      </c>
    </row>
    <row r="53" spans="1:13" ht="21" thickBot="1" x14ac:dyDescent="0.35">
      <c r="A53" s="8" t="s">
        <v>111</v>
      </c>
      <c r="B53" s="35">
        <f t="shared" ref="B53:M53" si="8">B51-B52</f>
        <v>0</v>
      </c>
      <c r="C53" s="36">
        <f t="shared" si="8"/>
        <v>0</v>
      </c>
      <c r="D53" s="36">
        <f t="shared" si="8"/>
        <v>-1</v>
      </c>
      <c r="E53" s="36">
        <f t="shared" si="8"/>
        <v>137.75</v>
      </c>
      <c r="F53" s="36">
        <f t="shared" si="8"/>
        <v>0</v>
      </c>
      <c r="G53" s="36">
        <f t="shared" si="8"/>
        <v>0</v>
      </c>
      <c r="H53" s="36">
        <f t="shared" si="8"/>
        <v>0</v>
      </c>
      <c r="I53" s="36">
        <f t="shared" si="8"/>
        <v>-20</v>
      </c>
      <c r="J53" s="36">
        <f t="shared" si="8"/>
        <v>0</v>
      </c>
      <c r="K53" s="36">
        <f t="shared" si="8"/>
        <v>0</v>
      </c>
      <c r="L53" s="36">
        <f t="shared" si="8"/>
        <v>0</v>
      </c>
      <c r="M53" s="37">
        <f t="shared" si="8"/>
        <v>0</v>
      </c>
    </row>
  </sheetData>
  <mergeCells count="1">
    <mergeCell ref="B2:G2"/>
  </mergeCells>
  <phoneticPr fontId="4" type="noConversion"/>
  <pageMargins left="0.75" right="0.75" top="1" bottom="1" header="0" footer="0"/>
  <pageSetup orientation="portrait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9"/>
  <dimension ref="A1:M35"/>
  <sheetViews>
    <sheetView showGridLines="0" topLeftCell="A4" workbookViewId="0">
      <selection activeCell="F8" sqref="F8"/>
    </sheetView>
  </sheetViews>
  <sheetFormatPr baseColWidth="10" defaultRowHeight="20.25" x14ac:dyDescent="0.3"/>
  <cols>
    <col min="1" max="1" width="29.5703125" style="2" bestFit="1" customWidth="1"/>
    <col min="2" max="4" width="11.28515625" style="2" customWidth="1"/>
    <col min="5" max="5" width="11.5703125" style="2" customWidth="1"/>
    <col min="6" max="6" width="11.28515625" style="2" customWidth="1"/>
    <col min="7" max="7" width="12" style="2" customWidth="1"/>
    <col min="8" max="8" width="11.5703125" style="2" customWidth="1"/>
    <col min="9" max="9" width="11.7109375" style="2" customWidth="1"/>
    <col min="10" max="10" width="11.85546875" style="2" customWidth="1"/>
    <col min="11" max="11" width="12" style="2" customWidth="1"/>
    <col min="12" max="12" width="11.42578125" style="2" customWidth="1"/>
    <col min="13" max="13" width="11.5703125" style="2" customWidth="1"/>
    <col min="14" max="16384" width="11.42578125" style="2"/>
  </cols>
  <sheetData>
    <row r="1" spans="1:13" x14ac:dyDescent="0.3">
      <c r="A1" s="131" t="s">
        <v>102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x14ac:dyDescent="0.3">
      <c r="A2" s="102" t="s">
        <v>11</v>
      </c>
      <c r="B2" s="219" t="s">
        <v>103</v>
      </c>
      <c r="C2" s="219"/>
      <c r="D2" s="219"/>
      <c r="E2" s="219"/>
      <c r="F2" s="219"/>
      <c r="G2" s="219"/>
      <c r="H2" s="64"/>
      <c r="I2" s="64"/>
      <c r="J2" s="64"/>
      <c r="K2" s="64"/>
      <c r="L2" s="64"/>
      <c r="M2" s="64"/>
    </row>
    <row r="3" spans="1:13" x14ac:dyDescent="0.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x14ac:dyDescent="0.3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3">
      <c r="A5" s="78"/>
      <c r="B5" s="79">
        <v>45292</v>
      </c>
      <c r="C5" s="79">
        <v>45323</v>
      </c>
      <c r="D5" s="79">
        <v>45352</v>
      </c>
      <c r="E5" s="79">
        <v>45383</v>
      </c>
      <c r="F5" s="79">
        <v>45413</v>
      </c>
      <c r="G5" s="79">
        <v>45444</v>
      </c>
      <c r="H5" s="79">
        <v>45474</v>
      </c>
      <c r="I5" s="79">
        <v>45505</v>
      </c>
      <c r="J5" s="79">
        <v>45536</v>
      </c>
      <c r="K5" s="79">
        <v>45566</v>
      </c>
      <c r="L5" s="79">
        <v>45597</v>
      </c>
      <c r="M5" s="79">
        <v>45627</v>
      </c>
    </row>
    <row r="6" spans="1:13" x14ac:dyDescent="0.3">
      <c r="A6" s="78" t="s">
        <v>76</v>
      </c>
      <c r="B6" s="85">
        <v>25000</v>
      </c>
      <c r="C6" s="156">
        <f>B16</f>
        <v>38000</v>
      </c>
      <c r="D6" s="156">
        <f>C16</f>
        <v>0</v>
      </c>
      <c r="E6" s="156">
        <f>D16</f>
        <v>13500</v>
      </c>
      <c r="F6" s="156">
        <f t="shared" ref="F6:M6" si="0">E17</f>
        <v>0</v>
      </c>
      <c r="G6" s="156">
        <f t="shared" si="0"/>
        <v>0</v>
      </c>
      <c r="H6" s="156">
        <f t="shared" si="0"/>
        <v>0</v>
      </c>
      <c r="I6" s="156">
        <f t="shared" si="0"/>
        <v>0</v>
      </c>
      <c r="J6" s="156">
        <f t="shared" si="0"/>
        <v>0</v>
      </c>
      <c r="K6" s="156">
        <f t="shared" si="0"/>
        <v>0</v>
      </c>
      <c r="L6" s="156">
        <f t="shared" si="0"/>
        <v>0</v>
      </c>
      <c r="M6" s="156">
        <f t="shared" si="0"/>
        <v>0</v>
      </c>
    </row>
    <row r="7" spans="1:13" x14ac:dyDescent="0.3">
      <c r="A7" s="78" t="s">
        <v>3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</row>
    <row r="8" spans="1:13" x14ac:dyDescent="0.3">
      <c r="A8" s="78" t="s">
        <v>4</v>
      </c>
      <c r="B8" s="85">
        <v>8000</v>
      </c>
      <c r="C8" s="85">
        <v>8000</v>
      </c>
      <c r="D8" s="85">
        <v>8500</v>
      </c>
      <c r="E8" s="85">
        <v>8500</v>
      </c>
      <c r="F8" s="85"/>
      <c r="G8" s="85"/>
      <c r="H8" s="85"/>
      <c r="I8" s="85"/>
      <c r="J8" s="85"/>
      <c r="K8" s="85"/>
      <c r="L8" s="85"/>
      <c r="M8" s="85"/>
    </row>
    <row r="9" spans="1:13" x14ac:dyDescent="0.3">
      <c r="A9" s="78" t="s">
        <v>9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</row>
    <row r="10" spans="1:13" x14ac:dyDescent="0.3">
      <c r="A10" s="78" t="s">
        <v>469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</row>
    <row r="11" spans="1:13" x14ac:dyDescent="0.3">
      <c r="A11" s="78" t="s">
        <v>470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</row>
    <row r="12" spans="1:13" x14ac:dyDescent="0.3">
      <c r="A12" s="78" t="s">
        <v>75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</row>
    <row r="13" spans="1:13" x14ac:dyDescent="0.3">
      <c r="A13" s="78" t="s">
        <v>5</v>
      </c>
      <c r="B13" s="85">
        <v>5000</v>
      </c>
      <c r="C13" s="85">
        <v>5000</v>
      </c>
      <c r="D13" s="85">
        <v>5000</v>
      </c>
      <c r="E13" s="85">
        <v>6000</v>
      </c>
      <c r="F13" s="85"/>
      <c r="G13" s="85"/>
      <c r="H13" s="85"/>
      <c r="I13" s="85"/>
      <c r="J13" s="85"/>
      <c r="K13" s="85"/>
      <c r="L13" s="85"/>
      <c r="M13" s="85"/>
    </row>
    <row r="14" spans="1:13" x14ac:dyDescent="0.3">
      <c r="A14" s="78" t="s">
        <v>6</v>
      </c>
      <c r="B14" s="43">
        <f>SUM(B6:B13)</f>
        <v>38000</v>
      </c>
      <c r="C14" s="43">
        <f t="shared" ref="C14:M14" si="1">SUM(C6:C13)</f>
        <v>51000</v>
      </c>
      <c r="D14" s="43">
        <f t="shared" si="1"/>
        <v>13500</v>
      </c>
      <c r="E14" s="43">
        <f t="shared" si="1"/>
        <v>28000</v>
      </c>
      <c r="F14" s="43">
        <f t="shared" si="1"/>
        <v>0</v>
      </c>
      <c r="G14" s="43">
        <f t="shared" si="1"/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</row>
    <row r="15" spans="1:13" x14ac:dyDescent="0.3">
      <c r="A15" s="78" t="s">
        <v>7</v>
      </c>
      <c r="B15" s="78"/>
      <c r="C15" s="78">
        <v>51000</v>
      </c>
      <c r="D15" s="78"/>
      <c r="E15" s="91">
        <v>28000</v>
      </c>
      <c r="F15" s="78"/>
      <c r="G15" s="78"/>
      <c r="H15" s="152"/>
      <c r="I15" s="152"/>
      <c r="J15" s="44"/>
      <c r="K15" s="152"/>
      <c r="L15" s="78"/>
      <c r="M15" s="78"/>
    </row>
    <row r="16" spans="1:13" x14ac:dyDescent="0.3">
      <c r="A16" s="78" t="s">
        <v>8</v>
      </c>
      <c r="B16" s="43">
        <f>B14-B15</f>
        <v>38000</v>
      </c>
      <c r="C16" s="43">
        <f>C14-C15</f>
        <v>0</v>
      </c>
      <c r="D16" s="43">
        <f>D14-D15</f>
        <v>13500</v>
      </c>
      <c r="E16" s="43">
        <f>E14-E15</f>
        <v>0</v>
      </c>
      <c r="F16" s="43"/>
      <c r="G16" s="43"/>
      <c r="H16" s="43"/>
      <c r="I16" s="43"/>
      <c r="J16" s="43"/>
      <c r="K16" s="43"/>
      <c r="L16" s="43"/>
      <c r="M16" s="43"/>
    </row>
    <row r="17" spans="1:13" x14ac:dyDescent="0.3">
      <c r="A17" s="78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 spans="1:13" x14ac:dyDescent="0.3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</row>
    <row r="19" spans="1:13" x14ac:dyDescent="0.3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</row>
    <row r="20" spans="1:13" x14ac:dyDescent="0.3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</row>
    <row r="21" spans="1:13" x14ac:dyDescent="0.3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</row>
    <row r="22" spans="1:13" x14ac:dyDescent="0.3">
      <c r="A22" s="132" t="s">
        <v>0</v>
      </c>
      <c r="B22" s="132" t="s">
        <v>1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</row>
    <row r="23" spans="1:13" x14ac:dyDescent="0.3">
      <c r="A23" s="133"/>
      <c r="B23" s="134">
        <v>44927</v>
      </c>
      <c r="C23" s="134">
        <v>44958</v>
      </c>
      <c r="D23" s="134">
        <v>44986</v>
      </c>
      <c r="E23" s="134">
        <v>45017</v>
      </c>
      <c r="F23" s="134">
        <v>45047</v>
      </c>
      <c r="G23" s="134">
        <v>45078</v>
      </c>
      <c r="H23" s="134">
        <v>45108</v>
      </c>
      <c r="I23" s="134">
        <v>45139</v>
      </c>
      <c r="J23" s="134">
        <v>45170</v>
      </c>
      <c r="K23" s="134">
        <v>45200</v>
      </c>
      <c r="L23" s="134">
        <v>45231</v>
      </c>
      <c r="M23" s="134">
        <v>45261</v>
      </c>
    </row>
    <row r="24" spans="1:13" x14ac:dyDescent="0.3">
      <c r="A24" s="64" t="s">
        <v>110</v>
      </c>
      <c r="B24" s="87">
        <v>11200</v>
      </c>
      <c r="C24" s="87">
        <f t="shared" ref="C24:M24" si="2">B35</f>
        <v>15700</v>
      </c>
      <c r="D24" s="87">
        <f t="shared" si="2"/>
        <v>0</v>
      </c>
      <c r="E24" s="87">
        <f t="shared" si="2"/>
        <v>4500</v>
      </c>
      <c r="F24" s="87">
        <f t="shared" si="2"/>
        <v>9000</v>
      </c>
      <c r="G24" s="87">
        <f t="shared" si="2"/>
        <v>13500</v>
      </c>
      <c r="H24" s="87">
        <f t="shared" si="2"/>
        <v>18000</v>
      </c>
      <c r="I24" s="87">
        <f t="shared" si="2"/>
        <v>0</v>
      </c>
      <c r="J24" s="87">
        <f t="shared" si="2"/>
        <v>5000</v>
      </c>
      <c r="K24" s="87">
        <f t="shared" si="2"/>
        <v>10000</v>
      </c>
      <c r="L24" s="87">
        <f t="shared" si="2"/>
        <v>15000</v>
      </c>
      <c r="M24" s="87">
        <f t="shared" si="2"/>
        <v>20000</v>
      </c>
    </row>
    <row r="25" spans="1:13" x14ac:dyDescent="0.3">
      <c r="A25" s="64" t="s">
        <v>2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</row>
    <row r="26" spans="1:13" x14ac:dyDescent="0.3">
      <c r="A26" s="64" t="s">
        <v>3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</row>
    <row r="27" spans="1:13" x14ac:dyDescent="0.3">
      <c r="A27" s="64" t="s">
        <v>4</v>
      </c>
      <c r="B27" s="87">
        <v>3000</v>
      </c>
      <c r="C27" s="87">
        <v>3000</v>
      </c>
      <c r="D27" s="87">
        <v>3000</v>
      </c>
      <c r="E27" s="87">
        <v>3000</v>
      </c>
      <c r="F27" s="87">
        <v>3000</v>
      </c>
      <c r="G27" s="87">
        <v>3000</v>
      </c>
      <c r="H27" s="87">
        <v>3000</v>
      </c>
      <c r="I27" s="87">
        <v>3000</v>
      </c>
      <c r="J27" s="87">
        <v>3000</v>
      </c>
      <c r="K27" s="87">
        <v>3000</v>
      </c>
      <c r="L27" s="87">
        <v>3000</v>
      </c>
      <c r="M27" s="87">
        <v>3000</v>
      </c>
    </row>
    <row r="28" spans="1:13" x14ac:dyDescent="0.3">
      <c r="A28" s="64" t="s">
        <v>9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</row>
    <row r="29" spans="1:13" x14ac:dyDescent="0.3">
      <c r="A29" s="64" t="s">
        <v>73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</row>
    <row r="30" spans="1:13" x14ac:dyDescent="0.3">
      <c r="A30" s="64" t="s">
        <v>74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</row>
    <row r="31" spans="1:13" x14ac:dyDescent="0.3">
      <c r="A31" s="64" t="s">
        <v>75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</row>
    <row r="32" spans="1:13" x14ac:dyDescent="0.3">
      <c r="A32" s="64" t="s">
        <v>5</v>
      </c>
      <c r="B32" s="87">
        <v>1500</v>
      </c>
      <c r="C32" s="87">
        <v>1500</v>
      </c>
      <c r="D32" s="87">
        <v>1500</v>
      </c>
      <c r="E32" s="87">
        <v>1500</v>
      </c>
      <c r="F32" s="87">
        <v>1500</v>
      </c>
      <c r="G32" s="87">
        <v>1500</v>
      </c>
      <c r="H32" s="87">
        <v>1500</v>
      </c>
      <c r="I32" s="87">
        <v>2000</v>
      </c>
      <c r="J32" s="87">
        <v>2000</v>
      </c>
      <c r="K32" s="87">
        <v>2000</v>
      </c>
      <c r="L32" s="87">
        <v>2000</v>
      </c>
      <c r="M32" s="87">
        <v>2000</v>
      </c>
    </row>
    <row r="33" spans="1:13" x14ac:dyDescent="0.3">
      <c r="A33" s="64" t="s">
        <v>6</v>
      </c>
      <c r="B33" s="88">
        <f t="shared" ref="B33:M33" si="3">SUM(B24:B32)</f>
        <v>15700</v>
      </c>
      <c r="C33" s="88">
        <f t="shared" si="3"/>
        <v>20200</v>
      </c>
      <c r="D33" s="88">
        <f t="shared" si="3"/>
        <v>4500</v>
      </c>
      <c r="E33" s="88">
        <f t="shared" si="3"/>
        <v>9000</v>
      </c>
      <c r="F33" s="88">
        <f t="shared" si="3"/>
        <v>13500</v>
      </c>
      <c r="G33" s="88">
        <f t="shared" si="3"/>
        <v>18000</v>
      </c>
      <c r="H33" s="88">
        <f t="shared" si="3"/>
        <v>22500</v>
      </c>
      <c r="I33" s="88">
        <f t="shared" si="3"/>
        <v>5000</v>
      </c>
      <c r="J33" s="88">
        <f t="shared" si="3"/>
        <v>10000</v>
      </c>
      <c r="K33" s="88">
        <f t="shared" si="3"/>
        <v>15000</v>
      </c>
      <c r="L33" s="88">
        <f t="shared" si="3"/>
        <v>20000</v>
      </c>
      <c r="M33" s="88">
        <f t="shared" si="3"/>
        <v>25000</v>
      </c>
    </row>
    <row r="34" spans="1:13" ht="21" thickBot="1" x14ac:dyDescent="0.35">
      <c r="A34" s="64" t="s">
        <v>7</v>
      </c>
      <c r="B34" s="89"/>
      <c r="C34" s="89">
        <v>20200</v>
      </c>
      <c r="D34" s="89"/>
      <c r="E34" s="89"/>
      <c r="F34" s="89"/>
      <c r="G34" s="89"/>
      <c r="H34" s="89">
        <v>22500</v>
      </c>
      <c r="I34" s="89"/>
      <c r="J34" s="89"/>
      <c r="K34" s="89"/>
      <c r="L34" s="89"/>
      <c r="M34" s="89"/>
    </row>
    <row r="35" spans="1:13" ht="21" thickBot="1" x14ac:dyDescent="0.35">
      <c r="A35" s="64" t="s">
        <v>111</v>
      </c>
      <c r="B35" s="120">
        <f t="shared" ref="B35:M35" si="4">B33-B34</f>
        <v>15700</v>
      </c>
      <c r="C35" s="121">
        <f t="shared" si="4"/>
        <v>0</v>
      </c>
      <c r="D35" s="121">
        <f t="shared" si="4"/>
        <v>4500</v>
      </c>
      <c r="E35" s="121">
        <f t="shared" si="4"/>
        <v>9000</v>
      </c>
      <c r="F35" s="121">
        <f t="shared" si="4"/>
        <v>13500</v>
      </c>
      <c r="G35" s="121">
        <f t="shared" si="4"/>
        <v>18000</v>
      </c>
      <c r="H35" s="121">
        <f t="shared" si="4"/>
        <v>0</v>
      </c>
      <c r="I35" s="121">
        <f t="shared" si="4"/>
        <v>5000</v>
      </c>
      <c r="J35" s="121">
        <f t="shared" si="4"/>
        <v>10000</v>
      </c>
      <c r="K35" s="121">
        <f t="shared" si="4"/>
        <v>15000</v>
      </c>
      <c r="L35" s="121">
        <f t="shared" si="4"/>
        <v>20000</v>
      </c>
      <c r="M35" s="122">
        <f t="shared" si="4"/>
        <v>25000</v>
      </c>
    </row>
  </sheetData>
  <mergeCells count="1">
    <mergeCell ref="B2:G2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0"/>
  <dimension ref="A6:M39"/>
  <sheetViews>
    <sheetView topLeftCell="A3" workbookViewId="0">
      <selection activeCell="C21" sqref="C21"/>
    </sheetView>
  </sheetViews>
  <sheetFormatPr baseColWidth="10" defaultRowHeight="12.75" x14ac:dyDescent="0.2"/>
  <cols>
    <col min="1" max="1" width="33" customWidth="1"/>
    <col min="12" max="12" width="12.42578125" customWidth="1"/>
    <col min="13" max="13" width="12" bestFit="1" customWidth="1"/>
  </cols>
  <sheetData>
    <row r="6" spans="1:13" ht="20.25" x14ac:dyDescent="0.3">
      <c r="A6" s="11" t="s">
        <v>11</v>
      </c>
      <c r="B6" s="216" t="s">
        <v>140</v>
      </c>
      <c r="C6" s="216"/>
      <c r="D6" s="216"/>
      <c r="E6" s="216"/>
      <c r="F6" s="216"/>
      <c r="G6" s="216"/>
      <c r="H6" s="2"/>
      <c r="I6" s="2"/>
      <c r="J6" s="2"/>
      <c r="K6" s="2"/>
      <c r="L6" s="2"/>
      <c r="M6" s="2"/>
    </row>
    <row r="7" spans="1:13" ht="20.2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31" t="s">
        <v>0</v>
      </c>
      <c r="B8" s="31" t="s">
        <v>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5.75" x14ac:dyDescent="0.25">
      <c r="B9" s="15">
        <v>40544</v>
      </c>
      <c r="C9" s="15">
        <v>40575</v>
      </c>
      <c r="D9" s="15">
        <v>40603</v>
      </c>
      <c r="E9" s="15">
        <v>40634</v>
      </c>
      <c r="F9" s="15">
        <v>40664</v>
      </c>
      <c r="G9" s="15">
        <v>40695</v>
      </c>
      <c r="H9" s="15">
        <v>40725</v>
      </c>
      <c r="I9" s="15">
        <v>40756</v>
      </c>
      <c r="J9" s="15">
        <v>40787</v>
      </c>
      <c r="K9" s="15">
        <v>40817</v>
      </c>
      <c r="L9" s="15">
        <v>40848</v>
      </c>
      <c r="M9" s="15">
        <v>40878</v>
      </c>
    </row>
    <row r="10" spans="1:13" ht="15" x14ac:dyDescent="0.2">
      <c r="A10" s="8" t="s">
        <v>110</v>
      </c>
      <c r="B10" s="22">
        <v>3000</v>
      </c>
      <c r="C10" s="22">
        <f>B21</f>
        <v>3300</v>
      </c>
      <c r="D10" s="22">
        <f t="shared" ref="D10:M10" si="0">C21</f>
        <v>0</v>
      </c>
      <c r="E10" s="22">
        <f t="shared" si="0"/>
        <v>0</v>
      </c>
      <c r="F10" s="22">
        <f t="shared" si="0"/>
        <v>0</v>
      </c>
      <c r="G10" s="22">
        <f t="shared" si="0"/>
        <v>0</v>
      </c>
      <c r="H10" s="22">
        <f t="shared" si="0"/>
        <v>0</v>
      </c>
      <c r="I10" s="22">
        <f t="shared" si="0"/>
        <v>0</v>
      </c>
      <c r="J10" s="22">
        <f t="shared" si="0"/>
        <v>0</v>
      </c>
      <c r="K10" s="22">
        <f>J21</f>
        <v>0</v>
      </c>
      <c r="L10" s="22">
        <f>K21</f>
        <v>0</v>
      </c>
      <c r="M10" s="22">
        <f t="shared" si="0"/>
        <v>0</v>
      </c>
    </row>
    <row r="11" spans="1:13" ht="15" x14ac:dyDescent="0.2">
      <c r="A11" s="8" t="s">
        <v>76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" x14ac:dyDescent="0.2">
      <c r="A15" s="8" t="s">
        <v>73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15" x14ac:dyDescent="0.2">
      <c r="A16" s="8" t="s">
        <v>74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ht="15" x14ac:dyDescent="0.2">
      <c r="A17" s="8" t="s">
        <v>133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ht="15" x14ac:dyDescent="0.2">
      <c r="A18" s="8" t="s">
        <v>5</v>
      </c>
      <c r="B18" s="22">
        <v>300</v>
      </c>
      <c r="C18" s="22">
        <v>300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15" x14ac:dyDescent="0.2">
      <c r="A19" s="8" t="s">
        <v>6</v>
      </c>
      <c r="B19" s="16">
        <f>SUM(B10:B18)</f>
        <v>3300</v>
      </c>
      <c r="C19" s="16">
        <f t="shared" ref="C19:M19" si="1">SUM(C10:C18)</f>
        <v>3600</v>
      </c>
      <c r="D19" s="16">
        <f t="shared" si="1"/>
        <v>0</v>
      </c>
      <c r="E19" s="16">
        <f t="shared" si="1"/>
        <v>0</v>
      </c>
      <c r="F19" s="16">
        <f t="shared" si="1"/>
        <v>0</v>
      </c>
      <c r="G19" s="16">
        <f t="shared" si="1"/>
        <v>0</v>
      </c>
      <c r="H19" s="16">
        <f t="shared" si="1"/>
        <v>0</v>
      </c>
      <c r="I19" s="16">
        <f t="shared" si="1"/>
        <v>0</v>
      </c>
      <c r="J19" s="16">
        <f t="shared" si="1"/>
        <v>0</v>
      </c>
      <c r="K19" s="16">
        <f t="shared" si="1"/>
        <v>0</v>
      </c>
      <c r="L19" s="16">
        <f t="shared" si="1"/>
        <v>0</v>
      </c>
      <c r="M19" s="16">
        <f t="shared" si="1"/>
        <v>0</v>
      </c>
    </row>
    <row r="20" spans="1:13" ht="15" x14ac:dyDescent="0.2">
      <c r="A20" s="8" t="s">
        <v>7</v>
      </c>
      <c r="B20" s="23"/>
      <c r="C20" s="23">
        <v>3600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ht="15" x14ac:dyDescent="0.2">
      <c r="A21" s="8" t="s">
        <v>111</v>
      </c>
      <c r="B21" s="16">
        <f>B19-B20</f>
        <v>3300</v>
      </c>
      <c r="C21" s="16">
        <f>C19-C20</f>
        <v>0</v>
      </c>
      <c r="D21" s="16">
        <f t="shared" ref="D21:M21" si="2">D19-D20</f>
        <v>0</v>
      </c>
      <c r="E21" s="16">
        <f t="shared" si="2"/>
        <v>0</v>
      </c>
      <c r="F21" s="16">
        <f t="shared" si="2"/>
        <v>0</v>
      </c>
      <c r="G21" s="16">
        <f t="shared" si="2"/>
        <v>0</v>
      </c>
      <c r="H21" s="16">
        <f t="shared" si="2"/>
        <v>0</v>
      </c>
      <c r="I21" s="16">
        <f t="shared" si="2"/>
        <v>0</v>
      </c>
      <c r="J21" s="16">
        <f t="shared" si="2"/>
        <v>0</v>
      </c>
      <c r="K21" s="16">
        <f t="shared" si="2"/>
        <v>0</v>
      </c>
      <c r="L21" s="16">
        <f t="shared" si="2"/>
        <v>0</v>
      </c>
      <c r="M21" s="16">
        <f t="shared" si="2"/>
        <v>0</v>
      </c>
    </row>
    <row r="23" spans="1:13" ht="15" x14ac:dyDescent="0.2">
      <c r="A23" s="40" t="s">
        <v>141</v>
      </c>
    </row>
    <row r="24" spans="1:13" ht="15" x14ac:dyDescent="0.2">
      <c r="A24" s="40" t="s">
        <v>182</v>
      </c>
    </row>
    <row r="26" spans="1:13" ht="15.75" x14ac:dyDescent="0.25">
      <c r="A26" s="31" t="s">
        <v>0</v>
      </c>
      <c r="B26" s="31" t="s">
        <v>1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5.75" x14ac:dyDescent="0.25">
      <c r="B27" s="15">
        <v>40179</v>
      </c>
      <c r="C27" s="15">
        <v>40210</v>
      </c>
      <c r="D27" s="15">
        <v>40238</v>
      </c>
      <c r="E27" s="15">
        <v>40269</v>
      </c>
      <c r="F27" s="15">
        <v>40299</v>
      </c>
      <c r="G27" s="15">
        <v>40330</v>
      </c>
      <c r="H27" s="15">
        <v>40360</v>
      </c>
      <c r="I27" s="15">
        <v>40391</v>
      </c>
      <c r="J27" s="15">
        <v>40422</v>
      </c>
      <c r="K27" s="15">
        <v>40452</v>
      </c>
      <c r="L27" s="15">
        <v>40483</v>
      </c>
      <c r="M27" s="15">
        <v>40513</v>
      </c>
    </row>
    <row r="28" spans="1:13" ht="15" x14ac:dyDescent="0.2">
      <c r="A28" s="8" t="s">
        <v>110</v>
      </c>
      <c r="B28" s="22">
        <v>1650</v>
      </c>
      <c r="C28" s="22">
        <f t="shared" ref="C28:M28" si="3">B39</f>
        <v>1800</v>
      </c>
      <c r="D28" s="22">
        <f t="shared" si="3"/>
        <v>0</v>
      </c>
      <c r="E28" s="22">
        <f t="shared" si="3"/>
        <v>300</v>
      </c>
      <c r="F28" s="22">
        <f t="shared" si="3"/>
        <v>600</v>
      </c>
      <c r="G28" s="22">
        <f t="shared" si="3"/>
        <v>900</v>
      </c>
      <c r="H28" s="22">
        <f t="shared" si="3"/>
        <v>1200</v>
      </c>
      <c r="I28" s="22">
        <f t="shared" si="3"/>
        <v>1500</v>
      </c>
      <c r="J28" s="22">
        <f t="shared" si="3"/>
        <v>1800</v>
      </c>
      <c r="K28" s="22">
        <f t="shared" si="3"/>
        <v>2100</v>
      </c>
      <c r="L28" s="22">
        <f t="shared" si="3"/>
        <v>2400</v>
      </c>
      <c r="M28" s="22">
        <f t="shared" si="3"/>
        <v>2700</v>
      </c>
    </row>
    <row r="29" spans="1:13" ht="15" x14ac:dyDescent="0.2">
      <c r="A29" s="8" t="s">
        <v>76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ht="15" x14ac:dyDescent="0.2">
      <c r="A30" s="8" t="s">
        <v>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15" x14ac:dyDescent="0.2">
      <c r="A31" s="8" t="s">
        <v>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15" x14ac:dyDescent="0.2">
      <c r="A32" s="8" t="s">
        <v>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5" x14ac:dyDescent="0.2">
      <c r="A33" s="8" t="s">
        <v>73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t="15" x14ac:dyDescent="0.2">
      <c r="A34" s="8" t="s">
        <v>74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ht="15" x14ac:dyDescent="0.2">
      <c r="A35" s="8" t="s">
        <v>133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ht="15" x14ac:dyDescent="0.2">
      <c r="A36" s="8" t="s">
        <v>5</v>
      </c>
      <c r="B36" s="22">
        <v>150</v>
      </c>
      <c r="C36" s="22">
        <v>150</v>
      </c>
      <c r="D36" s="22">
        <v>300</v>
      </c>
      <c r="E36" s="22">
        <v>300</v>
      </c>
      <c r="F36" s="22">
        <v>300</v>
      </c>
      <c r="G36" s="22">
        <v>300</v>
      </c>
      <c r="H36" s="22">
        <v>300</v>
      </c>
      <c r="I36" s="22">
        <v>300</v>
      </c>
      <c r="J36" s="22">
        <v>300</v>
      </c>
      <c r="K36" s="22">
        <v>300</v>
      </c>
      <c r="L36" s="22">
        <v>300</v>
      </c>
      <c r="M36" s="22">
        <v>300</v>
      </c>
    </row>
    <row r="37" spans="1:13" ht="15" x14ac:dyDescent="0.2">
      <c r="A37" s="8" t="s">
        <v>6</v>
      </c>
      <c r="B37" s="16">
        <f t="shared" ref="B37:M37" si="4">SUM(B28:B36)</f>
        <v>1800</v>
      </c>
      <c r="C37" s="16">
        <f t="shared" si="4"/>
        <v>1950</v>
      </c>
      <c r="D37" s="16">
        <f t="shared" si="4"/>
        <v>300</v>
      </c>
      <c r="E37" s="16">
        <f t="shared" si="4"/>
        <v>600</v>
      </c>
      <c r="F37" s="16">
        <f t="shared" si="4"/>
        <v>900</v>
      </c>
      <c r="G37" s="16">
        <f t="shared" si="4"/>
        <v>1200</v>
      </c>
      <c r="H37" s="16">
        <f t="shared" si="4"/>
        <v>1500</v>
      </c>
      <c r="I37" s="16">
        <f t="shared" si="4"/>
        <v>1800</v>
      </c>
      <c r="J37" s="16">
        <f t="shared" si="4"/>
        <v>2100</v>
      </c>
      <c r="K37" s="16">
        <f t="shared" si="4"/>
        <v>2400</v>
      </c>
      <c r="L37" s="16">
        <f t="shared" si="4"/>
        <v>2700</v>
      </c>
      <c r="M37" s="16">
        <f t="shared" si="4"/>
        <v>3000</v>
      </c>
    </row>
    <row r="38" spans="1:13" ht="15" x14ac:dyDescent="0.2">
      <c r="A38" s="8" t="s">
        <v>7</v>
      </c>
      <c r="B38" s="23"/>
      <c r="C38" s="23">
        <v>1950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15" x14ac:dyDescent="0.2">
      <c r="A39" s="8" t="s">
        <v>111</v>
      </c>
      <c r="B39" s="16">
        <f t="shared" ref="B39:M39" si="5">B37-B38</f>
        <v>1800</v>
      </c>
      <c r="C39" s="16">
        <f t="shared" si="5"/>
        <v>0</v>
      </c>
      <c r="D39" s="16">
        <f t="shared" si="5"/>
        <v>300</v>
      </c>
      <c r="E39" s="16">
        <f t="shared" si="5"/>
        <v>600</v>
      </c>
      <c r="F39" s="16">
        <f t="shared" si="5"/>
        <v>900</v>
      </c>
      <c r="G39" s="16">
        <f t="shared" si="5"/>
        <v>1200</v>
      </c>
      <c r="H39" s="16">
        <f t="shared" si="5"/>
        <v>1500</v>
      </c>
      <c r="I39" s="16">
        <f t="shared" si="5"/>
        <v>1800</v>
      </c>
      <c r="J39" s="16">
        <f t="shared" si="5"/>
        <v>2100</v>
      </c>
      <c r="K39" s="16">
        <f t="shared" si="5"/>
        <v>2400</v>
      </c>
      <c r="L39" s="16">
        <f t="shared" si="5"/>
        <v>2700</v>
      </c>
      <c r="M39" s="16">
        <f t="shared" si="5"/>
        <v>3000</v>
      </c>
    </row>
  </sheetData>
  <mergeCells count="1">
    <mergeCell ref="B6:G6"/>
  </mergeCells>
  <phoneticPr fontId="4" type="noConversion"/>
  <pageMargins left="0.75" right="0.75" top="1" bottom="1" header="0" footer="0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1"/>
  <dimension ref="A1:M33"/>
  <sheetViews>
    <sheetView topLeftCell="A10" workbookViewId="0">
      <selection activeCell="L15" sqref="L15"/>
    </sheetView>
  </sheetViews>
  <sheetFormatPr baseColWidth="10" defaultRowHeight="12.75" x14ac:dyDescent="0.2"/>
  <cols>
    <col min="1" max="1" width="32.28515625" customWidth="1"/>
    <col min="2" max="2" width="12.140625" bestFit="1" customWidth="1"/>
    <col min="11" max="11" width="12.28515625" customWidth="1"/>
    <col min="12" max="12" width="12.7109375" customWidth="1"/>
    <col min="13" max="13" width="12.5703125" customWidth="1"/>
  </cols>
  <sheetData>
    <row r="1" spans="1:13" ht="20.25" x14ac:dyDescent="0.3">
      <c r="A1" s="11" t="s">
        <v>11</v>
      </c>
      <c r="B1" s="216" t="s">
        <v>643</v>
      </c>
      <c r="C1" s="216"/>
      <c r="D1" s="216"/>
      <c r="E1" s="216"/>
      <c r="F1" s="216"/>
      <c r="G1" s="216"/>
      <c r="H1" s="2"/>
      <c r="I1" s="2"/>
      <c r="J1" s="2"/>
      <c r="K1" s="2"/>
      <c r="L1" s="2"/>
      <c r="M1" s="2"/>
    </row>
    <row r="2" spans="1:13" ht="20.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65"/>
      <c r="B4" s="68">
        <v>45658</v>
      </c>
      <c r="C4" s="68">
        <v>45689</v>
      </c>
      <c r="D4" s="68">
        <v>45717</v>
      </c>
      <c r="E4" s="68">
        <v>45748</v>
      </c>
      <c r="F4" s="68">
        <v>45778</v>
      </c>
      <c r="G4" s="68">
        <v>45809</v>
      </c>
      <c r="H4" s="68">
        <v>45839</v>
      </c>
      <c r="I4" s="68">
        <v>45870</v>
      </c>
      <c r="J4" s="68">
        <v>45901</v>
      </c>
      <c r="K4" s="68">
        <v>45931</v>
      </c>
      <c r="L4" s="68">
        <v>45962</v>
      </c>
      <c r="M4" s="68">
        <v>45992</v>
      </c>
    </row>
    <row r="5" spans="1:13" x14ac:dyDescent="0.2">
      <c r="A5" s="65" t="s">
        <v>110</v>
      </c>
      <c r="B5" s="69">
        <v>226800</v>
      </c>
      <c r="C5" s="69">
        <f>B16</f>
        <v>316800</v>
      </c>
      <c r="D5" s="69">
        <f t="shared" ref="D5:M5" si="0">C16</f>
        <v>406800</v>
      </c>
      <c r="E5" s="69">
        <f t="shared" si="0"/>
        <v>-116850</v>
      </c>
      <c r="F5" s="69">
        <f t="shared" si="0"/>
        <v>33150</v>
      </c>
      <c r="G5" s="69">
        <f t="shared" si="0"/>
        <v>193150</v>
      </c>
      <c r="H5" s="69">
        <f t="shared" si="0"/>
        <v>353150</v>
      </c>
      <c r="I5" s="69">
        <f t="shared" si="0"/>
        <v>513150</v>
      </c>
      <c r="J5" s="69">
        <f t="shared" si="0"/>
        <v>673150</v>
      </c>
      <c r="K5" s="69">
        <f>J16</f>
        <v>833150</v>
      </c>
      <c r="L5" s="69">
        <f t="shared" si="0"/>
        <v>993150</v>
      </c>
      <c r="M5" s="69">
        <f t="shared" si="0"/>
        <v>153150</v>
      </c>
    </row>
    <row r="6" spans="1:13" x14ac:dyDescent="0.2">
      <c r="A6" s="65" t="s">
        <v>76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75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>
        <v>90000</v>
      </c>
      <c r="C13" s="69">
        <v>90000</v>
      </c>
      <c r="D13" s="69">
        <v>90000</v>
      </c>
      <c r="E13" s="69">
        <v>150000</v>
      </c>
      <c r="F13" s="69">
        <v>160000</v>
      </c>
      <c r="G13" s="69">
        <v>160000</v>
      </c>
      <c r="H13" s="69">
        <v>160000</v>
      </c>
      <c r="I13" s="69">
        <v>160000</v>
      </c>
      <c r="J13" s="69">
        <v>160000</v>
      </c>
      <c r="K13" s="69">
        <v>160000</v>
      </c>
      <c r="L13" s="69">
        <v>160000</v>
      </c>
      <c r="M13" s="69">
        <v>160000</v>
      </c>
    </row>
    <row r="14" spans="1:13" x14ac:dyDescent="0.2">
      <c r="A14" s="65" t="s">
        <v>6</v>
      </c>
      <c r="B14" s="70">
        <f>SUM(B5:B13)</f>
        <v>316800</v>
      </c>
      <c r="C14" s="70">
        <f t="shared" ref="C14:M14" si="1">SUM(C5:C13)</f>
        <v>406800</v>
      </c>
      <c r="D14" s="70">
        <f t="shared" si="1"/>
        <v>496800</v>
      </c>
      <c r="E14" s="70">
        <f t="shared" si="1"/>
        <v>33150</v>
      </c>
      <c r="F14" s="70">
        <f t="shared" si="1"/>
        <v>193150</v>
      </c>
      <c r="G14" s="70">
        <f t="shared" si="1"/>
        <v>353150</v>
      </c>
      <c r="H14" s="70">
        <f t="shared" si="1"/>
        <v>513150</v>
      </c>
      <c r="I14" s="70">
        <f t="shared" si="1"/>
        <v>673150</v>
      </c>
      <c r="J14" s="70">
        <f t="shared" si="1"/>
        <v>833150</v>
      </c>
      <c r="K14" s="70">
        <f t="shared" si="1"/>
        <v>993150</v>
      </c>
      <c r="L14" s="70">
        <f t="shared" si="1"/>
        <v>1153150</v>
      </c>
      <c r="M14" s="70">
        <f t="shared" si="1"/>
        <v>313150</v>
      </c>
    </row>
    <row r="15" spans="1:13" x14ac:dyDescent="0.2">
      <c r="A15" s="65" t="s">
        <v>7</v>
      </c>
      <c r="B15" s="71"/>
      <c r="C15" s="71"/>
      <c r="D15" s="71">
        <v>613650</v>
      </c>
      <c r="E15" s="71"/>
      <c r="F15" s="71"/>
      <c r="G15" s="71"/>
      <c r="H15" s="71"/>
      <c r="I15" s="71"/>
      <c r="J15" s="71"/>
      <c r="K15" s="71"/>
      <c r="L15" s="71">
        <v>1000000</v>
      </c>
      <c r="M15" s="71">
        <v>319000</v>
      </c>
    </row>
    <row r="16" spans="1:13" x14ac:dyDescent="0.2">
      <c r="A16" s="65" t="s">
        <v>111</v>
      </c>
      <c r="B16" s="70">
        <f>B14-B15</f>
        <v>316800</v>
      </c>
      <c r="C16" s="70">
        <f>C14-C15</f>
        <v>406800</v>
      </c>
      <c r="D16" s="70">
        <f t="shared" ref="D16:M16" si="2">D14-D15</f>
        <v>-116850</v>
      </c>
      <c r="E16" s="70">
        <f t="shared" si="2"/>
        <v>33150</v>
      </c>
      <c r="F16" s="70">
        <f t="shared" si="2"/>
        <v>193150</v>
      </c>
      <c r="G16" s="70">
        <f t="shared" si="2"/>
        <v>353150</v>
      </c>
      <c r="H16" s="70">
        <f t="shared" si="2"/>
        <v>513150</v>
      </c>
      <c r="I16" s="70">
        <f t="shared" si="2"/>
        <v>673150</v>
      </c>
      <c r="J16" s="70">
        <f t="shared" si="2"/>
        <v>833150</v>
      </c>
      <c r="K16" s="70">
        <f t="shared" si="2"/>
        <v>993150</v>
      </c>
      <c r="L16" s="70">
        <f t="shared" si="2"/>
        <v>153150</v>
      </c>
      <c r="M16" s="70">
        <f t="shared" si="2"/>
        <v>-5850</v>
      </c>
    </row>
    <row r="17" spans="1:13" x14ac:dyDescent="0.2">
      <c r="L17" t="s">
        <v>761</v>
      </c>
    </row>
    <row r="19" spans="1:13" ht="15.75" x14ac:dyDescent="0.25">
      <c r="A19" s="31" t="s">
        <v>0</v>
      </c>
      <c r="B19" s="31" t="s">
        <v>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">
      <c r="A20" s="65"/>
      <c r="B20" s="68">
        <v>46023</v>
      </c>
      <c r="C20" s="68">
        <v>46054</v>
      </c>
      <c r="D20" s="68">
        <v>46082</v>
      </c>
      <c r="E20" s="68">
        <v>46113</v>
      </c>
      <c r="F20" s="68">
        <v>46143</v>
      </c>
      <c r="G20" s="68">
        <v>46174</v>
      </c>
      <c r="H20" s="68">
        <v>46204</v>
      </c>
      <c r="I20" s="68">
        <v>46235</v>
      </c>
      <c r="J20" s="68">
        <v>46266</v>
      </c>
      <c r="K20" s="68">
        <v>46296</v>
      </c>
      <c r="L20" s="68">
        <v>46327</v>
      </c>
      <c r="M20" s="68">
        <v>46357</v>
      </c>
    </row>
    <row r="21" spans="1:13" x14ac:dyDescent="0.2">
      <c r="A21" s="65" t="s">
        <v>110</v>
      </c>
      <c r="B21" s="69">
        <v>-5850</v>
      </c>
      <c r="C21" s="69">
        <f t="shared" ref="C21:M21" si="3">B32</f>
        <v>174150</v>
      </c>
      <c r="D21" s="69">
        <f t="shared" si="3"/>
        <v>354150</v>
      </c>
      <c r="E21" s="69">
        <f t="shared" si="3"/>
        <v>534150</v>
      </c>
      <c r="F21" s="69">
        <f t="shared" si="3"/>
        <v>714150</v>
      </c>
      <c r="G21" s="69">
        <f t="shared" si="3"/>
        <v>0</v>
      </c>
      <c r="H21" s="69">
        <f t="shared" si="3"/>
        <v>0</v>
      </c>
      <c r="I21" s="69">
        <f t="shared" si="3"/>
        <v>0</v>
      </c>
      <c r="J21" s="69">
        <f t="shared" si="3"/>
        <v>0</v>
      </c>
      <c r="K21" s="69">
        <f t="shared" si="3"/>
        <v>0</v>
      </c>
      <c r="L21" s="69">
        <f t="shared" si="3"/>
        <v>0</v>
      </c>
      <c r="M21" s="69">
        <f t="shared" si="3"/>
        <v>0</v>
      </c>
    </row>
    <row r="22" spans="1:13" x14ac:dyDescent="0.2">
      <c r="A22" s="65" t="s">
        <v>76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 x14ac:dyDescent="0.2">
      <c r="A23" s="65" t="s">
        <v>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4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73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74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682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5</v>
      </c>
      <c r="B29" s="69">
        <v>180000</v>
      </c>
      <c r="C29" s="69">
        <v>180000</v>
      </c>
      <c r="D29" s="69">
        <v>180000</v>
      </c>
      <c r="E29" s="69">
        <v>180000</v>
      </c>
      <c r="F29" s="69">
        <v>180000</v>
      </c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6</v>
      </c>
      <c r="B30" s="70">
        <f>SUM(B21:B29)</f>
        <v>174150</v>
      </c>
      <c r="C30" s="70">
        <f t="shared" ref="C30:M30" si="4">SUM(C21:C29)</f>
        <v>354150</v>
      </c>
      <c r="D30" s="70">
        <f t="shared" si="4"/>
        <v>534150</v>
      </c>
      <c r="E30" s="70">
        <f t="shared" si="4"/>
        <v>714150</v>
      </c>
      <c r="F30" s="70">
        <f t="shared" si="4"/>
        <v>894150</v>
      </c>
      <c r="G30" s="70">
        <f t="shared" si="4"/>
        <v>0</v>
      </c>
      <c r="H30" s="70">
        <f t="shared" si="4"/>
        <v>0</v>
      </c>
      <c r="I30" s="70">
        <f t="shared" si="4"/>
        <v>0</v>
      </c>
      <c r="J30" s="70">
        <f t="shared" si="4"/>
        <v>0</v>
      </c>
      <c r="K30" s="70">
        <f t="shared" si="4"/>
        <v>0</v>
      </c>
      <c r="L30" s="70">
        <f t="shared" si="4"/>
        <v>0</v>
      </c>
      <c r="M30" s="70">
        <f t="shared" si="4"/>
        <v>0</v>
      </c>
    </row>
    <row r="31" spans="1:13" x14ac:dyDescent="0.2">
      <c r="A31" s="65" t="s">
        <v>7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</row>
    <row r="32" spans="1:13" x14ac:dyDescent="0.2">
      <c r="A32" s="65" t="s">
        <v>111</v>
      </c>
      <c r="B32" s="70">
        <f>B30-B31</f>
        <v>174150</v>
      </c>
      <c r="C32" s="70">
        <f>C30-C31</f>
        <v>354150</v>
      </c>
      <c r="D32" s="70">
        <f t="shared" ref="D32:M32" si="5">D30-D31</f>
        <v>534150</v>
      </c>
      <c r="E32" s="70">
        <f t="shared" si="5"/>
        <v>714150</v>
      </c>
      <c r="F32" s="70"/>
      <c r="G32" s="70">
        <f t="shared" si="5"/>
        <v>0</v>
      </c>
      <c r="H32" s="70">
        <f t="shared" si="5"/>
        <v>0</v>
      </c>
      <c r="I32" s="70">
        <f t="shared" si="5"/>
        <v>0</v>
      </c>
      <c r="J32" s="70">
        <f t="shared" si="5"/>
        <v>0</v>
      </c>
      <c r="K32" s="70">
        <f t="shared" si="5"/>
        <v>0</v>
      </c>
      <c r="L32" s="70">
        <f t="shared" si="5"/>
        <v>0</v>
      </c>
      <c r="M32" s="70">
        <f t="shared" si="5"/>
        <v>0</v>
      </c>
    </row>
    <row r="33" spans="4:4" x14ac:dyDescent="0.2">
      <c r="D33" t="s">
        <v>675</v>
      </c>
    </row>
  </sheetData>
  <mergeCells count="1">
    <mergeCell ref="B1:G1"/>
  </mergeCells>
  <phoneticPr fontId="4" type="noConversion"/>
  <pageMargins left="0.75" right="0.75" top="1" bottom="1" header="0" footer="0"/>
  <pageSetup paperSize="9" orientation="portrait" horizontalDpi="4294967295" verticalDpi="4294967295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2"/>
  <dimension ref="A2:M34"/>
  <sheetViews>
    <sheetView topLeftCell="A46" workbookViewId="0">
      <selection activeCell="G17" sqref="G17"/>
    </sheetView>
  </sheetViews>
  <sheetFormatPr baseColWidth="10" defaultRowHeight="12.75" x14ac:dyDescent="0.2"/>
  <cols>
    <col min="1" max="1" width="30.5703125" customWidth="1"/>
  </cols>
  <sheetData>
    <row r="2" spans="1:13" ht="20.25" x14ac:dyDescent="0.3">
      <c r="A2" s="11" t="s">
        <v>11</v>
      </c>
      <c r="B2" s="216" t="s">
        <v>207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x14ac:dyDescent="0.2">
      <c r="A5" s="78"/>
      <c r="B5" s="79">
        <v>41640</v>
      </c>
      <c r="C5" s="79">
        <v>41671</v>
      </c>
      <c r="D5" s="79">
        <v>41699</v>
      </c>
      <c r="E5" s="79">
        <v>41730</v>
      </c>
      <c r="F5" s="79">
        <v>41760</v>
      </c>
      <c r="G5" s="79">
        <v>41791</v>
      </c>
      <c r="H5" s="79">
        <v>41821</v>
      </c>
      <c r="I5" s="79">
        <v>41852</v>
      </c>
      <c r="J5" s="79">
        <v>41883</v>
      </c>
      <c r="K5" s="79">
        <v>41913</v>
      </c>
      <c r="L5" s="79">
        <v>41944</v>
      </c>
      <c r="M5" s="79">
        <v>41974</v>
      </c>
    </row>
    <row r="6" spans="1:13" x14ac:dyDescent="0.2">
      <c r="A6" s="7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0</v>
      </c>
      <c r="G6" s="42">
        <f t="shared" si="0"/>
        <v>400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>J17</f>
        <v>0</v>
      </c>
      <c r="L6" s="42">
        <f t="shared" si="0"/>
        <v>0</v>
      </c>
      <c r="M6" s="42">
        <f t="shared" si="0"/>
        <v>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400</v>
      </c>
      <c r="C14" s="42">
        <v>400</v>
      </c>
      <c r="D14" s="42">
        <v>400</v>
      </c>
      <c r="E14" s="42">
        <v>400</v>
      </c>
      <c r="F14" s="42">
        <v>400</v>
      </c>
      <c r="G14" s="42">
        <v>400</v>
      </c>
      <c r="H14" s="42"/>
      <c r="I14" s="42"/>
      <c r="J14" s="42"/>
      <c r="K14" s="42"/>
      <c r="L14" s="42"/>
      <c r="M14" s="42"/>
    </row>
    <row r="15" spans="1:13" x14ac:dyDescent="0.2">
      <c r="A15" s="78" t="s">
        <v>6</v>
      </c>
      <c r="B15" s="43">
        <f>SUM(B6:B14)</f>
        <v>400</v>
      </c>
      <c r="C15" s="43">
        <f t="shared" ref="C15:M15" si="1">SUM(C6:C14)</f>
        <v>400</v>
      </c>
      <c r="D15" s="43">
        <f t="shared" si="1"/>
        <v>400</v>
      </c>
      <c r="E15" s="43">
        <f t="shared" si="1"/>
        <v>400</v>
      </c>
      <c r="F15" s="43">
        <f t="shared" si="1"/>
        <v>400</v>
      </c>
      <c r="G15" s="43">
        <f t="shared" si="1"/>
        <v>800</v>
      </c>
      <c r="H15" s="43">
        <f t="shared" si="1"/>
        <v>0</v>
      </c>
      <c r="I15" s="43">
        <f t="shared" si="1"/>
        <v>0</v>
      </c>
      <c r="J15" s="43">
        <f t="shared" si="1"/>
        <v>0</v>
      </c>
      <c r="K15" s="43">
        <f t="shared" si="1"/>
        <v>0</v>
      </c>
      <c r="L15" s="43">
        <f t="shared" si="1"/>
        <v>0</v>
      </c>
      <c r="M15" s="43">
        <f t="shared" si="1"/>
        <v>0</v>
      </c>
    </row>
    <row r="16" spans="1:13" x14ac:dyDescent="0.2">
      <c r="A16" s="78" t="s">
        <v>7</v>
      </c>
      <c r="B16" s="44">
        <v>400</v>
      </c>
      <c r="C16" s="44">
        <v>400</v>
      </c>
      <c r="D16" s="44">
        <v>400</v>
      </c>
      <c r="E16" s="44">
        <v>400</v>
      </c>
      <c r="F16" s="44"/>
      <c r="G16" s="44">
        <v>800</v>
      </c>
      <c r="H16" s="44"/>
      <c r="I16" s="44"/>
      <c r="J16" s="44"/>
      <c r="K16" s="44"/>
      <c r="L16" s="44"/>
      <c r="M16" s="44"/>
    </row>
    <row r="17" spans="1:13" x14ac:dyDescent="0.2">
      <c r="A17" s="7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0</v>
      </c>
      <c r="F17" s="43">
        <f t="shared" si="2"/>
        <v>400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0</v>
      </c>
      <c r="L17" s="43">
        <f t="shared" si="2"/>
        <v>0</v>
      </c>
      <c r="M17" s="43">
        <f t="shared" si="2"/>
        <v>0</v>
      </c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50" t="s">
        <v>0</v>
      </c>
      <c r="B20" s="50" t="s">
        <v>1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2">
      <c r="A21" s="78"/>
      <c r="B21" s="79">
        <v>41275</v>
      </c>
      <c r="C21" s="79">
        <v>41306</v>
      </c>
      <c r="D21" s="79">
        <v>41334</v>
      </c>
      <c r="E21" s="79">
        <v>41365</v>
      </c>
      <c r="F21" s="79">
        <v>41395</v>
      </c>
      <c r="G21" s="79">
        <v>41426</v>
      </c>
      <c r="H21" s="79">
        <v>41456</v>
      </c>
      <c r="I21" s="79">
        <v>41487</v>
      </c>
      <c r="J21" s="79">
        <v>41518</v>
      </c>
      <c r="K21" s="79">
        <v>41548</v>
      </c>
      <c r="L21" s="79">
        <v>41579</v>
      </c>
      <c r="M21" s="79">
        <v>41609</v>
      </c>
    </row>
    <row r="22" spans="1:13" x14ac:dyDescent="0.2">
      <c r="A22" s="78" t="s">
        <v>110</v>
      </c>
      <c r="B22" s="42"/>
      <c r="C22" s="42">
        <f t="shared" ref="C22:M22" si="3">B33</f>
        <v>400</v>
      </c>
      <c r="D22" s="42">
        <f t="shared" si="3"/>
        <v>0</v>
      </c>
      <c r="E22" s="42">
        <f t="shared" si="3"/>
        <v>0</v>
      </c>
      <c r="F22" s="42">
        <f t="shared" si="3"/>
        <v>400</v>
      </c>
      <c r="G22" s="42">
        <f t="shared" si="3"/>
        <v>0</v>
      </c>
      <c r="H22" s="42">
        <f t="shared" si="3"/>
        <v>0</v>
      </c>
      <c r="I22" s="42">
        <f t="shared" si="3"/>
        <v>0</v>
      </c>
      <c r="J22" s="42">
        <f t="shared" si="3"/>
        <v>0</v>
      </c>
      <c r="K22" s="42">
        <f t="shared" si="3"/>
        <v>0</v>
      </c>
      <c r="L22" s="42">
        <f t="shared" si="3"/>
        <v>0</v>
      </c>
      <c r="M22" s="42">
        <f t="shared" si="3"/>
        <v>0</v>
      </c>
    </row>
    <row r="23" spans="1:13" x14ac:dyDescent="0.2">
      <c r="A23" s="78" t="s">
        <v>76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5</v>
      </c>
      <c r="B30" s="42">
        <v>400</v>
      </c>
      <c r="C30" s="42">
        <v>400</v>
      </c>
      <c r="D30" s="42">
        <v>400</v>
      </c>
      <c r="E30" s="42">
        <v>400</v>
      </c>
      <c r="F30" s="42">
        <v>400</v>
      </c>
      <c r="G30" s="42">
        <v>400</v>
      </c>
      <c r="H30" s="42">
        <v>400</v>
      </c>
      <c r="I30" s="42">
        <v>400</v>
      </c>
      <c r="J30" s="42">
        <v>400</v>
      </c>
      <c r="K30" s="42">
        <v>400</v>
      </c>
      <c r="L30" s="42">
        <v>400</v>
      </c>
      <c r="M30" s="42">
        <v>400</v>
      </c>
    </row>
    <row r="31" spans="1:13" x14ac:dyDescent="0.2">
      <c r="A31" s="78" t="s">
        <v>6</v>
      </c>
      <c r="B31" s="43">
        <f t="shared" ref="B31:M31" si="4">SUM(B22:B30)</f>
        <v>400</v>
      </c>
      <c r="C31" s="43">
        <f t="shared" si="4"/>
        <v>800</v>
      </c>
      <c r="D31" s="43">
        <f t="shared" si="4"/>
        <v>400</v>
      </c>
      <c r="E31" s="43">
        <f t="shared" si="4"/>
        <v>400</v>
      </c>
      <c r="F31" s="43">
        <f t="shared" si="4"/>
        <v>800</v>
      </c>
      <c r="G31" s="43">
        <f t="shared" si="4"/>
        <v>400</v>
      </c>
      <c r="H31" s="43">
        <f t="shared" si="4"/>
        <v>400</v>
      </c>
      <c r="I31" s="43">
        <f t="shared" si="4"/>
        <v>400</v>
      </c>
      <c r="J31" s="43">
        <f t="shared" si="4"/>
        <v>400</v>
      </c>
      <c r="K31" s="43">
        <f t="shared" si="4"/>
        <v>400</v>
      </c>
      <c r="L31" s="43">
        <f t="shared" si="4"/>
        <v>400</v>
      </c>
      <c r="M31" s="43">
        <f t="shared" si="4"/>
        <v>400</v>
      </c>
    </row>
    <row r="32" spans="1:13" x14ac:dyDescent="0.2">
      <c r="A32" s="78" t="s">
        <v>7</v>
      </c>
      <c r="B32" s="44"/>
      <c r="C32" s="44">
        <v>800</v>
      </c>
      <c r="D32" s="44">
        <v>400</v>
      </c>
      <c r="E32" s="44"/>
      <c r="F32" s="44">
        <v>800</v>
      </c>
      <c r="G32" s="44">
        <v>400</v>
      </c>
      <c r="H32" s="44">
        <v>400</v>
      </c>
      <c r="I32" s="44">
        <v>400</v>
      </c>
      <c r="J32" s="44">
        <v>400</v>
      </c>
      <c r="K32" s="44">
        <v>400</v>
      </c>
      <c r="L32" s="44">
        <v>400</v>
      </c>
      <c r="M32" s="44">
        <v>400</v>
      </c>
    </row>
    <row r="33" spans="1:13" x14ac:dyDescent="0.2">
      <c r="A33" s="78" t="s">
        <v>111</v>
      </c>
      <c r="B33" s="43">
        <f t="shared" ref="B33:M33" si="5">B31-B32</f>
        <v>400</v>
      </c>
      <c r="C33" s="43">
        <f t="shared" si="5"/>
        <v>0</v>
      </c>
      <c r="D33" s="43">
        <f t="shared" si="5"/>
        <v>0</v>
      </c>
      <c r="E33" s="43">
        <f t="shared" si="5"/>
        <v>400</v>
      </c>
      <c r="F33" s="43">
        <f t="shared" si="5"/>
        <v>0</v>
      </c>
      <c r="G33" s="43">
        <f t="shared" si="5"/>
        <v>0</v>
      </c>
      <c r="H33" s="43">
        <f t="shared" si="5"/>
        <v>0</v>
      </c>
      <c r="I33" s="43">
        <f t="shared" si="5"/>
        <v>0</v>
      </c>
      <c r="J33" s="43">
        <f t="shared" si="5"/>
        <v>0</v>
      </c>
      <c r="K33" s="43">
        <f t="shared" si="5"/>
        <v>0</v>
      </c>
      <c r="L33" s="43">
        <f t="shared" si="5"/>
        <v>0</v>
      </c>
      <c r="M33" s="43">
        <f t="shared" si="5"/>
        <v>0</v>
      </c>
    </row>
    <row r="34" spans="1:13" x14ac:dyDescent="0.2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</row>
  </sheetData>
  <mergeCells count="1">
    <mergeCell ref="B2:G2"/>
  </mergeCells>
  <phoneticPr fontId="4" type="noConversion"/>
  <pageMargins left="0.75" right="0.75" top="1" bottom="1" header="0" footer="0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3"/>
  <dimension ref="A2:M35"/>
  <sheetViews>
    <sheetView workbookViewId="0">
      <selection activeCell="M41" sqref="M41"/>
    </sheetView>
  </sheetViews>
  <sheetFormatPr baseColWidth="10" defaultRowHeight="12.75" x14ac:dyDescent="0.2"/>
  <cols>
    <col min="1" max="1" width="33.42578125" customWidth="1"/>
    <col min="2" max="2" width="12.28515625" customWidth="1"/>
  </cols>
  <sheetData>
    <row r="2" spans="1:13" ht="20.25" x14ac:dyDescent="0.3">
      <c r="A2" s="11" t="s">
        <v>11</v>
      </c>
      <c r="B2" s="216" t="s">
        <v>206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3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" x14ac:dyDescent="0.2">
      <c r="A5" s="8"/>
      <c r="B5" s="93">
        <v>41640</v>
      </c>
      <c r="C5" s="93">
        <v>41671</v>
      </c>
      <c r="D5" s="93">
        <v>41699</v>
      </c>
      <c r="E5" s="93">
        <v>41730</v>
      </c>
      <c r="F5" s="93">
        <v>41760</v>
      </c>
      <c r="G5" s="93">
        <v>41791</v>
      </c>
      <c r="H5" s="93">
        <v>41821</v>
      </c>
      <c r="I5" s="93">
        <v>41852</v>
      </c>
      <c r="J5" s="93">
        <v>41883</v>
      </c>
      <c r="K5" s="93">
        <v>41913</v>
      </c>
      <c r="L5" s="93">
        <v>41944</v>
      </c>
      <c r="M5" s="93">
        <v>41974</v>
      </c>
    </row>
    <row r="6" spans="1:13" ht="15" x14ac:dyDescent="0.2">
      <c r="A6" s="8" t="s">
        <v>110</v>
      </c>
      <c r="B6" s="94"/>
      <c r="C6" s="94">
        <f>B17</f>
        <v>0</v>
      </c>
      <c r="D6" s="94">
        <f t="shared" ref="D6:M6" si="0">C17</f>
        <v>0</v>
      </c>
      <c r="E6" s="94">
        <f t="shared" si="0"/>
        <v>0</v>
      </c>
      <c r="F6" s="94">
        <f t="shared" si="0"/>
        <v>0</v>
      </c>
      <c r="G6" s="94">
        <f t="shared" si="0"/>
        <v>0</v>
      </c>
      <c r="H6" s="94">
        <f t="shared" si="0"/>
        <v>0</v>
      </c>
      <c r="I6" s="94">
        <f t="shared" si="0"/>
        <v>0</v>
      </c>
      <c r="J6" s="94">
        <f t="shared" si="0"/>
        <v>0</v>
      </c>
      <c r="K6" s="94">
        <f>J17</f>
        <v>0</v>
      </c>
      <c r="L6" s="94">
        <f t="shared" si="0"/>
        <v>0</v>
      </c>
      <c r="M6" s="94">
        <f t="shared" si="0"/>
        <v>0</v>
      </c>
    </row>
    <row r="7" spans="1:13" ht="15" x14ac:dyDescent="0.2">
      <c r="A7" s="8" t="s">
        <v>76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</row>
    <row r="8" spans="1:13" ht="15" x14ac:dyDescent="0.2">
      <c r="A8" s="8" t="s">
        <v>3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</row>
    <row r="9" spans="1:13" ht="15" x14ac:dyDescent="0.2">
      <c r="A9" s="8" t="s">
        <v>4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</row>
    <row r="10" spans="1:13" ht="15" x14ac:dyDescent="0.2">
      <c r="A10" s="8" t="s">
        <v>9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</row>
    <row r="11" spans="1:13" ht="15" x14ac:dyDescent="0.2">
      <c r="A11" s="8" t="s">
        <v>73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</row>
    <row r="12" spans="1:13" ht="15" x14ac:dyDescent="0.2">
      <c r="A12" s="8" t="s">
        <v>74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</row>
    <row r="13" spans="1:13" ht="15" x14ac:dyDescent="0.2">
      <c r="A13" s="8" t="s">
        <v>75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</row>
    <row r="14" spans="1:13" ht="15" x14ac:dyDescent="0.2">
      <c r="A14" s="8" t="s">
        <v>5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>
        <v>500</v>
      </c>
    </row>
    <row r="15" spans="1:13" ht="15" x14ac:dyDescent="0.2">
      <c r="A15" s="8" t="s">
        <v>6</v>
      </c>
      <c r="B15" s="95">
        <f>SUM(B6:B14)</f>
        <v>0</v>
      </c>
      <c r="C15" s="95">
        <f t="shared" ref="C15:M15" si="1">SUM(C6:C14)</f>
        <v>0</v>
      </c>
      <c r="D15" s="95">
        <f t="shared" si="1"/>
        <v>0</v>
      </c>
      <c r="E15" s="95">
        <f t="shared" si="1"/>
        <v>0</v>
      </c>
      <c r="F15" s="95">
        <f t="shared" si="1"/>
        <v>0</v>
      </c>
      <c r="G15" s="95">
        <f t="shared" si="1"/>
        <v>0</v>
      </c>
      <c r="H15" s="95">
        <f t="shared" si="1"/>
        <v>0</v>
      </c>
      <c r="I15" s="95">
        <f t="shared" si="1"/>
        <v>0</v>
      </c>
      <c r="J15" s="95">
        <f t="shared" si="1"/>
        <v>0</v>
      </c>
      <c r="K15" s="95">
        <f t="shared" si="1"/>
        <v>0</v>
      </c>
      <c r="L15" s="95">
        <f t="shared" si="1"/>
        <v>0</v>
      </c>
      <c r="M15" s="95">
        <f t="shared" si="1"/>
        <v>500</v>
      </c>
    </row>
    <row r="16" spans="1:13" ht="15" x14ac:dyDescent="0.2">
      <c r="A16" s="8" t="s">
        <v>7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>
        <v>500</v>
      </c>
    </row>
    <row r="17" spans="1:13" ht="15" x14ac:dyDescent="0.2">
      <c r="A17" s="8" t="s">
        <v>111</v>
      </c>
      <c r="B17" s="95">
        <f>B15-B16</f>
        <v>0</v>
      </c>
      <c r="C17" s="95">
        <f>C15-C16</f>
        <v>0</v>
      </c>
      <c r="D17" s="95">
        <f t="shared" ref="D17:M17" si="2">D15-D16</f>
        <v>0</v>
      </c>
      <c r="E17" s="95">
        <f t="shared" si="2"/>
        <v>0</v>
      </c>
      <c r="F17" s="95">
        <f t="shared" si="2"/>
        <v>0</v>
      </c>
      <c r="G17" s="95">
        <f t="shared" si="2"/>
        <v>0</v>
      </c>
      <c r="H17" s="95">
        <f t="shared" si="2"/>
        <v>0</v>
      </c>
      <c r="I17" s="95">
        <f t="shared" si="2"/>
        <v>0</v>
      </c>
      <c r="J17" s="95">
        <f t="shared" si="2"/>
        <v>0</v>
      </c>
      <c r="K17" s="95">
        <f t="shared" si="2"/>
        <v>0</v>
      </c>
      <c r="L17" s="95">
        <f t="shared" si="2"/>
        <v>0</v>
      </c>
      <c r="M17" s="95">
        <f t="shared" si="2"/>
        <v>0</v>
      </c>
    </row>
    <row r="20" spans="1:13" ht="20.25" x14ac:dyDescent="0.3">
      <c r="A20" s="11" t="s">
        <v>11</v>
      </c>
      <c r="B20" s="216" t="s">
        <v>206</v>
      </c>
      <c r="C20" s="216"/>
      <c r="D20" s="216"/>
      <c r="E20" s="216"/>
      <c r="F20" s="216"/>
      <c r="G20" s="216"/>
      <c r="H20" s="2"/>
      <c r="I20" s="2"/>
      <c r="J20" s="2"/>
      <c r="K20" s="2"/>
      <c r="L20" s="2"/>
      <c r="M20" s="2"/>
    </row>
    <row r="21" spans="1:13" ht="20.2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.75" x14ac:dyDescent="0.25">
      <c r="A22" s="31" t="s">
        <v>0</v>
      </c>
      <c r="B22" s="31" t="s">
        <v>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5.75" x14ac:dyDescent="0.25">
      <c r="A23" s="8"/>
      <c r="B23" s="15">
        <v>40179</v>
      </c>
      <c r="C23" s="15">
        <v>40210</v>
      </c>
      <c r="D23" s="15">
        <v>40238</v>
      </c>
      <c r="E23" s="15">
        <v>40269</v>
      </c>
      <c r="F23" s="15">
        <v>40299</v>
      </c>
      <c r="G23" s="15">
        <v>40330</v>
      </c>
      <c r="H23" s="15">
        <v>40360</v>
      </c>
      <c r="I23" s="15">
        <v>40391</v>
      </c>
      <c r="J23" s="15">
        <v>40422</v>
      </c>
      <c r="K23" s="15">
        <v>40452</v>
      </c>
      <c r="L23" s="15">
        <v>40483</v>
      </c>
      <c r="M23" s="15">
        <v>40513</v>
      </c>
    </row>
    <row r="24" spans="1:13" ht="15" x14ac:dyDescent="0.2">
      <c r="A24" s="8" t="s">
        <v>110</v>
      </c>
      <c r="B24" s="22"/>
      <c r="C24" s="22">
        <f t="shared" ref="C24:M24" si="3">B35</f>
        <v>0</v>
      </c>
      <c r="D24" s="22">
        <f t="shared" si="3"/>
        <v>0</v>
      </c>
      <c r="E24" s="22">
        <f t="shared" si="3"/>
        <v>0</v>
      </c>
      <c r="F24" s="22">
        <f t="shared" si="3"/>
        <v>0</v>
      </c>
      <c r="G24" s="22">
        <f t="shared" si="3"/>
        <v>0</v>
      </c>
      <c r="H24" s="22">
        <f t="shared" si="3"/>
        <v>0</v>
      </c>
      <c r="I24" s="22">
        <f t="shared" si="3"/>
        <v>0</v>
      </c>
      <c r="J24" s="22">
        <f t="shared" si="3"/>
        <v>0</v>
      </c>
      <c r="K24" s="22">
        <f t="shared" si="3"/>
        <v>0</v>
      </c>
      <c r="L24" s="22">
        <f t="shared" si="3"/>
        <v>1000</v>
      </c>
      <c r="M24" s="22">
        <f t="shared" si="3"/>
        <v>0</v>
      </c>
    </row>
    <row r="25" spans="1:13" ht="15" x14ac:dyDescent="0.2">
      <c r="A25" s="8" t="s">
        <v>76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15" x14ac:dyDescent="0.2">
      <c r="A26" s="8" t="s">
        <v>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ht="15" x14ac:dyDescent="0.2">
      <c r="A27" s="8" t="s">
        <v>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ht="15" x14ac:dyDescent="0.2">
      <c r="A28" s="8" t="s">
        <v>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ht="15" x14ac:dyDescent="0.2">
      <c r="A29" s="8" t="s">
        <v>73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ht="15" x14ac:dyDescent="0.2">
      <c r="A30" s="8" t="s">
        <v>74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15" x14ac:dyDescent="0.2">
      <c r="A31" s="8" t="s">
        <v>75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15" x14ac:dyDescent="0.2">
      <c r="A32" s="8" t="s">
        <v>5</v>
      </c>
      <c r="B32" s="22"/>
      <c r="C32" s="22"/>
      <c r="D32" s="22"/>
      <c r="E32" s="22"/>
      <c r="F32" s="22"/>
      <c r="G32" s="22"/>
      <c r="H32" s="22"/>
      <c r="I32" s="22"/>
      <c r="J32" s="22"/>
      <c r="K32" s="22">
        <v>1000</v>
      </c>
      <c r="L32" s="22"/>
      <c r="M32" s="22"/>
    </row>
    <row r="33" spans="1:13" ht="15" x14ac:dyDescent="0.2">
      <c r="A33" s="8" t="s">
        <v>6</v>
      </c>
      <c r="B33" s="16">
        <f t="shared" ref="B33:L33" si="4">SUM(B24:B32)</f>
        <v>0</v>
      </c>
      <c r="C33" s="16">
        <f t="shared" si="4"/>
        <v>0</v>
      </c>
      <c r="D33" s="16">
        <f t="shared" si="4"/>
        <v>0</v>
      </c>
      <c r="E33" s="16">
        <f t="shared" si="4"/>
        <v>0</v>
      </c>
      <c r="F33" s="16">
        <f t="shared" si="4"/>
        <v>0</v>
      </c>
      <c r="G33" s="16">
        <f t="shared" si="4"/>
        <v>0</v>
      </c>
      <c r="H33" s="16">
        <f t="shared" si="4"/>
        <v>0</v>
      </c>
      <c r="I33" s="16">
        <f t="shared" si="4"/>
        <v>0</v>
      </c>
      <c r="J33" s="16">
        <f t="shared" si="4"/>
        <v>0</v>
      </c>
      <c r="K33" s="16">
        <f t="shared" si="4"/>
        <v>1000</v>
      </c>
      <c r="L33" s="16">
        <f t="shared" si="4"/>
        <v>1000</v>
      </c>
      <c r="M33" s="16"/>
    </row>
    <row r="34" spans="1:13" ht="15" x14ac:dyDescent="0.2">
      <c r="A34" s="8" t="s">
        <v>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>
        <v>1000</v>
      </c>
      <c r="M34" s="23"/>
    </row>
    <row r="35" spans="1:13" ht="15" x14ac:dyDescent="0.2">
      <c r="A35" s="8" t="s">
        <v>111</v>
      </c>
      <c r="B35" s="16">
        <f t="shared" ref="B35:M35" si="5">B33-B34</f>
        <v>0</v>
      </c>
      <c r="C35" s="16">
        <f t="shared" si="5"/>
        <v>0</v>
      </c>
      <c r="D35" s="16">
        <f t="shared" si="5"/>
        <v>0</v>
      </c>
      <c r="E35" s="16">
        <f t="shared" si="5"/>
        <v>0</v>
      </c>
      <c r="F35" s="16">
        <f t="shared" si="5"/>
        <v>0</v>
      </c>
      <c r="G35" s="16">
        <f t="shared" si="5"/>
        <v>0</v>
      </c>
      <c r="H35" s="16">
        <f t="shared" si="5"/>
        <v>0</v>
      </c>
      <c r="I35" s="16">
        <f t="shared" si="5"/>
        <v>0</v>
      </c>
      <c r="J35" s="16">
        <f t="shared" si="5"/>
        <v>0</v>
      </c>
      <c r="K35" s="16">
        <f t="shared" si="5"/>
        <v>1000</v>
      </c>
      <c r="L35" s="16">
        <f t="shared" si="5"/>
        <v>0</v>
      </c>
      <c r="M35" s="16">
        <f t="shared" si="5"/>
        <v>0</v>
      </c>
    </row>
  </sheetData>
  <mergeCells count="2">
    <mergeCell ref="B2:G2"/>
    <mergeCell ref="B20:G20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4"/>
  <dimension ref="A3:M18"/>
  <sheetViews>
    <sheetView topLeftCell="A4" workbookViewId="0">
      <selection activeCell="G17" sqref="G17"/>
    </sheetView>
  </sheetViews>
  <sheetFormatPr baseColWidth="10" defaultRowHeight="12.75" x14ac:dyDescent="0.2"/>
  <cols>
    <col min="1" max="1" width="34.42578125" customWidth="1"/>
  </cols>
  <sheetData>
    <row r="3" spans="1:13" ht="20.25" x14ac:dyDescent="0.3">
      <c r="A3" s="11" t="s">
        <v>11</v>
      </c>
      <c r="B3" s="216" t="s">
        <v>71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x14ac:dyDescent="0.25">
      <c r="A6" s="8"/>
      <c r="B6" s="15">
        <v>40179</v>
      </c>
      <c r="C6" s="15">
        <v>40210</v>
      </c>
      <c r="D6" s="15">
        <v>40238</v>
      </c>
      <c r="E6" s="15">
        <v>40269</v>
      </c>
      <c r="F6" s="15">
        <v>40299</v>
      </c>
      <c r="G6" s="15">
        <v>40330</v>
      </c>
      <c r="H6" s="15">
        <v>40360</v>
      </c>
      <c r="I6" s="15">
        <v>40391</v>
      </c>
      <c r="J6" s="15">
        <v>40422</v>
      </c>
      <c r="K6" s="15">
        <v>40452</v>
      </c>
      <c r="L6" s="15">
        <v>40483</v>
      </c>
      <c r="M6" s="15">
        <v>40513</v>
      </c>
    </row>
    <row r="7" spans="1:13" ht="15" x14ac:dyDescent="0.2">
      <c r="A7" s="8" t="s">
        <v>110</v>
      </c>
      <c r="B7" s="22"/>
      <c r="C7" s="22">
        <f>B18</f>
        <v>0</v>
      </c>
      <c r="D7" s="22">
        <f t="shared" ref="D7:M7" si="0">C18</f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22">
        <f t="shared" si="0"/>
        <v>0</v>
      </c>
      <c r="J7" s="22">
        <f t="shared" si="0"/>
        <v>0</v>
      </c>
      <c r="K7" s="22">
        <f>J18</f>
        <v>0</v>
      </c>
      <c r="L7" s="22">
        <f t="shared" si="0"/>
        <v>0</v>
      </c>
      <c r="M7" s="22">
        <f t="shared" si="0"/>
        <v>0</v>
      </c>
    </row>
    <row r="8" spans="1:13" ht="15" x14ac:dyDescent="0.2">
      <c r="A8" s="8" t="s">
        <v>76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ht="15" x14ac:dyDescent="0.2">
      <c r="A9" s="8" t="s">
        <v>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15" x14ac:dyDescent="0.2">
      <c r="A10" s="8" t="s">
        <v>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15" x14ac:dyDescent="0.2">
      <c r="A11" s="8" t="s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73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74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75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" x14ac:dyDescent="0.2">
      <c r="A15" s="8" t="s">
        <v>5</v>
      </c>
      <c r="B15" s="22"/>
      <c r="C15" s="22"/>
      <c r="D15" s="22"/>
      <c r="E15" s="22"/>
      <c r="F15" s="22">
        <v>200</v>
      </c>
      <c r="G15" s="22"/>
      <c r="H15" s="22"/>
      <c r="I15" s="22"/>
      <c r="J15" s="22"/>
      <c r="K15" s="22"/>
      <c r="L15" s="22"/>
      <c r="M15" s="22"/>
    </row>
    <row r="16" spans="1:13" ht="15" x14ac:dyDescent="0.2">
      <c r="A16" s="8" t="s">
        <v>6</v>
      </c>
      <c r="B16" s="16">
        <f>SUM(B7:B15)</f>
        <v>0</v>
      </c>
      <c r="C16" s="16">
        <f t="shared" ref="C16:M16" si="1">SUM(C7:C15)</f>
        <v>0</v>
      </c>
      <c r="D16" s="16">
        <f t="shared" si="1"/>
        <v>0</v>
      </c>
      <c r="E16" s="16">
        <f t="shared" si="1"/>
        <v>0</v>
      </c>
      <c r="F16" s="16">
        <f t="shared" si="1"/>
        <v>200</v>
      </c>
      <c r="G16" s="16">
        <f t="shared" si="1"/>
        <v>0</v>
      </c>
      <c r="H16" s="16">
        <f t="shared" si="1"/>
        <v>0</v>
      </c>
      <c r="I16" s="16">
        <f t="shared" si="1"/>
        <v>0</v>
      </c>
      <c r="J16" s="16">
        <f t="shared" si="1"/>
        <v>0</v>
      </c>
      <c r="K16" s="16">
        <f t="shared" si="1"/>
        <v>0</v>
      </c>
      <c r="L16" s="16">
        <f t="shared" si="1"/>
        <v>0</v>
      </c>
      <c r="M16" s="16">
        <f t="shared" si="1"/>
        <v>0</v>
      </c>
    </row>
    <row r="17" spans="1:13" ht="15" x14ac:dyDescent="0.2">
      <c r="A17" s="8" t="s">
        <v>7</v>
      </c>
      <c r="B17" s="23"/>
      <c r="C17" s="23"/>
      <c r="D17" s="23"/>
      <c r="E17" s="23"/>
      <c r="F17" s="23">
        <v>200</v>
      </c>
      <c r="G17" s="23"/>
      <c r="H17" s="23"/>
      <c r="I17" s="23"/>
      <c r="J17" s="23"/>
      <c r="K17" s="23"/>
      <c r="L17" s="23"/>
      <c r="M17" s="23"/>
    </row>
    <row r="18" spans="1:13" ht="15" x14ac:dyDescent="0.2">
      <c r="A18" s="8" t="s">
        <v>111</v>
      </c>
      <c r="B18" s="16">
        <f>B16-B17</f>
        <v>0</v>
      </c>
      <c r="C18" s="16">
        <f>C16-C17</f>
        <v>0</v>
      </c>
      <c r="D18" s="16">
        <f t="shared" ref="D18:M18" si="2">D16-D17</f>
        <v>0</v>
      </c>
      <c r="E18" s="16">
        <f t="shared" si="2"/>
        <v>0</v>
      </c>
      <c r="F18" s="16">
        <f t="shared" si="2"/>
        <v>0</v>
      </c>
      <c r="G18" s="16">
        <f t="shared" si="2"/>
        <v>0</v>
      </c>
      <c r="H18" s="16">
        <f t="shared" si="2"/>
        <v>0</v>
      </c>
      <c r="I18" s="16">
        <f t="shared" si="2"/>
        <v>0</v>
      </c>
      <c r="J18" s="16">
        <f t="shared" si="2"/>
        <v>0</v>
      </c>
      <c r="K18" s="16">
        <f t="shared" si="2"/>
        <v>0</v>
      </c>
      <c r="L18" s="16">
        <f t="shared" si="2"/>
        <v>0</v>
      </c>
      <c r="M18" s="16">
        <f t="shared" si="2"/>
        <v>0</v>
      </c>
    </row>
  </sheetData>
  <mergeCells count="1">
    <mergeCell ref="B3:G3"/>
  </mergeCells>
  <phoneticPr fontId="4" type="noConversion"/>
  <pageMargins left="0.75" right="0.75" top="1" bottom="1" header="0" footer="0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5"/>
  <dimension ref="A1:N34"/>
  <sheetViews>
    <sheetView workbookViewId="0">
      <selection activeCell="M34" sqref="M34"/>
    </sheetView>
  </sheetViews>
  <sheetFormatPr baseColWidth="10" defaultRowHeight="12.75" x14ac:dyDescent="0.2"/>
  <cols>
    <col min="1" max="1" width="38.42578125" customWidth="1"/>
  </cols>
  <sheetData>
    <row r="1" spans="1:14" ht="27" x14ac:dyDescent="0.35">
      <c r="A1" s="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20.25" x14ac:dyDescent="0.3">
      <c r="A2" s="11" t="s">
        <v>11</v>
      </c>
      <c r="B2" s="216" t="s">
        <v>62</v>
      </c>
      <c r="C2" s="216"/>
      <c r="D2" s="216"/>
      <c r="E2" s="216"/>
      <c r="F2" s="216"/>
      <c r="G2" s="216"/>
      <c r="H2" s="2"/>
      <c r="I2" s="2"/>
      <c r="J2" s="2"/>
      <c r="K2" s="2"/>
      <c r="L2" s="2"/>
      <c r="M2" s="2"/>
    </row>
    <row r="3" spans="1:14" ht="20.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4" ht="15.75" x14ac:dyDescent="0.25">
      <c r="A5" s="8"/>
      <c r="B5" s="15">
        <v>39083</v>
      </c>
      <c r="C5" s="15">
        <v>39114</v>
      </c>
      <c r="D5" s="15">
        <v>39142</v>
      </c>
      <c r="E5" s="15">
        <v>39173</v>
      </c>
      <c r="F5" s="15">
        <v>39203</v>
      </c>
      <c r="G5" s="15">
        <v>39234</v>
      </c>
      <c r="H5" s="15">
        <v>39264</v>
      </c>
      <c r="I5" s="15">
        <v>39295</v>
      </c>
      <c r="J5" s="15">
        <v>39326</v>
      </c>
      <c r="K5" s="15">
        <v>39356</v>
      </c>
      <c r="L5" s="15">
        <v>39387</v>
      </c>
      <c r="M5" s="15">
        <v>39417</v>
      </c>
    </row>
    <row r="6" spans="1:14" ht="15" x14ac:dyDescent="0.2">
      <c r="A6" s="8" t="s">
        <v>110</v>
      </c>
      <c r="B6" s="22"/>
      <c r="C6" s="22">
        <f>B17</f>
        <v>0</v>
      </c>
      <c r="D6" s="22">
        <f t="shared" ref="D6:M6" si="0">C17</f>
        <v>0</v>
      </c>
      <c r="E6" s="22">
        <f t="shared" si="0"/>
        <v>0</v>
      </c>
      <c r="F6" s="22">
        <f t="shared" si="0"/>
        <v>0</v>
      </c>
      <c r="G6" s="22">
        <f t="shared" si="0"/>
        <v>0</v>
      </c>
      <c r="H6" s="22">
        <f t="shared" si="0"/>
        <v>0</v>
      </c>
      <c r="I6" s="22">
        <f t="shared" si="0"/>
        <v>0</v>
      </c>
      <c r="J6" s="22">
        <f t="shared" si="0"/>
        <v>0</v>
      </c>
      <c r="K6" s="22">
        <f>J17</f>
        <v>0</v>
      </c>
      <c r="L6" s="22">
        <f t="shared" si="0"/>
        <v>0</v>
      </c>
      <c r="M6" s="22">
        <f t="shared" si="0"/>
        <v>0</v>
      </c>
    </row>
    <row r="7" spans="1:14" ht="15" x14ac:dyDescent="0.2">
      <c r="A7" s="8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>
        <v>98.44</v>
      </c>
      <c r="M7" s="22">
        <v>98.44</v>
      </c>
    </row>
    <row r="8" spans="1:14" ht="15" x14ac:dyDescent="0.2">
      <c r="A8" s="8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>
        <v>45</v>
      </c>
      <c r="M8" s="22">
        <v>45</v>
      </c>
    </row>
    <row r="9" spans="1:14" ht="15" x14ac:dyDescent="0.2">
      <c r="A9" s="8" t="s">
        <v>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>
        <v>34</v>
      </c>
      <c r="M9" s="22">
        <v>34</v>
      </c>
    </row>
    <row r="10" spans="1:14" ht="15" x14ac:dyDescent="0.2">
      <c r="A10" s="8" t="s">
        <v>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4" ht="15" x14ac:dyDescent="0.2">
      <c r="A11" s="8" t="s">
        <v>73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4" ht="15" x14ac:dyDescent="0.2">
      <c r="A12" s="8" t="s">
        <v>74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4" ht="15" x14ac:dyDescent="0.2">
      <c r="A13" s="8" t="s">
        <v>75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>
        <v>42</v>
      </c>
      <c r="N13" t="s">
        <v>142</v>
      </c>
    </row>
    <row r="14" spans="1:14" ht="15" x14ac:dyDescent="0.2">
      <c r="A14" s="8" t="s"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>
        <v>50</v>
      </c>
      <c r="M14" s="22">
        <v>50</v>
      </c>
    </row>
    <row r="15" spans="1:14" ht="15" x14ac:dyDescent="0.2">
      <c r="A15" s="8" t="s">
        <v>6</v>
      </c>
      <c r="B15" s="16">
        <f>SUM(B6:B14)</f>
        <v>0</v>
      </c>
      <c r="C15" s="16">
        <f t="shared" ref="C15:M15" si="1">SUM(C6:C14)</f>
        <v>0</v>
      </c>
      <c r="D15" s="16">
        <f t="shared" si="1"/>
        <v>0</v>
      </c>
      <c r="E15" s="16">
        <f t="shared" si="1"/>
        <v>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 t="shared" si="1"/>
        <v>0</v>
      </c>
      <c r="J15" s="16">
        <f t="shared" si="1"/>
        <v>0</v>
      </c>
      <c r="K15" s="16">
        <f t="shared" si="1"/>
        <v>0</v>
      </c>
      <c r="L15" s="16">
        <f t="shared" si="1"/>
        <v>227.44</v>
      </c>
      <c r="M15" s="16">
        <f t="shared" si="1"/>
        <v>269.44</v>
      </c>
    </row>
    <row r="16" spans="1:14" ht="15" x14ac:dyDescent="0.2">
      <c r="A16" s="8" t="s">
        <v>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>
        <v>227.44</v>
      </c>
      <c r="M16" s="23"/>
    </row>
    <row r="17" spans="1:13" ht="15" x14ac:dyDescent="0.2">
      <c r="A17" s="8" t="s">
        <v>111</v>
      </c>
      <c r="B17" s="16">
        <f>B15-B16</f>
        <v>0</v>
      </c>
      <c r="C17" s="16">
        <f>C15-C16</f>
        <v>0</v>
      </c>
      <c r="D17" s="16">
        <f t="shared" ref="D17:M17" si="2">D15-D16</f>
        <v>0</v>
      </c>
      <c r="E17" s="16">
        <f t="shared" si="2"/>
        <v>0</v>
      </c>
      <c r="F17" s="16">
        <f t="shared" si="2"/>
        <v>0</v>
      </c>
      <c r="G17" s="16">
        <f t="shared" si="2"/>
        <v>0</v>
      </c>
      <c r="H17" s="16">
        <f t="shared" si="2"/>
        <v>0</v>
      </c>
      <c r="I17" s="16">
        <f t="shared" si="2"/>
        <v>0</v>
      </c>
      <c r="J17" s="16">
        <f t="shared" si="2"/>
        <v>0</v>
      </c>
      <c r="K17" s="16">
        <f t="shared" si="2"/>
        <v>0</v>
      </c>
      <c r="L17" s="16">
        <f t="shared" si="2"/>
        <v>0</v>
      </c>
      <c r="M17" s="16">
        <f t="shared" si="2"/>
        <v>269.44</v>
      </c>
    </row>
    <row r="21" spans="1:13" ht="15.75" x14ac:dyDescent="0.25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15.75" x14ac:dyDescent="0.25">
      <c r="A22" s="33"/>
      <c r="B22" s="34">
        <v>39448</v>
      </c>
      <c r="C22" s="34">
        <v>39479</v>
      </c>
      <c r="D22" s="34">
        <v>39508</v>
      </c>
      <c r="E22" s="34">
        <v>39539</v>
      </c>
      <c r="F22" s="34">
        <v>39569</v>
      </c>
      <c r="G22" s="34">
        <v>39600</v>
      </c>
      <c r="H22" s="34">
        <v>39630</v>
      </c>
      <c r="I22" s="34">
        <v>39661</v>
      </c>
      <c r="J22" s="34">
        <v>39692</v>
      </c>
      <c r="K22" s="34">
        <v>39722</v>
      </c>
      <c r="L22" s="34">
        <v>39753</v>
      </c>
      <c r="M22" s="34">
        <v>39783</v>
      </c>
    </row>
    <row r="23" spans="1:13" ht="15" x14ac:dyDescent="0.2">
      <c r="A23" s="8" t="s">
        <v>110</v>
      </c>
      <c r="B23" s="28">
        <v>269.44</v>
      </c>
      <c r="C23" s="28">
        <f t="shared" ref="C23:M23" si="3">B34</f>
        <v>496.88</v>
      </c>
      <c r="D23" s="28">
        <f t="shared" si="3"/>
        <v>712.54</v>
      </c>
      <c r="E23" s="28">
        <f t="shared" si="3"/>
        <v>961.8</v>
      </c>
      <c r="F23" s="28">
        <f t="shared" si="3"/>
        <v>1232.3999999999999</v>
      </c>
      <c r="G23" s="28">
        <f t="shared" si="3"/>
        <v>1424.3999999999999</v>
      </c>
      <c r="H23" s="28">
        <f t="shared" si="3"/>
        <v>1424.3999999999999</v>
      </c>
      <c r="I23" s="28">
        <f t="shared" si="3"/>
        <v>1424.3999999999999</v>
      </c>
      <c r="J23" s="28">
        <f t="shared" si="3"/>
        <v>1424.3999999999999</v>
      </c>
      <c r="K23" s="28">
        <f t="shared" si="3"/>
        <v>1424.3999999999999</v>
      </c>
      <c r="L23" s="28">
        <f t="shared" si="3"/>
        <v>1424.3999999999999</v>
      </c>
      <c r="M23" s="28">
        <f t="shared" si="3"/>
        <v>1424.3999999999999</v>
      </c>
    </row>
    <row r="24" spans="1:13" ht="15" x14ac:dyDescent="0.2">
      <c r="A24" s="8" t="s">
        <v>2</v>
      </c>
      <c r="B24" s="28">
        <v>98.44</v>
      </c>
      <c r="C24" s="28">
        <v>120.66</v>
      </c>
      <c r="D24" s="28">
        <v>120.66</v>
      </c>
      <c r="E24" s="28">
        <v>142</v>
      </c>
      <c r="F24" s="28">
        <v>142</v>
      </c>
      <c r="G24" s="28"/>
      <c r="H24" s="28"/>
      <c r="I24" s="28"/>
      <c r="J24" s="28"/>
      <c r="K24" s="28"/>
      <c r="L24" s="28"/>
      <c r="M24" s="28"/>
    </row>
    <row r="25" spans="1:13" ht="15" x14ac:dyDescent="0.2">
      <c r="A25" s="8" t="s">
        <v>3</v>
      </c>
      <c r="B25" s="28">
        <v>45</v>
      </c>
      <c r="C25" s="28">
        <v>45</v>
      </c>
      <c r="D25" s="28">
        <v>45</v>
      </c>
      <c r="E25" s="28">
        <v>45</v>
      </c>
      <c r="F25" s="28"/>
      <c r="G25" s="28"/>
      <c r="H25" s="28"/>
      <c r="I25" s="28"/>
      <c r="J25" s="28"/>
      <c r="K25" s="28"/>
      <c r="L25" s="28"/>
      <c r="M25" s="28"/>
    </row>
    <row r="26" spans="1:13" ht="15" x14ac:dyDescent="0.2">
      <c r="A26" s="8" t="s">
        <v>4</v>
      </c>
      <c r="B26" s="28">
        <v>34</v>
      </c>
      <c r="C26" s="28"/>
      <c r="D26" s="51">
        <v>33.6</v>
      </c>
      <c r="E26" s="28">
        <v>33.6</v>
      </c>
      <c r="F26" s="28"/>
      <c r="G26" s="28"/>
      <c r="H26" s="28"/>
      <c r="I26" s="28"/>
      <c r="J26" s="28"/>
      <c r="K26" s="28"/>
      <c r="L26" s="28"/>
      <c r="M26" s="28"/>
    </row>
    <row r="27" spans="1:13" ht="15" x14ac:dyDescent="0.2">
      <c r="A27" s="8" t="s">
        <v>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ht="15" x14ac:dyDescent="0.2">
      <c r="A28" s="8" t="s">
        <v>73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15" x14ac:dyDescent="0.2">
      <c r="A29" s="8" t="s">
        <v>74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ht="15" x14ac:dyDescent="0.2">
      <c r="A30" s="8" t="s">
        <v>75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ht="15" x14ac:dyDescent="0.2">
      <c r="A31" s="8" t="s">
        <v>5</v>
      </c>
      <c r="B31" s="28">
        <v>50</v>
      </c>
      <c r="C31" s="28">
        <v>50</v>
      </c>
      <c r="D31" s="28">
        <v>50</v>
      </c>
      <c r="E31" s="28">
        <v>50</v>
      </c>
      <c r="F31" s="28">
        <v>50</v>
      </c>
      <c r="G31" s="28"/>
      <c r="H31" s="28"/>
      <c r="I31" s="28"/>
      <c r="J31" s="28"/>
      <c r="K31" s="28"/>
      <c r="L31" s="28"/>
      <c r="M31" s="28"/>
    </row>
    <row r="32" spans="1:13" ht="15" x14ac:dyDescent="0.2">
      <c r="A32" s="8" t="s">
        <v>6</v>
      </c>
      <c r="B32" s="29">
        <f t="shared" ref="B32:M32" si="4">SUM(B23:B31)</f>
        <v>496.88</v>
      </c>
      <c r="C32" s="29">
        <f t="shared" si="4"/>
        <v>712.54</v>
      </c>
      <c r="D32" s="29">
        <f t="shared" si="4"/>
        <v>961.8</v>
      </c>
      <c r="E32" s="29">
        <f t="shared" si="4"/>
        <v>1232.3999999999999</v>
      </c>
      <c r="F32" s="29">
        <f t="shared" si="4"/>
        <v>1424.3999999999999</v>
      </c>
      <c r="G32" s="29">
        <f t="shared" si="4"/>
        <v>1424.3999999999999</v>
      </c>
      <c r="H32" s="29">
        <f t="shared" si="4"/>
        <v>1424.3999999999999</v>
      </c>
      <c r="I32" s="29">
        <f t="shared" si="4"/>
        <v>1424.3999999999999</v>
      </c>
      <c r="J32" s="29">
        <f t="shared" si="4"/>
        <v>1424.3999999999999</v>
      </c>
      <c r="K32" s="29">
        <f t="shared" si="4"/>
        <v>1424.3999999999999</v>
      </c>
      <c r="L32" s="29">
        <f t="shared" si="4"/>
        <v>1424.3999999999999</v>
      </c>
      <c r="M32" s="29">
        <f t="shared" si="4"/>
        <v>1424.3999999999999</v>
      </c>
    </row>
    <row r="33" spans="1:13" ht="15.75" thickBot="1" x14ac:dyDescent="0.25">
      <c r="A33" s="8" t="s">
        <v>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>
        <f>500+500+424.4</f>
        <v>1424.4</v>
      </c>
    </row>
    <row r="34" spans="1:13" ht="15.75" thickBot="1" x14ac:dyDescent="0.25">
      <c r="A34" s="8" t="s">
        <v>111</v>
      </c>
      <c r="B34" s="35">
        <f t="shared" ref="B34:M34" si="5">B32-B33</f>
        <v>496.88</v>
      </c>
      <c r="C34" s="36">
        <f t="shared" si="5"/>
        <v>712.54</v>
      </c>
      <c r="D34" s="36">
        <f t="shared" si="5"/>
        <v>961.8</v>
      </c>
      <c r="E34" s="36">
        <f t="shared" si="5"/>
        <v>1232.3999999999999</v>
      </c>
      <c r="F34" s="36">
        <f t="shared" si="5"/>
        <v>1424.3999999999999</v>
      </c>
      <c r="G34" s="36">
        <f t="shared" si="5"/>
        <v>1424.3999999999999</v>
      </c>
      <c r="H34" s="36">
        <f t="shared" si="5"/>
        <v>1424.3999999999999</v>
      </c>
      <c r="I34" s="36">
        <f t="shared" si="5"/>
        <v>1424.3999999999999</v>
      </c>
      <c r="J34" s="36">
        <f t="shared" si="5"/>
        <v>1424.3999999999999</v>
      </c>
      <c r="K34" s="36">
        <f t="shared" si="5"/>
        <v>1424.3999999999999</v>
      </c>
      <c r="L34" s="36">
        <f t="shared" si="5"/>
        <v>1424.3999999999999</v>
      </c>
      <c r="M34" s="37">
        <f t="shared" si="5"/>
        <v>0</v>
      </c>
    </row>
  </sheetData>
  <mergeCells count="1">
    <mergeCell ref="B2:G2"/>
  </mergeCells>
  <phoneticPr fontId="4" type="noConversion"/>
  <pageMargins left="0.75" right="0.75" top="1" bottom="1" header="0" footer="0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6"/>
  <dimension ref="A4:N56"/>
  <sheetViews>
    <sheetView topLeftCell="A22" workbookViewId="0">
      <selection activeCell="H56" sqref="H56"/>
    </sheetView>
  </sheetViews>
  <sheetFormatPr baseColWidth="10" defaultRowHeight="12.75" x14ac:dyDescent="0.2"/>
  <cols>
    <col min="1" max="1" width="33.7109375" customWidth="1"/>
    <col min="2" max="2" width="12.85546875" bestFit="1" customWidth="1"/>
    <col min="3" max="3" width="12.42578125" customWidth="1"/>
    <col min="4" max="4" width="12.5703125" customWidth="1"/>
    <col min="5" max="5" width="12.7109375" customWidth="1"/>
    <col min="6" max="6" width="12.42578125" customWidth="1"/>
    <col min="7" max="7" width="13.140625" customWidth="1"/>
    <col min="8" max="8" width="13.28515625" customWidth="1"/>
    <col min="9" max="9" width="12.140625" customWidth="1"/>
    <col min="10" max="10" width="12.42578125" customWidth="1"/>
    <col min="11" max="11" width="12.7109375" customWidth="1"/>
    <col min="12" max="13" width="12.42578125" customWidth="1"/>
  </cols>
  <sheetData>
    <row r="4" spans="1:14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4" x14ac:dyDescent="0.2">
      <c r="A5" s="81"/>
      <c r="B5" s="82">
        <v>43466</v>
      </c>
      <c r="C5" s="82">
        <v>43497</v>
      </c>
      <c r="D5" s="82">
        <v>43525</v>
      </c>
      <c r="E5" s="82">
        <v>43556</v>
      </c>
      <c r="F5" s="82">
        <v>43586</v>
      </c>
      <c r="G5" s="82">
        <v>43617</v>
      </c>
      <c r="H5" s="82">
        <v>43647</v>
      </c>
      <c r="I5" s="82">
        <v>43678</v>
      </c>
      <c r="J5" s="82">
        <v>43709</v>
      </c>
      <c r="K5" s="82">
        <v>43739</v>
      </c>
      <c r="L5" s="82">
        <v>43770</v>
      </c>
      <c r="M5" s="82">
        <v>43800</v>
      </c>
    </row>
    <row r="6" spans="1:14" x14ac:dyDescent="0.2">
      <c r="A6" s="78" t="s">
        <v>110</v>
      </c>
      <c r="B6" s="42"/>
      <c r="C6" s="42">
        <f t="shared" ref="C6:M6" si="0">B17</f>
        <v>10000</v>
      </c>
      <c r="D6" s="42">
        <f t="shared" si="0"/>
        <v>20000</v>
      </c>
      <c r="E6" s="42">
        <f t="shared" si="0"/>
        <v>30000</v>
      </c>
      <c r="F6" s="42">
        <f t="shared" si="0"/>
        <v>40000</v>
      </c>
      <c r="G6" s="42">
        <f t="shared" si="0"/>
        <v>50000</v>
      </c>
      <c r="H6" s="42">
        <f t="shared" si="0"/>
        <v>60000</v>
      </c>
      <c r="I6" s="42">
        <f t="shared" si="0"/>
        <v>70000</v>
      </c>
      <c r="J6" s="42">
        <f t="shared" si="0"/>
        <v>80000</v>
      </c>
      <c r="K6" s="42">
        <f t="shared" si="0"/>
        <v>90000</v>
      </c>
      <c r="L6" s="42">
        <f t="shared" si="0"/>
        <v>100000</v>
      </c>
      <c r="M6" s="42">
        <f t="shared" si="0"/>
        <v>110000</v>
      </c>
    </row>
    <row r="7" spans="1:14" x14ac:dyDescent="0.2">
      <c r="A7" s="78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4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4" x14ac:dyDescent="0.2">
      <c r="A9" s="78" t="s">
        <v>4</v>
      </c>
      <c r="B9" s="42"/>
      <c r="C9" s="42"/>
      <c r="D9" s="78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4" ht="15" x14ac:dyDescent="0.2">
      <c r="A14" s="78" t="s">
        <v>5</v>
      </c>
      <c r="B14" s="42">
        <v>10000</v>
      </c>
      <c r="C14" s="42">
        <v>10000</v>
      </c>
      <c r="D14" s="42">
        <v>10000</v>
      </c>
      <c r="E14" s="42">
        <v>10000</v>
      </c>
      <c r="F14" s="42">
        <v>10000</v>
      </c>
      <c r="G14" s="42">
        <v>10000</v>
      </c>
      <c r="H14" s="42">
        <v>10000</v>
      </c>
      <c r="I14" s="42">
        <v>10000</v>
      </c>
      <c r="J14" s="42">
        <v>10000</v>
      </c>
      <c r="K14" s="42">
        <v>10000</v>
      </c>
      <c r="L14" s="42">
        <v>10000</v>
      </c>
      <c r="M14" s="42">
        <v>10000</v>
      </c>
      <c r="N14" s="28"/>
    </row>
    <row r="15" spans="1:14" x14ac:dyDescent="0.2">
      <c r="A15" s="78" t="s">
        <v>6</v>
      </c>
      <c r="B15" s="43">
        <f t="shared" ref="B15:M15" si="1">SUM(B6:B14)</f>
        <v>10000</v>
      </c>
      <c r="C15" s="43">
        <f t="shared" si="1"/>
        <v>20000</v>
      </c>
      <c r="D15" s="43">
        <f t="shared" si="1"/>
        <v>30000</v>
      </c>
      <c r="E15" s="43">
        <f t="shared" si="1"/>
        <v>40000</v>
      </c>
      <c r="F15" s="43">
        <f t="shared" si="1"/>
        <v>50000</v>
      </c>
      <c r="G15" s="43">
        <f t="shared" si="1"/>
        <v>60000</v>
      </c>
      <c r="H15" s="43">
        <f t="shared" si="1"/>
        <v>70000</v>
      </c>
      <c r="I15" s="43">
        <f t="shared" si="1"/>
        <v>80000</v>
      </c>
      <c r="J15" s="43">
        <f t="shared" si="1"/>
        <v>90000</v>
      </c>
      <c r="K15" s="43">
        <f t="shared" si="1"/>
        <v>100000</v>
      </c>
      <c r="L15" s="43">
        <f t="shared" si="1"/>
        <v>110000</v>
      </c>
      <c r="M15" s="43">
        <f t="shared" si="1"/>
        <v>120000</v>
      </c>
    </row>
    <row r="16" spans="1:14" ht="13.5" thickBot="1" x14ac:dyDescent="0.25">
      <c r="A16" s="78" t="s">
        <v>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ht="13.5" thickBot="1" x14ac:dyDescent="0.25">
      <c r="A17" s="78" t="s">
        <v>111</v>
      </c>
      <c r="B17" s="45">
        <f t="shared" ref="B17:M17" si="2">B15-B16</f>
        <v>10000</v>
      </c>
      <c r="C17" s="46">
        <f t="shared" si="2"/>
        <v>20000</v>
      </c>
      <c r="D17" s="46">
        <f t="shared" si="2"/>
        <v>30000</v>
      </c>
      <c r="E17" s="46">
        <f t="shared" si="2"/>
        <v>40000</v>
      </c>
      <c r="F17" s="46">
        <f t="shared" si="2"/>
        <v>50000</v>
      </c>
      <c r="G17" s="46">
        <f t="shared" si="2"/>
        <v>60000</v>
      </c>
      <c r="H17" s="46">
        <f t="shared" si="2"/>
        <v>70000</v>
      </c>
      <c r="I17" s="46">
        <f t="shared" si="2"/>
        <v>80000</v>
      </c>
      <c r="J17" s="46">
        <f t="shared" si="2"/>
        <v>90000</v>
      </c>
      <c r="K17" s="46">
        <f t="shared" si="2"/>
        <v>100000</v>
      </c>
      <c r="L17" s="46">
        <f t="shared" si="2"/>
        <v>110000</v>
      </c>
      <c r="M17" s="47">
        <f t="shared" si="2"/>
        <v>120000</v>
      </c>
    </row>
    <row r="23" spans="1:13" ht="15" x14ac:dyDescent="0.25">
      <c r="A23" s="132" t="s">
        <v>0</v>
      </c>
      <c r="B23" s="132" t="s">
        <v>1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</row>
    <row r="24" spans="1:13" x14ac:dyDescent="0.2">
      <c r="A24" s="81"/>
      <c r="B24" s="82">
        <v>43831</v>
      </c>
      <c r="C24" s="82">
        <v>43862</v>
      </c>
      <c r="D24" s="82">
        <v>43891</v>
      </c>
      <c r="E24" s="82">
        <v>43922</v>
      </c>
      <c r="F24" s="82">
        <v>43952</v>
      </c>
      <c r="G24" s="82">
        <v>43983</v>
      </c>
      <c r="H24" s="82">
        <v>44013</v>
      </c>
      <c r="I24" s="82">
        <v>44044</v>
      </c>
      <c r="J24" s="82">
        <v>44075</v>
      </c>
      <c r="K24" s="82">
        <v>44105</v>
      </c>
      <c r="L24" s="82">
        <v>44136</v>
      </c>
      <c r="M24" s="82">
        <v>44166</v>
      </c>
    </row>
    <row r="25" spans="1:13" x14ac:dyDescent="0.2">
      <c r="A25" s="78" t="s">
        <v>110</v>
      </c>
      <c r="B25" s="42">
        <v>120000</v>
      </c>
      <c r="C25" s="42">
        <f t="shared" ref="C25:M25" si="3">B36</f>
        <v>130000</v>
      </c>
      <c r="D25" s="42">
        <f t="shared" si="3"/>
        <v>140000</v>
      </c>
      <c r="E25" s="42">
        <f t="shared" si="3"/>
        <v>150000</v>
      </c>
      <c r="F25" s="42">
        <f t="shared" si="3"/>
        <v>160000</v>
      </c>
      <c r="G25" s="42">
        <f t="shared" si="3"/>
        <v>170000</v>
      </c>
      <c r="H25" s="42">
        <f t="shared" si="3"/>
        <v>180000</v>
      </c>
      <c r="I25" s="42">
        <f t="shared" si="3"/>
        <v>190000</v>
      </c>
      <c r="J25" s="42">
        <f t="shared" si="3"/>
        <v>200000</v>
      </c>
      <c r="K25" s="42">
        <f t="shared" si="3"/>
        <v>210000</v>
      </c>
      <c r="L25" s="42">
        <f t="shared" si="3"/>
        <v>220000</v>
      </c>
      <c r="M25" s="42">
        <f t="shared" si="3"/>
        <v>230000</v>
      </c>
    </row>
    <row r="26" spans="1:13" x14ac:dyDescent="0.2">
      <c r="A26" s="78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</v>
      </c>
      <c r="B28" s="42"/>
      <c r="C28" s="42"/>
      <c r="D28" s="78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5</v>
      </c>
      <c r="B33" s="42">
        <v>10000</v>
      </c>
      <c r="C33" s="42">
        <v>10000</v>
      </c>
      <c r="D33" s="42">
        <v>10000</v>
      </c>
      <c r="E33" s="42">
        <v>10000</v>
      </c>
      <c r="F33" s="42">
        <v>10000</v>
      </c>
      <c r="G33" s="42">
        <v>10000</v>
      </c>
      <c r="H33" s="42">
        <v>10000</v>
      </c>
      <c r="I33" s="42">
        <v>10000</v>
      </c>
      <c r="J33" s="42">
        <v>10000</v>
      </c>
      <c r="K33" s="42">
        <v>10000</v>
      </c>
      <c r="L33" s="42">
        <v>10000</v>
      </c>
      <c r="M33" s="42">
        <v>10000</v>
      </c>
    </row>
    <row r="34" spans="1:13" x14ac:dyDescent="0.2">
      <c r="A34" s="78" t="s">
        <v>6</v>
      </c>
      <c r="B34" s="43">
        <f t="shared" ref="B34:M34" si="4">SUM(B25:B33)</f>
        <v>130000</v>
      </c>
      <c r="C34" s="43">
        <f t="shared" si="4"/>
        <v>140000</v>
      </c>
      <c r="D34" s="43">
        <f t="shared" si="4"/>
        <v>150000</v>
      </c>
      <c r="E34" s="43">
        <f t="shared" si="4"/>
        <v>160000</v>
      </c>
      <c r="F34" s="43">
        <f t="shared" si="4"/>
        <v>170000</v>
      </c>
      <c r="G34" s="43">
        <f t="shared" si="4"/>
        <v>180000</v>
      </c>
      <c r="H34" s="43">
        <f t="shared" si="4"/>
        <v>190000</v>
      </c>
      <c r="I34" s="43">
        <f t="shared" si="4"/>
        <v>200000</v>
      </c>
      <c r="J34" s="43">
        <f t="shared" si="4"/>
        <v>210000</v>
      </c>
      <c r="K34" s="43">
        <f t="shared" si="4"/>
        <v>220000</v>
      </c>
      <c r="L34" s="43">
        <f t="shared" si="4"/>
        <v>230000</v>
      </c>
      <c r="M34" s="43">
        <f t="shared" si="4"/>
        <v>240000</v>
      </c>
    </row>
    <row r="35" spans="1:13" ht="13.5" thickBot="1" x14ac:dyDescent="0.25">
      <c r="A35" s="78" t="s">
        <v>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1:13" ht="13.5" thickBot="1" x14ac:dyDescent="0.25">
      <c r="A36" s="78" t="s">
        <v>111</v>
      </c>
      <c r="B36" s="45">
        <f t="shared" ref="B36:M36" si="5">B34-B35</f>
        <v>130000</v>
      </c>
      <c r="C36" s="46">
        <f t="shared" si="5"/>
        <v>140000</v>
      </c>
      <c r="D36" s="46">
        <f t="shared" si="5"/>
        <v>150000</v>
      </c>
      <c r="E36" s="46">
        <f t="shared" si="5"/>
        <v>160000</v>
      </c>
      <c r="F36" s="46">
        <f t="shared" si="5"/>
        <v>170000</v>
      </c>
      <c r="G36" s="46">
        <f t="shared" si="5"/>
        <v>180000</v>
      </c>
      <c r="H36" s="46">
        <f t="shared" si="5"/>
        <v>190000</v>
      </c>
      <c r="I36" s="46">
        <f t="shared" si="5"/>
        <v>200000</v>
      </c>
      <c r="J36" s="46">
        <f t="shared" si="5"/>
        <v>210000</v>
      </c>
      <c r="K36" s="46">
        <f t="shared" si="5"/>
        <v>220000</v>
      </c>
      <c r="L36" s="46">
        <f t="shared" si="5"/>
        <v>230000</v>
      </c>
      <c r="M36" s="47">
        <f t="shared" si="5"/>
        <v>240000</v>
      </c>
    </row>
    <row r="40" spans="1:13" x14ac:dyDescent="0.2">
      <c r="A40" t="s">
        <v>473</v>
      </c>
      <c r="B40" t="s">
        <v>472</v>
      </c>
      <c r="C40">
        <v>4800</v>
      </c>
    </row>
    <row r="43" spans="1:13" ht="15" x14ac:dyDescent="0.25">
      <c r="A43" s="132" t="s">
        <v>0</v>
      </c>
      <c r="B43" s="132" t="s">
        <v>1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</row>
    <row r="44" spans="1:13" x14ac:dyDescent="0.2">
      <c r="A44" s="81"/>
      <c r="B44" s="82">
        <v>44197</v>
      </c>
      <c r="C44" s="82">
        <v>44228</v>
      </c>
      <c r="D44" s="82">
        <v>44256</v>
      </c>
      <c r="E44" s="82">
        <v>44287</v>
      </c>
      <c r="F44" s="82">
        <v>44317</v>
      </c>
      <c r="G44" s="82">
        <v>44348</v>
      </c>
      <c r="H44" s="82">
        <v>44378</v>
      </c>
      <c r="I44" s="82">
        <v>44409</v>
      </c>
      <c r="J44" s="82">
        <v>44440</v>
      </c>
      <c r="K44" s="82">
        <v>44470</v>
      </c>
      <c r="L44" s="82">
        <v>44501</v>
      </c>
      <c r="M44" s="82">
        <v>44531</v>
      </c>
    </row>
    <row r="45" spans="1:13" x14ac:dyDescent="0.2">
      <c r="A45" s="78" t="s">
        <v>110</v>
      </c>
      <c r="B45" s="42">
        <v>240000</v>
      </c>
      <c r="C45" s="42">
        <f t="shared" ref="C45:H45" si="6">B56</f>
        <v>260000</v>
      </c>
      <c r="D45" s="42">
        <f t="shared" si="6"/>
        <v>280000</v>
      </c>
      <c r="E45" s="42">
        <f t="shared" si="6"/>
        <v>300000</v>
      </c>
      <c r="F45" s="42">
        <f t="shared" si="6"/>
        <v>320000</v>
      </c>
      <c r="G45" s="42">
        <f t="shared" si="6"/>
        <v>340000</v>
      </c>
      <c r="H45" s="42">
        <f t="shared" si="6"/>
        <v>360000</v>
      </c>
      <c r="I45" s="42">
        <f>H56</f>
        <v>380000</v>
      </c>
      <c r="J45" s="42">
        <f>I56</f>
        <v>400000</v>
      </c>
      <c r="K45" s="42">
        <f>J56</f>
        <v>420000</v>
      </c>
      <c r="L45" s="42">
        <f>K56</f>
        <v>440000</v>
      </c>
      <c r="M45" s="42">
        <f>L56</f>
        <v>460000</v>
      </c>
    </row>
    <row r="46" spans="1:13" x14ac:dyDescent="0.2">
      <c r="A46" s="78" t="s">
        <v>2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3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4</v>
      </c>
      <c r="B48" s="42"/>
      <c r="C48" s="42"/>
      <c r="D48" s="78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9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 t="s">
        <v>552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2">
      <c r="A53" s="78" t="s">
        <v>5</v>
      </c>
      <c r="B53" s="42">
        <v>20000</v>
      </c>
      <c r="C53" s="42">
        <v>20000</v>
      </c>
      <c r="D53" s="42">
        <v>20000</v>
      </c>
      <c r="E53" s="42">
        <v>20000</v>
      </c>
      <c r="F53" s="42">
        <v>20000</v>
      </c>
      <c r="G53" s="42">
        <v>20000</v>
      </c>
      <c r="H53" s="42">
        <v>20000</v>
      </c>
      <c r="I53" s="42">
        <v>20000</v>
      </c>
      <c r="J53" s="42">
        <v>20000</v>
      </c>
      <c r="K53" s="42">
        <v>20000</v>
      </c>
      <c r="L53" s="42">
        <v>20000</v>
      </c>
      <c r="M53" s="42">
        <v>20000</v>
      </c>
    </row>
    <row r="54" spans="1:13" x14ac:dyDescent="0.2">
      <c r="A54" s="78" t="s">
        <v>6</v>
      </c>
      <c r="B54" s="43">
        <f t="shared" ref="B54:M54" si="7">SUM(B45:B53)</f>
        <v>260000</v>
      </c>
      <c r="C54" s="43">
        <f t="shared" si="7"/>
        <v>280000</v>
      </c>
      <c r="D54" s="43">
        <f t="shared" si="7"/>
        <v>300000</v>
      </c>
      <c r="E54" s="43">
        <f t="shared" si="7"/>
        <v>320000</v>
      </c>
      <c r="F54" s="43">
        <f t="shared" si="7"/>
        <v>340000</v>
      </c>
      <c r="G54" s="43">
        <f t="shared" si="7"/>
        <v>360000</v>
      </c>
      <c r="H54" s="43">
        <f t="shared" si="7"/>
        <v>380000</v>
      </c>
      <c r="I54" s="43">
        <f t="shared" si="7"/>
        <v>400000</v>
      </c>
      <c r="J54" s="43">
        <f t="shared" si="7"/>
        <v>420000</v>
      </c>
      <c r="K54" s="43">
        <f t="shared" si="7"/>
        <v>440000</v>
      </c>
      <c r="L54" s="43">
        <f t="shared" si="7"/>
        <v>460000</v>
      </c>
      <c r="M54" s="43">
        <f t="shared" si="7"/>
        <v>480000</v>
      </c>
    </row>
    <row r="55" spans="1:13" ht="13.5" thickBot="1" x14ac:dyDescent="0.25">
      <c r="A55" s="78" t="s">
        <v>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</row>
    <row r="56" spans="1:13" ht="13.5" thickBot="1" x14ac:dyDescent="0.25">
      <c r="A56" s="78" t="s">
        <v>111</v>
      </c>
      <c r="B56" s="45">
        <f t="shared" ref="B56:M56" si="8">B54-B55</f>
        <v>260000</v>
      </c>
      <c r="C56" s="46">
        <f t="shared" si="8"/>
        <v>280000</v>
      </c>
      <c r="D56" s="46">
        <f t="shared" si="8"/>
        <v>300000</v>
      </c>
      <c r="E56" s="46">
        <f t="shared" si="8"/>
        <v>320000</v>
      </c>
      <c r="F56" s="46">
        <f t="shared" si="8"/>
        <v>340000</v>
      </c>
      <c r="G56" s="46">
        <f t="shared" si="8"/>
        <v>360000</v>
      </c>
      <c r="H56" s="46">
        <f t="shared" si="8"/>
        <v>380000</v>
      </c>
      <c r="I56" s="46">
        <f t="shared" si="8"/>
        <v>400000</v>
      </c>
      <c r="J56" s="46">
        <f t="shared" si="8"/>
        <v>420000</v>
      </c>
      <c r="K56" s="46">
        <f t="shared" si="8"/>
        <v>440000</v>
      </c>
      <c r="L56" s="46">
        <f t="shared" si="8"/>
        <v>460000</v>
      </c>
      <c r="M56" s="46">
        <f t="shared" si="8"/>
        <v>480000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7"/>
  <dimension ref="A1:M34"/>
  <sheetViews>
    <sheetView topLeftCell="A19" workbookViewId="0">
      <selection activeCell="B31" sqref="B31"/>
    </sheetView>
  </sheetViews>
  <sheetFormatPr baseColWidth="10" defaultRowHeight="20.25" x14ac:dyDescent="0.3"/>
  <cols>
    <col min="1" max="1" width="29.7109375" style="2" customWidth="1"/>
    <col min="2" max="2" width="12.42578125" style="2" bestFit="1" customWidth="1"/>
    <col min="3" max="3" width="13.42578125" style="2" customWidth="1"/>
    <col min="4" max="4" width="11.28515625" style="2" bestFit="1" customWidth="1"/>
    <col min="5" max="5" width="11.5703125" style="2" customWidth="1"/>
    <col min="6" max="6" width="11.85546875" style="2" bestFit="1" customWidth="1"/>
    <col min="7" max="7" width="11.140625" style="2" bestFit="1" customWidth="1"/>
    <col min="8" max="8" width="11.85546875" style="2" customWidth="1"/>
    <col min="9" max="9" width="11.5703125" style="2" bestFit="1" customWidth="1"/>
    <col min="10" max="10" width="11.28515625" style="2" bestFit="1" customWidth="1"/>
    <col min="11" max="11" width="11.42578125" style="2"/>
    <col min="12" max="12" width="11.85546875" style="2" bestFit="1" customWidth="1"/>
    <col min="13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58</v>
      </c>
      <c r="C2" s="216"/>
      <c r="D2" s="216"/>
      <c r="E2" s="216"/>
      <c r="F2" s="216"/>
      <c r="G2" s="216"/>
    </row>
    <row r="4" spans="1:13" x14ac:dyDescent="0.3">
      <c r="A4" s="119" t="s">
        <v>0</v>
      </c>
      <c r="B4" s="119" t="s">
        <v>1</v>
      </c>
    </row>
    <row r="5" spans="1:13" x14ac:dyDescent="0.3">
      <c r="A5" s="78"/>
      <c r="B5" s="79">
        <v>45292</v>
      </c>
      <c r="C5" s="79">
        <v>45323</v>
      </c>
      <c r="D5" s="79">
        <v>45352</v>
      </c>
      <c r="E5" s="79">
        <v>45383</v>
      </c>
      <c r="F5" s="79">
        <v>45413</v>
      </c>
      <c r="G5" s="79">
        <v>45444</v>
      </c>
      <c r="H5" s="79">
        <v>45474</v>
      </c>
      <c r="I5" s="79">
        <v>45505</v>
      </c>
      <c r="J5" s="79">
        <v>45536</v>
      </c>
      <c r="K5" s="79">
        <v>45566</v>
      </c>
      <c r="L5" s="79">
        <v>45597</v>
      </c>
      <c r="M5" s="79">
        <v>45627</v>
      </c>
    </row>
    <row r="6" spans="1:13" x14ac:dyDescent="0.3">
      <c r="A6" s="78" t="s">
        <v>2</v>
      </c>
      <c r="B6" s="42"/>
      <c r="C6" s="156">
        <f>B16</f>
        <v>-80</v>
      </c>
      <c r="D6" s="156">
        <f t="shared" ref="D6:M6" si="0">C16</f>
        <v>0</v>
      </c>
      <c r="E6" s="156">
        <f t="shared" si="0"/>
        <v>0</v>
      </c>
      <c r="F6" s="156">
        <f t="shared" si="0"/>
        <v>0</v>
      </c>
      <c r="G6" s="156">
        <f t="shared" si="0"/>
        <v>0</v>
      </c>
      <c r="H6" s="156">
        <f t="shared" si="0"/>
        <v>109720</v>
      </c>
      <c r="I6" s="156">
        <f t="shared" si="0"/>
        <v>0</v>
      </c>
      <c r="J6" s="156">
        <f t="shared" si="0"/>
        <v>0</v>
      </c>
      <c r="K6" s="156">
        <f t="shared" si="0"/>
        <v>0</v>
      </c>
      <c r="L6" s="156">
        <f t="shared" si="0"/>
        <v>0</v>
      </c>
      <c r="M6" s="156">
        <f t="shared" si="0"/>
        <v>0</v>
      </c>
    </row>
    <row r="7" spans="1:13" x14ac:dyDescent="0.3">
      <c r="A7" s="78" t="s">
        <v>3</v>
      </c>
      <c r="B7" s="42">
        <v>1320</v>
      </c>
      <c r="C7" s="156">
        <v>6320</v>
      </c>
      <c r="D7" s="156">
        <v>9300</v>
      </c>
      <c r="E7" s="156">
        <v>21350</v>
      </c>
      <c r="F7" s="156"/>
      <c r="G7" s="156">
        <v>39720</v>
      </c>
      <c r="H7" s="156">
        <v>4000</v>
      </c>
      <c r="I7" s="156">
        <v>51200</v>
      </c>
      <c r="J7" s="156">
        <v>43500</v>
      </c>
      <c r="K7" s="156"/>
      <c r="L7" s="156"/>
      <c r="M7" s="156"/>
    </row>
    <row r="8" spans="1:13" x14ac:dyDescent="0.3">
      <c r="A8" s="78" t="s">
        <v>4</v>
      </c>
      <c r="B8" s="42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</row>
    <row r="9" spans="1:13" x14ac:dyDescent="0.3">
      <c r="A9" s="78" t="s">
        <v>9</v>
      </c>
      <c r="B9" s="42"/>
      <c r="C9" s="85"/>
      <c r="D9" s="85"/>
      <c r="E9" s="85"/>
      <c r="F9" s="85"/>
      <c r="G9" s="85"/>
      <c r="H9" s="85"/>
      <c r="L9" s="85"/>
      <c r="M9" s="85"/>
    </row>
    <row r="10" spans="1:13" x14ac:dyDescent="0.3">
      <c r="A10" s="78" t="s">
        <v>578</v>
      </c>
      <c r="B10" s="42"/>
      <c r="C10" s="85"/>
      <c r="D10" s="85"/>
      <c r="E10" s="85"/>
      <c r="F10" s="85"/>
      <c r="G10" s="85"/>
      <c r="H10" s="85"/>
      <c r="L10" s="85"/>
      <c r="M10" s="85"/>
    </row>
    <row r="11" spans="1:13" x14ac:dyDescent="0.3">
      <c r="A11" s="78" t="s">
        <v>74</v>
      </c>
      <c r="B11" s="42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</row>
    <row r="12" spans="1:13" x14ac:dyDescent="0.3">
      <c r="A12" s="78" t="s">
        <v>75</v>
      </c>
      <c r="B12" s="42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</row>
    <row r="13" spans="1:13" x14ac:dyDescent="0.3">
      <c r="A13" s="78" t="s">
        <v>5</v>
      </c>
      <c r="B13" s="42">
        <v>40000</v>
      </c>
      <c r="C13" s="42">
        <v>40000</v>
      </c>
      <c r="D13" s="42">
        <v>45000</v>
      </c>
      <c r="E13" s="42">
        <v>55000</v>
      </c>
      <c r="F13" s="42">
        <v>60000</v>
      </c>
      <c r="G13" s="42">
        <v>70000</v>
      </c>
      <c r="H13" s="42">
        <v>70000</v>
      </c>
      <c r="I13" s="42">
        <v>80000</v>
      </c>
      <c r="J13" s="42">
        <v>80000</v>
      </c>
      <c r="K13" s="42">
        <v>80000</v>
      </c>
      <c r="L13" s="42">
        <v>80000</v>
      </c>
      <c r="M13" s="42">
        <v>80000</v>
      </c>
    </row>
    <row r="14" spans="1:13" x14ac:dyDescent="0.3">
      <c r="A14" s="78" t="s">
        <v>6</v>
      </c>
      <c r="B14" s="43">
        <f>SUM(B6:B13)</f>
        <v>41320</v>
      </c>
      <c r="C14" s="43">
        <f>SUM(C6:C13)</f>
        <v>46240</v>
      </c>
      <c r="D14" s="43">
        <f t="shared" ref="D14:M14" si="1">SUM(D6:D13)</f>
        <v>54300</v>
      </c>
      <c r="E14" s="43">
        <f t="shared" si="1"/>
        <v>76350</v>
      </c>
      <c r="F14" s="43">
        <f t="shared" si="1"/>
        <v>60000</v>
      </c>
      <c r="G14" s="43">
        <f t="shared" si="1"/>
        <v>109720</v>
      </c>
      <c r="H14" s="43">
        <f t="shared" si="1"/>
        <v>183720</v>
      </c>
      <c r="I14" s="43">
        <f t="shared" si="1"/>
        <v>131200</v>
      </c>
      <c r="J14" s="43">
        <f t="shared" si="1"/>
        <v>123500</v>
      </c>
      <c r="K14" s="43">
        <f t="shared" si="1"/>
        <v>80000</v>
      </c>
      <c r="L14" s="43">
        <f t="shared" si="1"/>
        <v>80000</v>
      </c>
      <c r="M14" s="43">
        <f t="shared" si="1"/>
        <v>80000</v>
      </c>
    </row>
    <row r="15" spans="1:13" x14ac:dyDescent="0.3">
      <c r="A15" s="78" t="s">
        <v>7</v>
      </c>
      <c r="B15" s="44">
        <v>41400</v>
      </c>
      <c r="C15" s="44">
        <v>46240</v>
      </c>
      <c r="D15" s="44">
        <v>54300</v>
      </c>
      <c r="E15" s="44">
        <v>76350</v>
      </c>
      <c r="F15" s="44">
        <v>60000</v>
      </c>
      <c r="G15" s="44"/>
      <c r="H15" s="44">
        <v>183720</v>
      </c>
      <c r="I15" s="44">
        <v>131200</v>
      </c>
      <c r="J15" s="44">
        <v>123500</v>
      </c>
      <c r="K15" s="44">
        <v>80000</v>
      </c>
      <c r="L15" s="44">
        <v>80000</v>
      </c>
      <c r="M15" s="44"/>
    </row>
    <row r="16" spans="1:13" x14ac:dyDescent="0.3">
      <c r="A16" s="78" t="s">
        <v>8</v>
      </c>
      <c r="B16" s="43">
        <f>B14-B15</f>
        <v>-80</v>
      </c>
      <c r="C16" s="114">
        <f>C14-C15</f>
        <v>0</v>
      </c>
      <c r="D16" s="114">
        <f t="shared" ref="D16:M16" si="2">D14-D15</f>
        <v>0</v>
      </c>
      <c r="E16" s="114">
        <f t="shared" si="2"/>
        <v>0</v>
      </c>
      <c r="F16" s="114">
        <f t="shared" si="2"/>
        <v>0</v>
      </c>
      <c r="G16" s="114">
        <f t="shared" si="2"/>
        <v>109720</v>
      </c>
      <c r="H16" s="114">
        <f t="shared" si="2"/>
        <v>0</v>
      </c>
      <c r="I16" s="114">
        <f t="shared" si="2"/>
        <v>0</v>
      </c>
      <c r="J16" s="114">
        <f t="shared" si="2"/>
        <v>0</v>
      </c>
      <c r="K16" s="114">
        <f t="shared" si="2"/>
        <v>0</v>
      </c>
      <c r="L16" s="114">
        <f t="shared" si="2"/>
        <v>0</v>
      </c>
      <c r="M16" s="114">
        <f t="shared" si="2"/>
        <v>80000</v>
      </c>
    </row>
    <row r="17" spans="1:13" x14ac:dyDescent="0.3">
      <c r="A17" s="78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 spans="1:13" x14ac:dyDescent="0.3">
      <c r="H18" s="125">
        <v>45504</v>
      </c>
    </row>
    <row r="20" spans="1:13" x14ac:dyDescent="0.3">
      <c r="A20" s="132" t="s">
        <v>0</v>
      </c>
      <c r="B20" s="132" t="s">
        <v>1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spans="1:13" x14ac:dyDescent="0.3">
      <c r="A21" s="81"/>
      <c r="B21" s="82">
        <v>45658</v>
      </c>
      <c r="C21" s="82">
        <v>45689</v>
      </c>
      <c r="D21" s="82">
        <v>45717</v>
      </c>
      <c r="E21" s="82">
        <v>45748</v>
      </c>
      <c r="F21" s="82">
        <v>45778</v>
      </c>
      <c r="G21" s="82">
        <v>45809</v>
      </c>
      <c r="H21" s="82">
        <v>45839</v>
      </c>
      <c r="I21" s="82">
        <v>45870</v>
      </c>
      <c r="J21" s="82">
        <v>45901</v>
      </c>
      <c r="K21" s="82">
        <v>45931</v>
      </c>
      <c r="L21" s="82">
        <v>45962</v>
      </c>
      <c r="M21" s="82">
        <v>45992</v>
      </c>
    </row>
    <row r="22" spans="1:13" x14ac:dyDescent="0.3">
      <c r="A22" s="78" t="s">
        <v>110</v>
      </c>
      <c r="B22" s="42">
        <v>80000</v>
      </c>
      <c r="C22" s="42">
        <f t="shared" ref="C22:M22" si="3">B33</f>
        <v>170000</v>
      </c>
      <c r="D22" s="42">
        <f t="shared" si="3"/>
        <v>170000</v>
      </c>
      <c r="E22" s="42">
        <f t="shared" si="3"/>
        <v>170000</v>
      </c>
      <c r="F22" s="42">
        <f t="shared" si="3"/>
        <v>170000</v>
      </c>
      <c r="G22" s="42">
        <f t="shared" si="3"/>
        <v>170000</v>
      </c>
      <c r="H22" s="42">
        <f t="shared" si="3"/>
        <v>170000</v>
      </c>
      <c r="I22" s="42">
        <f t="shared" si="3"/>
        <v>170000</v>
      </c>
      <c r="J22" s="42">
        <f t="shared" si="3"/>
        <v>170000</v>
      </c>
      <c r="K22" s="42">
        <f t="shared" si="3"/>
        <v>170000</v>
      </c>
      <c r="L22" s="42">
        <f t="shared" si="3"/>
        <v>170000</v>
      </c>
      <c r="M22" s="42">
        <f t="shared" si="3"/>
        <v>170000</v>
      </c>
    </row>
    <row r="23" spans="1:13" x14ac:dyDescent="0.3">
      <c r="A23" s="7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7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78" t="s">
        <v>4</v>
      </c>
      <c r="B25" s="42"/>
      <c r="C25" s="42"/>
      <c r="D25" s="78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7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7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7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78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78" t="s">
        <v>5</v>
      </c>
      <c r="B30" s="42">
        <v>90000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78" t="s">
        <v>6</v>
      </c>
      <c r="B31" s="43">
        <f t="shared" ref="B31:M31" si="4">SUM(B22:B30)</f>
        <v>170000</v>
      </c>
      <c r="C31" s="43">
        <f t="shared" si="4"/>
        <v>170000</v>
      </c>
      <c r="D31" s="43">
        <f t="shared" si="4"/>
        <v>170000</v>
      </c>
      <c r="E31" s="43">
        <f t="shared" si="4"/>
        <v>170000</v>
      </c>
      <c r="F31" s="43">
        <f t="shared" si="4"/>
        <v>170000</v>
      </c>
      <c r="G31" s="43">
        <f t="shared" si="4"/>
        <v>170000</v>
      </c>
      <c r="H31" s="43">
        <f t="shared" si="4"/>
        <v>170000</v>
      </c>
      <c r="I31" s="43">
        <f t="shared" si="4"/>
        <v>170000</v>
      </c>
      <c r="J31" s="43">
        <f t="shared" si="4"/>
        <v>170000</v>
      </c>
      <c r="K31" s="43">
        <f t="shared" si="4"/>
        <v>170000</v>
      </c>
      <c r="L31" s="43">
        <f t="shared" si="4"/>
        <v>170000</v>
      </c>
      <c r="M31" s="43">
        <f t="shared" si="4"/>
        <v>170000</v>
      </c>
    </row>
    <row r="32" spans="1:13" ht="21" thickBot="1" x14ac:dyDescent="0.35">
      <c r="A32" s="78" t="s">
        <v>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spans="1:13" ht="21" thickBot="1" x14ac:dyDescent="0.35">
      <c r="A33" s="78" t="s">
        <v>111</v>
      </c>
      <c r="B33" s="45">
        <f t="shared" ref="B33:M33" si="5">B31-B32</f>
        <v>170000</v>
      </c>
      <c r="C33" s="46">
        <f t="shared" si="5"/>
        <v>170000</v>
      </c>
      <c r="D33" s="46">
        <f t="shared" si="5"/>
        <v>170000</v>
      </c>
      <c r="E33" s="46">
        <f t="shared" si="5"/>
        <v>170000</v>
      </c>
      <c r="F33" s="46">
        <f t="shared" si="5"/>
        <v>170000</v>
      </c>
      <c r="G33" s="46">
        <f t="shared" si="5"/>
        <v>170000</v>
      </c>
      <c r="H33" s="46">
        <f t="shared" si="5"/>
        <v>170000</v>
      </c>
      <c r="I33" s="46">
        <f t="shared" si="5"/>
        <v>170000</v>
      </c>
      <c r="J33" s="46">
        <f t="shared" si="5"/>
        <v>170000</v>
      </c>
      <c r="K33" s="46">
        <f t="shared" si="5"/>
        <v>170000</v>
      </c>
      <c r="L33" s="46">
        <f t="shared" si="5"/>
        <v>170000</v>
      </c>
      <c r="M33" s="47">
        <f t="shared" si="5"/>
        <v>170000</v>
      </c>
    </row>
    <row r="34" spans="1:13" x14ac:dyDescent="0.3">
      <c r="A34" s="17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8"/>
  <dimension ref="A5:M53"/>
  <sheetViews>
    <sheetView topLeftCell="A10" workbookViewId="0">
      <selection activeCell="G10" sqref="G10"/>
    </sheetView>
  </sheetViews>
  <sheetFormatPr baseColWidth="10" defaultRowHeight="12.75" x14ac:dyDescent="0.2"/>
  <cols>
    <col min="1" max="1" width="30.42578125" customWidth="1"/>
  </cols>
  <sheetData>
    <row r="5" spans="1:13" x14ac:dyDescent="0.2">
      <c r="A5" s="72" t="s">
        <v>0</v>
      </c>
      <c r="B5" s="72" t="s">
        <v>1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1:13" x14ac:dyDescent="0.2">
      <c r="A6" s="73"/>
      <c r="B6" s="74">
        <v>43831</v>
      </c>
      <c r="C6" s="74">
        <v>43862</v>
      </c>
      <c r="D6" s="74">
        <v>43891</v>
      </c>
      <c r="E6" s="74">
        <v>43922</v>
      </c>
      <c r="F6" s="74">
        <v>43952</v>
      </c>
      <c r="G6" s="74">
        <v>43983</v>
      </c>
      <c r="H6" s="74">
        <v>44013</v>
      </c>
      <c r="I6" s="74">
        <v>44044</v>
      </c>
      <c r="J6" s="74">
        <v>44075</v>
      </c>
      <c r="K6" s="74">
        <v>44105</v>
      </c>
      <c r="L6" s="74">
        <v>44136</v>
      </c>
      <c r="M6" s="74">
        <v>44166</v>
      </c>
    </row>
    <row r="7" spans="1:13" x14ac:dyDescent="0.2">
      <c r="A7" s="65" t="s">
        <v>110</v>
      </c>
      <c r="B7" s="69"/>
      <c r="C7" s="69">
        <f t="shared" ref="C7:M7" si="0">B18</f>
        <v>0</v>
      </c>
      <c r="D7" s="69">
        <f t="shared" si="0"/>
        <v>0</v>
      </c>
      <c r="E7" s="69">
        <f t="shared" si="0"/>
        <v>0</v>
      </c>
      <c r="F7" s="69">
        <f t="shared" si="0"/>
        <v>0</v>
      </c>
      <c r="G7" s="69">
        <f t="shared" si="0"/>
        <v>0</v>
      </c>
      <c r="H7" s="69">
        <f t="shared" si="0"/>
        <v>756</v>
      </c>
      <c r="I7" s="69">
        <f t="shared" si="0"/>
        <v>756</v>
      </c>
      <c r="J7" s="69">
        <f t="shared" si="0"/>
        <v>756</v>
      </c>
      <c r="K7" s="69">
        <f t="shared" si="0"/>
        <v>756</v>
      </c>
      <c r="L7" s="69">
        <f t="shared" si="0"/>
        <v>756</v>
      </c>
      <c r="M7" s="69">
        <f t="shared" si="0"/>
        <v>756</v>
      </c>
    </row>
    <row r="8" spans="1:13" x14ac:dyDescent="0.2">
      <c r="A8" s="65" t="s">
        <v>2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3</v>
      </c>
      <c r="B9" s="69"/>
      <c r="C9" s="69"/>
      <c r="D9" s="69"/>
      <c r="E9" s="69"/>
      <c r="F9" s="69"/>
      <c r="G9" s="69">
        <v>756</v>
      </c>
      <c r="H9" s="69"/>
      <c r="I9" s="69"/>
      <c r="J9" s="69"/>
      <c r="K9" s="69"/>
      <c r="L9" s="69"/>
      <c r="M9" s="69"/>
    </row>
    <row r="10" spans="1:13" x14ac:dyDescent="0.2">
      <c r="A10" s="65" t="s">
        <v>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398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399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400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5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6</v>
      </c>
      <c r="B16" s="70">
        <f t="shared" ref="B16:M16" si="1">SUM(B7:B15)</f>
        <v>0</v>
      </c>
      <c r="C16" s="70">
        <f t="shared" si="1"/>
        <v>0</v>
      </c>
      <c r="D16" s="70">
        <f t="shared" si="1"/>
        <v>0</v>
      </c>
      <c r="E16" s="70">
        <f t="shared" si="1"/>
        <v>0</v>
      </c>
      <c r="F16" s="70">
        <f t="shared" si="1"/>
        <v>0</v>
      </c>
      <c r="G16" s="70">
        <f t="shared" si="1"/>
        <v>756</v>
      </c>
      <c r="H16" s="70">
        <f t="shared" si="1"/>
        <v>756</v>
      </c>
      <c r="I16" s="70">
        <f t="shared" si="1"/>
        <v>756</v>
      </c>
      <c r="J16" s="70">
        <f t="shared" si="1"/>
        <v>756</v>
      </c>
      <c r="K16" s="70">
        <f t="shared" si="1"/>
        <v>756</v>
      </c>
      <c r="L16" s="70">
        <f t="shared" si="1"/>
        <v>756</v>
      </c>
      <c r="M16" s="70">
        <f t="shared" si="1"/>
        <v>756</v>
      </c>
    </row>
    <row r="17" spans="1:13" ht="13.5" thickBot="1" x14ac:dyDescent="0.25">
      <c r="A17" s="65" t="s">
        <v>7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  <row r="18" spans="1:13" ht="13.5" thickBot="1" x14ac:dyDescent="0.25">
      <c r="A18" s="65" t="s">
        <v>111</v>
      </c>
      <c r="B18" s="75">
        <f t="shared" ref="B18:L18" si="2">B16-B17</f>
        <v>0</v>
      </c>
      <c r="C18" s="76">
        <f t="shared" si="2"/>
        <v>0</v>
      </c>
      <c r="D18" s="76">
        <f t="shared" si="2"/>
        <v>0</v>
      </c>
      <c r="E18" s="76">
        <f t="shared" si="2"/>
        <v>0</v>
      </c>
      <c r="F18" s="76">
        <f t="shared" si="2"/>
        <v>0</v>
      </c>
      <c r="G18" s="76">
        <f t="shared" si="2"/>
        <v>756</v>
      </c>
      <c r="H18" s="76">
        <f t="shared" si="2"/>
        <v>756</v>
      </c>
      <c r="I18" s="76">
        <f t="shared" si="2"/>
        <v>756</v>
      </c>
      <c r="J18" s="76">
        <f t="shared" si="2"/>
        <v>756</v>
      </c>
      <c r="K18" s="76">
        <f t="shared" si="2"/>
        <v>756</v>
      </c>
      <c r="L18" s="76">
        <f t="shared" si="2"/>
        <v>756</v>
      </c>
      <c r="M18" s="77">
        <f>M16-M17</f>
        <v>756</v>
      </c>
    </row>
    <row r="22" spans="1:13" x14ac:dyDescent="0.2">
      <c r="A22" s="72" t="s">
        <v>0</v>
      </c>
      <c r="B22" s="72" t="s">
        <v>1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</row>
    <row r="23" spans="1:13" x14ac:dyDescent="0.2">
      <c r="A23" s="73"/>
      <c r="B23" s="74">
        <v>42736</v>
      </c>
      <c r="C23" s="74">
        <v>42767</v>
      </c>
      <c r="D23" s="74">
        <v>42795</v>
      </c>
      <c r="E23" s="74">
        <v>42826</v>
      </c>
      <c r="F23" s="74">
        <v>42856</v>
      </c>
      <c r="G23" s="74">
        <v>42887</v>
      </c>
      <c r="H23" s="74">
        <v>42917</v>
      </c>
      <c r="I23" s="74">
        <v>42948</v>
      </c>
      <c r="J23" s="74">
        <v>42979</v>
      </c>
      <c r="K23" s="74">
        <v>43009</v>
      </c>
      <c r="L23" s="74">
        <v>43040</v>
      </c>
      <c r="M23" s="74">
        <v>43070</v>
      </c>
    </row>
    <row r="24" spans="1:13" x14ac:dyDescent="0.2">
      <c r="A24" s="65" t="s">
        <v>110</v>
      </c>
      <c r="B24" s="69">
        <v>6230</v>
      </c>
      <c r="C24" s="69">
        <f t="shared" ref="C24:M24" si="3">B35</f>
        <v>8180</v>
      </c>
      <c r="D24" s="69">
        <f t="shared" si="3"/>
        <v>10330</v>
      </c>
      <c r="E24" s="69">
        <f t="shared" si="3"/>
        <v>5690</v>
      </c>
      <c r="F24" s="69">
        <f t="shared" si="3"/>
        <v>0</v>
      </c>
      <c r="G24" s="69">
        <f t="shared" si="3"/>
        <v>460</v>
      </c>
      <c r="H24" s="69">
        <f t="shared" si="3"/>
        <v>3840</v>
      </c>
      <c r="I24" s="69">
        <f t="shared" si="3"/>
        <v>907</v>
      </c>
      <c r="J24" s="69">
        <f t="shared" si="3"/>
        <v>0</v>
      </c>
      <c r="K24" s="69">
        <f t="shared" si="3"/>
        <v>5117</v>
      </c>
      <c r="L24" s="69">
        <f t="shared" si="3"/>
        <v>10234</v>
      </c>
      <c r="M24" s="69">
        <f t="shared" si="3"/>
        <v>15351</v>
      </c>
    </row>
    <row r="25" spans="1:13" x14ac:dyDescent="0.2">
      <c r="A25" s="65" t="s">
        <v>2</v>
      </c>
      <c r="B25" s="69">
        <v>880</v>
      </c>
      <c r="C25" s="69">
        <v>880</v>
      </c>
      <c r="D25" s="69">
        <v>880</v>
      </c>
      <c r="E25" s="69">
        <v>880</v>
      </c>
      <c r="F25" s="69">
        <v>880</v>
      </c>
      <c r="G25" s="69">
        <v>880</v>
      </c>
      <c r="H25" s="69">
        <v>880</v>
      </c>
      <c r="I25" s="69">
        <v>880</v>
      </c>
      <c r="J25" s="69">
        <v>880</v>
      </c>
      <c r="K25" s="69">
        <v>880</v>
      </c>
      <c r="L25" s="69">
        <v>880</v>
      </c>
      <c r="M25" s="69">
        <v>880</v>
      </c>
    </row>
    <row r="26" spans="1:13" x14ac:dyDescent="0.2">
      <c r="A26" s="65" t="s">
        <v>3</v>
      </c>
      <c r="B26" s="69">
        <v>240</v>
      </c>
      <c r="C26" s="69">
        <v>240</v>
      </c>
      <c r="D26" s="69">
        <v>240</v>
      </c>
      <c r="E26" s="69">
        <v>240</v>
      </c>
      <c r="F26" s="69">
        <v>700</v>
      </c>
      <c r="G26" s="69">
        <v>700</v>
      </c>
      <c r="H26" s="69">
        <v>700</v>
      </c>
      <c r="I26" s="69">
        <v>700</v>
      </c>
      <c r="J26" s="69">
        <v>700</v>
      </c>
      <c r="K26" s="69">
        <v>700</v>
      </c>
      <c r="L26" s="69">
        <v>700</v>
      </c>
      <c r="M26" s="69">
        <v>700</v>
      </c>
    </row>
    <row r="27" spans="1:13" x14ac:dyDescent="0.2">
      <c r="A27" s="65" t="s">
        <v>4</v>
      </c>
      <c r="B27" s="69">
        <v>230</v>
      </c>
      <c r="C27" s="69">
        <v>230</v>
      </c>
      <c r="D27" s="69">
        <v>230</v>
      </c>
      <c r="E27" s="69">
        <v>230</v>
      </c>
      <c r="F27" s="69">
        <v>300</v>
      </c>
      <c r="G27" s="69">
        <v>300</v>
      </c>
      <c r="H27" s="69">
        <v>300</v>
      </c>
      <c r="I27" s="69">
        <v>300</v>
      </c>
      <c r="J27" s="69">
        <v>300</v>
      </c>
      <c r="K27" s="69">
        <v>300</v>
      </c>
      <c r="L27" s="69">
        <v>300</v>
      </c>
      <c r="M27" s="69">
        <v>300</v>
      </c>
    </row>
    <row r="28" spans="1:13" x14ac:dyDescent="0.2">
      <c r="A28" s="65" t="s">
        <v>9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374</v>
      </c>
      <c r="B29" s="69"/>
      <c r="C29" s="69"/>
      <c r="D29" s="69"/>
      <c r="E29" s="69"/>
      <c r="F29" s="69"/>
      <c r="G29" s="69"/>
      <c r="H29" s="69">
        <v>787</v>
      </c>
      <c r="I29" s="69">
        <v>787</v>
      </c>
      <c r="J29" s="69">
        <v>787</v>
      </c>
      <c r="K29" s="69">
        <v>787</v>
      </c>
      <c r="L29" s="69">
        <v>787</v>
      </c>
      <c r="M29" s="69">
        <v>787</v>
      </c>
    </row>
    <row r="30" spans="1:13" x14ac:dyDescent="0.2">
      <c r="A30" s="65" t="s">
        <v>375</v>
      </c>
      <c r="B30" s="69"/>
      <c r="C30" s="69"/>
      <c r="D30" s="69"/>
      <c r="E30" s="69"/>
      <c r="F30" s="69"/>
      <c r="G30" s="69"/>
      <c r="H30" s="69">
        <v>300</v>
      </c>
      <c r="I30" s="69">
        <v>300</v>
      </c>
      <c r="J30" s="69">
        <v>600</v>
      </c>
      <c r="K30" s="69">
        <v>600</v>
      </c>
      <c r="L30" s="69">
        <v>600</v>
      </c>
      <c r="M30" s="69">
        <v>600</v>
      </c>
    </row>
    <row r="31" spans="1:13" x14ac:dyDescent="0.2">
      <c r="A31" s="65" t="s">
        <v>376</v>
      </c>
      <c r="B31" s="69"/>
      <c r="C31" s="69"/>
      <c r="D31" s="69"/>
      <c r="E31" s="69"/>
      <c r="F31" s="69"/>
      <c r="G31" s="69"/>
      <c r="H31" s="69" t="s">
        <v>327</v>
      </c>
      <c r="I31" s="69" t="s">
        <v>327</v>
      </c>
      <c r="J31" s="69">
        <v>350</v>
      </c>
      <c r="K31" s="69">
        <v>350</v>
      </c>
      <c r="L31" s="69">
        <v>350</v>
      </c>
      <c r="M31" s="69">
        <v>350</v>
      </c>
    </row>
    <row r="32" spans="1:13" x14ac:dyDescent="0.2">
      <c r="A32" s="65" t="s">
        <v>5</v>
      </c>
      <c r="B32" s="69">
        <v>600</v>
      </c>
      <c r="C32" s="69">
        <v>800</v>
      </c>
      <c r="D32" s="69">
        <v>800</v>
      </c>
      <c r="E32" s="69">
        <v>800</v>
      </c>
      <c r="F32" s="69">
        <v>800</v>
      </c>
      <c r="G32" s="69">
        <v>1500</v>
      </c>
      <c r="H32" s="69">
        <v>1500</v>
      </c>
      <c r="I32" s="69">
        <v>2000</v>
      </c>
      <c r="J32" s="69">
        <v>1500</v>
      </c>
      <c r="K32" s="69">
        <v>1500</v>
      </c>
      <c r="L32" s="69">
        <v>1500</v>
      </c>
      <c r="M32" s="69">
        <v>1500</v>
      </c>
    </row>
    <row r="33" spans="1:13" x14ac:dyDescent="0.2">
      <c r="A33" s="65" t="s">
        <v>6</v>
      </c>
      <c r="B33" s="70">
        <f t="shared" ref="B33:M33" si="4">SUM(B24:B32)</f>
        <v>8180</v>
      </c>
      <c r="C33" s="70">
        <f t="shared" si="4"/>
        <v>10330</v>
      </c>
      <c r="D33" s="70">
        <f t="shared" si="4"/>
        <v>12480</v>
      </c>
      <c r="E33" s="70">
        <f t="shared" si="4"/>
        <v>7840</v>
      </c>
      <c r="F33" s="70">
        <f t="shared" si="4"/>
        <v>2680</v>
      </c>
      <c r="G33" s="70">
        <f t="shared" si="4"/>
        <v>3840</v>
      </c>
      <c r="H33" s="70">
        <f t="shared" si="4"/>
        <v>8307</v>
      </c>
      <c r="I33" s="70">
        <f t="shared" si="4"/>
        <v>5874</v>
      </c>
      <c r="J33" s="70">
        <f t="shared" si="4"/>
        <v>5117</v>
      </c>
      <c r="K33" s="70">
        <f t="shared" si="4"/>
        <v>10234</v>
      </c>
      <c r="L33" s="70">
        <f t="shared" si="4"/>
        <v>15351</v>
      </c>
      <c r="M33" s="70">
        <f t="shared" si="4"/>
        <v>20468</v>
      </c>
    </row>
    <row r="34" spans="1:13" ht="13.5" thickBot="1" x14ac:dyDescent="0.25">
      <c r="A34" s="65" t="s">
        <v>7</v>
      </c>
      <c r="B34" s="71"/>
      <c r="C34" s="71"/>
      <c r="D34" s="71">
        <v>6790</v>
      </c>
      <c r="E34" s="71">
        <v>7840</v>
      </c>
      <c r="F34" s="71">
        <v>2220</v>
      </c>
      <c r="G34" s="71"/>
      <c r="H34" s="71">
        <v>7400</v>
      </c>
      <c r="I34" s="71">
        <f>4526+1348</f>
        <v>5874</v>
      </c>
      <c r="J34" s="71"/>
      <c r="K34" s="71"/>
      <c r="L34" s="71"/>
      <c r="M34" s="71"/>
    </row>
    <row r="35" spans="1:13" ht="13.5" thickBot="1" x14ac:dyDescent="0.25">
      <c r="A35" s="65" t="s">
        <v>111</v>
      </c>
      <c r="B35" s="75">
        <f t="shared" ref="B35:L35" si="5">B33-B34</f>
        <v>8180</v>
      </c>
      <c r="C35" s="76">
        <f t="shared" si="5"/>
        <v>10330</v>
      </c>
      <c r="D35" s="76">
        <f t="shared" si="5"/>
        <v>5690</v>
      </c>
      <c r="E35" s="76">
        <f t="shared" si="5"/>
        <v>0</v>
      </c>
      <c r="F35" s="76">
        <f t="shared" si="5"/>
        <v>460</v>
      </c>
      <c r="G35" s="76">
        <f t="shared" si="5"/>
        <v>3840</v>
      </c>
      <c r="H35" s="76">
        <f t="shared" si="5"/>
        <v>907</v>
      </c>
      <c r="I35" s="76">
        <f>I33-I34</f>
        <v>0</v>
      </c>
      <c r="J35" s="76">
        <f t="shared" si="5"/>
        <v>5117</v>
      </c>
      <c r="K35" s="76">
        <f t="shared" si="5"/>
        <v>10234</v>
      </c>
      <c r="L35" s="76">
        <f t="shared" si="5"/>
        <v>15351</v>
      </c>
      <c r="M35" s="77">
        <f>M33-M34</f>
        <v>20468</v>
      </c>
    </row>
    <row r="40" spans="1:13" x14ac:dyDescent="0.2">
      <c r="A40" s="72" t="s">
        <v>0</v>
      </c>
      <c r="B40" s="72" t="s">
        <v>1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</row>
    <row r="41" spans="1:13" x14ac:dyDescent="0.2">
      <c r="A41" s="73"/>
      <c r="B41" s="74">
        <v>43466</v>
      </c>
      <c r="C41" s="74">
        <v>43497</v>
      </c>
      <c r="D41" s="74">
        <v>43525</v>
      </c>
      <c r="E41" s="74">
        <v>43556</v>
      </c>
      <c r="F41" s="74">
        <v>43586</v>
      </c>
      <c r="G41" s="74">
        <v>43617</v>
      </c>
      <c r="H41" s="74">
        <v>43647</v>
      </c>
      <c r="I41" s="74">
        <v>43678</v>
      </c>
      <c r="J41" s="74">
        <v>43709</v>
      </c>
      <c r="K41" s="74">
        <v>43739</v>
      </c>
      <c r="L41" s="74">
        <v>43770</v>
      </c>
      <c r="M41" s="74">
        <v>43800</v>
      </c>
    </row>
    <row r="42" spans="1:13" x14ac:dyDescent="0.2">
      <c r="A42" s="65" t="s">
        <v>110</v>
      </c>
      <c r="B42" s="69">
        <v>76000</v>
      </c>
      <c r="C42" s="69">
        <f t="shared" ref="C42:M42" si="6">B53</f>
        <v>80200</v>
      </c>
      <c r="D42" s="69">
        <f t="shared" si="6"/>
        <v>84710</v>
      </c>
      <c r="E42" s="69">
        <f t="shared" si="6"/>
        <v>92437</v>
      </c>
      <c r="F42" s="69">
        <f t="shared" si="6"/>
        <v>96947</v>
      </c>
      <c r="G42" s="69">
        <f t="shared" si="6"/>
        <v>101457</v>
      </c>
      <c r="H42" s="69">
        <f t="shared" si="6"/>
        <v>105967</v>
      </c>
      <c r="I42" s="69">
        <f t="shared" si="6"/>
        <v>110477</v>
      </c>
      <c r="J42" s="69">
        <f t="shared" si="6"/>
        <v>114987</v>
      </c>
      <c r="K42" s="69">
        <f t="shared" si="6"/>
        <v>119497</v>
      </c>
      <c r="L42" s="69">
        <f t="shared" si="6"/>
        <v>119497</v>
      </c>
      <c r="M42" s="69">
        <f t="shared" si="6"/>
        <v>119497</v>
      </c>
    </row>
    <row r="43" spans="1:13" x14ac:dyDescent="0.2">
      <c r="A43" s="65" t="s">
        <v>2</v>
      </c>
      <c r="B43" s="69">
        <v>1300</v>
      </c>
      <c r="C43" s="69">
        <v>1300</v>
      </c>
      <c r="D43" s="69">
        <v>1300</v>
      </c>
      <c r="E43" s="69">
        <v>1300</v>
      </c>
      <c r="F43" s="69">
        <v>1300</v>
      </c>
      <c r="G43" s="69">
        <v>1300</v>
      </c>
      <c r="H43" s="69">
        <v>1300</v>
      </c>
      <c r="I43" s="69">
        <v>1300</v>
      </c>
      <c r="J43" s="69">
        <v>1300</v>
      </c>
      <c r="K43" s="69"/>
      <c r="L43" s="69"/>
      <c r="M43" s="69"/>
    </row>
    <row r="44" spans="1:13" x14ac:dyDescent="0.2">
      <c r="A44" s="65" t="s">
        <v>3</v>
      </c>
      <c r="B44" s="69">
        <v>700</v>
      </c>
      <c r="C44" s="69">
        <v>700</v>
      </c>
      <c r="D44" s="69">
        <v>700</v>
      </c>
      <c r="E44" s="69">
        <v>700</v>
      </c>
      <c r="F44" s="69">
        <v>700</v>
      </c>
      <c r="G44" s="69">
        <v>700</v>
      </c>
      <c r="H44" s="69">
        <v>700</v>
      </c>
      <c r="I44" s="69">
        <v>700</v>
      </c>
      <c r="J44" s="69">
        <v>700</v>
      </c>
      <c r="K44" s="69"/>
      <c r="L44" s="69"/>
      <c r="M44" s="69"/>
    </row>
    <row r="45" spans="1:13" x14ac:dyDescent="0.2">
      <c r="A45" s="65" t="s">
        <v>4</v>
      </c>
      <c r="B45" s="69">
        <v>400</v>
      </c>
      <c r="C45" s="69">
        <v>510</v>
      </c>
      <c r="D45" s="69">
        <v>510</v>
      </c>
      <c r="E45" s="69">
        <v>510</v>
      </c>
      <c r="F45" s="69">
        <v>510</v>
      </c>
      <c r="G45" s="69">
        <v>510</v>
      </c>
      <c r="H45" s="69">
        <v>510</v>
      </c>
      <c r="I45" s="69">
        <v>510</v>
      </c>
      <c r="J45" s="69">
        <v>510</v>
      </c>
      <c r="K45" s="69"/>
      <c r="L45" s="69"/>
      <c r="M45" s="69"/>
    </row>
    <row r="46" spans="1:13" x14ac:dyDescent="0.2">
      <c r="A46" s="65" t="s">
        <v>9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 x14ac:dyDescent="0.2">
      <c r="A47" s="65" t="s">
        <v>374</v>
      </c>
      <c r="B47" s="69"/>
      <c r="C47" s="69"/>
      <c r="D47" s="69">
        <v>3217</v>
      </c>
      <c r="E47" s="69"/>
      <c r="F47" s="69"/>
      <c r="G47" s="69"/>
      <c r="H47" s="69"/>
      <c r="I47" s="69"/>
      <c r="J47" s="69"/>
      <c r="K47" s="69"/>
      <c r="L47" s="69"/>
      <c r="M47" s="69"/>
    </row>
    <row r="48" spans="1:13" x14ac:dyDescent="0.2">
      <c r="A48" s="65" t="s">
        <v>375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 spans="1:13" x14ac:dyDescent="0.2">
      <c r="A49" s="65" t="s">
        <v>376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3" x14ac:dyDescent="0.2">
      <c r="A50" s="65" t="s">
        <v>5</v>
      </c>
      <c r="B50" s="69">
        <v>1800</v>
      </c>
      <c r="C50" s="69">
        <v>2000</v>
      </c>
      <c r="D50" s="69">
        <v>2000</v>
      </c>
      <c r="E50" s="69">
        <v>2000</v>
      </c>
      <c r="F50" s="69">
        <v>2000</v>
      </c>
      <c r="G50" s="69">
        <v>2000</v>
      </c>
      <c r="H50" s="69">
        <v>2000</v>
      </c>
      <c r="I50" s="69">
        <v>2000</v>
      </c>
      <c r="J50" s="69">
        <v>2000</v>
      </c>
      <c r="K50" s="69"/>
      <c r="L50" s="69"/>
      <c r="M50" s="69"/>
    </row>
    <row r="51" spans="1:13" x14ac:dyDescent="0.2">
      <c r="A51" s="65" t="s">
        <v>6</v>
      </c>
      <c r="B51" s="70">
        <f t="shared" ref="B51:M51" si="7">SUM(B42:B50)</f>
        <v>80200</v>
      </c>
      <c r="C51" s="70">
        <f t="shared" si="7"/>
        <v>84710</v>
      </c>
      <c r="D51" s="70">
        <f t="shared" si="7"/>
        <v>92437</v>
      </c>
      <c r="E51" s="70">
        <f t="shared" si="7"/>
        <v>96947</v>
      </c>
      <c r="F51" s="70">
        <f t="shared" si="7"/>
        <v>101457</v>
      </c>
      <c r="G51" s="70">
        <f t="shared" si="7"/>
        <v>105967</v>
      </c>
      <c r="H51" s="70">
        <f t="shared" si="7"/>
        <v>110477</v>
      </c>
      <c r="I51" s="70">
        <f t="shared" si="7"/>
        <v>114987</v>
      </c>
      <c r="J51" s="70">
        <f t="shared" si="7"/>
        <v>119497</v>
      </c>
      <c r="K51" s="70">
        <f t="shared" si="7"/>
        <v>119497</v>
      </c>
      <c r="L51" s="70">
        <f t="shared" si="7"/>
        <v>119497</v>
      </c>
      <c r="M51" s="70">
        <f t="shared" si="7"/>
        <v>119497</v>
      </c>
    </row>
    <row r="52" spans="1:13" ht="13.5" thickBot="1" x14ac:dyDescent="0.25">
      <c r="A52" s="65" t="s">
        <v>7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</row>
    <row r="53" spans="1:13" ht="13.5" thickBot="1" x14ac:dyDescent="0.25">
      <c r="A53" s="65" t="s">
        <v>111</v>
      </c>
      <c r="B53" s="75">
        <f t="shared" ref="B53:H53" si="8">B51-B52</f>
        <v>80200</v>
      </c>
      <c r="C53" s="76">
        <f t="shared" si="8"/>
        <v>84710</v>
      </c>
      <c r="D53" s="76">
        <f t="shared" si="8"/>
        <v>92437</v>
      </c>
      <c r="E53" s="76">
        <f t="shared" si="8"/>
        <v>96947</v>
      </c>
      <c r="F53" s="76">
        <f t="shared" si="8"/>
        <v>101457</v>
      </c>
      <c r="G53" s="76">
        <f t="shared" si="8"/>
        <v>105967</v>
      </c>
      <c r="H53" s="76">
        <f t="shared" si="8"/>
        <v>110477</v>
      </c>
      <c r="I53" s="76">
        <f>I51-I52</f>
        <v>114987</v>
      </c>
      <c r="J53" s="76">
        <f>J51-J52</f>
        <v>119497</v>
      </c>
      <c r="K53" s="76">
        <f>K51-K52</f>
        <v>119497</v>
      </c>
      <c r="L53" s="76">
        <f>L51-L52</f>
        <v>119497</v>
      </c>
      <c r="M53" s="77">
        <f>M51-M52</f>
        <v>119497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4"/>
  <dimension ref="A4:M31"/>
  <sheetViews>
    <sheetView topLeftCell="A16" workbookViewId="0">
      <selection activeCell="E29" sqref="E29"/>
    </sheetView>
  </sheetViews>
  <sheetFormatPr baseColWidth="10" defaultRowHeight="12.75" x14ac:dyDescent="0.2"/>
  <cols>
    <col min="1" max="1" width="37.5703125" customWidth="1"/>
  </cols>
  <sheetData>
    <row r="4" spans="1:13" x14ac:dyDescent="0.2">
      <c r="A4" s="72" t="s">
        <v>0</v>
      </c>
      <c r="B4" s="72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x14ac:dyDescent="0.2">
      <c r="A5" s="73"/>
      <c r="B5" s="74">
        <v>45292</v>
      </c>
      <c r="C5" s="74">
        <v>45323</v>
      </c>
      <c r="D5" s="74">
        <v>45352</v>
      </c>
      <c r="E5" s="74">
        <v>45383</v>
      </c>
      <c r="F5" s="74">
        <v>45413</v>
      </c>
      <c r="G5" s="74">
        <v>45444</v>
      </c>
      <c r="H5" s="74">
        <v>45474</v>
      </c>
      <c r="I5" s="74">
        <v>45505</v>
      </c>
      <c r="J5" s="74">
        <v>45536</v>
      </c>
      <c r="K5" s="74">
        <v>45566</v>
      </c>
      <c r="L5" s="74">
        <v>45597</v>
      </c>
      <c r="M5" s="74">
        <v>45627</v>
      </c>
    </row>
    <row r="6" spans="1:13" x14ac:dyDescent="0.2">
      <c r="A6" s="65" t="s">
        <v>110</v>
      </c>
      <c r="B6" s="69"/>
      <c r="C6" s="69">
        <f t="shared" ref="C6:I6" si="0">B17</f>
        <v>0</v>
      </c>
      <c r="D6" s="69">
        <f t="shared" si="0"/>
        <v>0</v>
      </c>
      <c r="E6" s="69">
        <f t="shared" si="0"/>
        <v>0</v>
      </c>
      <c r="F6" s="69">
        <f t="shared" si="0"/>
        <v>0</v>
      </c>
      <c r="G6" s="69">
        <f t="shared" si="0"/>
        <v>0</v>
      </c>
      <c r="H6" s="69">
        <f t="shared" si="0"/>
        <v>0</v>
      </c>
      <c r="I6" s="69">
        <f t="shared" si="0"/>
        <v>0</v>
      </c>
      <c r="J6" s="69">
        <f>I17</f>
        <v>76700</v>
      </c>
      <c r="K6" s="69">
        <f>J17</f>
        <v>153400</v>
      </c>
      <c r="L6" s="69">
        <f>K17</f>
        <v>19800</v>
      </c>
      <c r="M6" s="69">
        <f>L17</f>
        <v>97000</v>
      </c>
    </row>
    <row r="7" spans="1:13" x14ac:dyDescent="0.2">
      <c r="A7" s="65" t="s">
        <v>693</v>
      </c>
      <c r="B7" s="69"/>
      <c r="C7" s="69"/>
      <c r="D7" s="69"/>
      <c r="E7" s="69"/>
      <c r="F7" s="69"/>
      <c r="G7" s="69"/>
      <c r="H7" s="69"/>
      <c r="I7" s="69">
        <v>44400</v>
      </c>
      <c r="J7" s="69">
        <v>44400</v>
      </c>
      <c r="K7" s="69">
        <v>44400</v>
      </c>
      <c r="L7" s="69">
        <v>44400</v>
      </c>
      <c r="M7" s="69">
        <v>44000</v>
      </c>
    </row>
    <row r="8" spans="1:13" x14ac:dyDescent="0.2">
      <c r="A8" s="65" t="s">
        <v>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684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683</v>
      </c>
      <c r="B12" s="69"/>
      <c r="C12" s="69"/>
      <c r="D12" s="69"/>
      <c r="E12" s="69"/>
      <c r="F12" s="69"/>
      <c r="G12" s="69"/>
      <c r="H12" s="69"/>
      <c r="I12" s="69">
        <v>17300</v>
      </c>
      <c r="J12" s="69">
        <v>17300</v>
      </c>
      <c r="K12" s="69">
        <v>17800</v>
      </c>
      <c r="L12" s="69">
        <v>17800</v>
      </c>
      <c r="M12" s="69"/>
    </row>
    <row r="13" spans="1:13" x14ac:dyDescent="0.2">
      <c r="A13" s="65" t="s">
        <v>75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5</v>
      </c>
      <c r="B14" s="69"/>
      <c r="C14" s="69"/>
      <c r="D14" s="69"/>
      <c r="E14" s="69"/>
      <c r="F14" s="69"/>
      <c r="G14" s="69"/>
      <c r="H14" s="69"/>
      <c r="I14" s="69">
        <v>15000</v>
      </c>
      <c r="J14" s="69">
        <v>15000</v>
      </c>
      <c r="K14" s="69">
        <v>15000</v>
      </c>
      <c r="L14" s="69">
        <v>15000</v>
      </c>
      <c r="M14" s="69">
        <v>15000</v>
      </c>
    </row>
    <row r="15" spans="1:13" x14ac:dyDescent="0.2">
      <c r="A15" s="65" t="s">
        <v>6</v>
      </c>
      <c r="B15" s="70">
        <f t="shared" ref="B15:M15" si="1">SUM(B6:B14)</f>
        <v>0</v>
      </c>
      <c r="C15" s="70">
        <f t="shared" si="1"/>
        <v>0</v>
      </c>
      <c r="D15" s="70">
        <f t="shared" si="1"/>
        <v>0</v>
      </c>
      <c r="E15" s="70">
        <f t="shared" si="1"/>
        <v>0</v>
      </c>
      <c r="F15" s="70">
        <f t="shared" si="1"/>
        <v>0</v>
      </c>
      <c r="G15" s="70">
        <f t="shared" si="1"/>
        <v>0</v>
      </c>
      <c r="H15" s="70">
        <f t="shared" si="1"/>
        <v>0</v>
      </c>
      <c r="I15" s="70">
        <f t="shared" si="1"/>
        <v>76700</v>
      </c>
      <c r="J15" s="70">
        <f t="shared" si="1"/>
        <v>153400</v>
      </c>
      <c r="K15" s="70">
        <f t="shared" si="1"/>
        <v>230600</v>
      </c>
      <c r="L15" s="70">
        <f t="shared" si="1"/>
        <v>97000</v>
      </c>
      <c r="M15" s="70">
        <f t="shared" si="1"/>
        <v>156000</v>
      </c>
    </row>
    <row r="16" spans="1:13" ht="13.5" thickBot="1" x14ac:dyDescent="0.25">
      <c r="A16" s="65" t="s">
        <v>7</v>
      </c>
      <c r="B16" s="71"/>
      <c r="C16" s="71"/>
      <c r="D16" s="71"/>
      <c r="E16" s="71"/>
      <c r="F16" s="71"/>
      <c r="G16" s="71"/>
      <c r="H16" s="71"/>
      <c r="I16" s="71"/>
      <c r="J16" s="71"/>
      <c r="K16" s="71">
        <v>210800</v>
      </c>
      <c r="L16" s="71"/>
      <c r="M16" s="71">
        <v>156000</v>
      </c>
    </row>
    <row r="17" spans="1:13" ht="13.5" thickBot="1" x14ac:dyDescent="0.25">
      <c r="A17" s="65" t="s">
        <v>111</v>
      </c>
      <c r="B17" s="75">
        <f t="shared" ref="B17:L17" si="2">B15-B16</f>
        <v>0</v>
      </c>
      <c r="C17" s="76">
        <f t="shared" si="2"/>
        <v>0</v>
      </c>
      <c r="D17" s="76">
        <f t="shared" si="2"/>
        <v>0</v>
      </c>
      <c r="E17" s="76">
        <f t="shared" si="2"/>
        <v>0</v>
      </c>
      <c r="F17" s="76">
        <f t="shared" si="2"/>
        <v>0</v>
      </c>
      <c r="G17" s="76">
        <f t="shared" si="2"/>
        <v>0</v>
      </c>
      <c r="H17" s="76">
        <f t="shared" si="2"/>
        <v>0</v>
      </c>
      <c r="I17" s="76">
        <f t="shared" si="2"/>
        <v>76700</v>
      </c>
      <c r="J17" s="76">
        <f t="shared" si="2"/>
        <v>153400</v>
      </c>
      <c r="K17" s="76">
        <f t="shared" si="2"/>
        <v>19800</v>
      </c>
      <c r="L17" s="76">
        <f t="shared" si="2"/>
        <v>97000</v>
      </c>
      <c r="M17" s="77">
        <f>M15-M16</f>
        <v>0</v>
      </c>
    </row>
    <row r="19" spans="1:13" x14ac:dyDescent="0.2">
      <c r="A19" s="73"/>
      <c r="B19" s="74">
        <v>45658</v>
      </c>
      <c r="C19" s="74">
        <v>45689</v>
      </c>
      <c r="D19" s="74">
        <v>45717</v>
      </c>
      <c r="E19" s="74">
        <v>45748</v>
      </c>
      <c r="F19" s="74">
        <v>45778</v>
      </c>
      <c r="G19" s="74">
        <v>45809</v>
      </c>
      <c r="H19" s="74">
        <v>45839</v>
      </c>
      <c r="I19" s="74">
        <v>45870</v>
      </c>
      <c r="J19" s="74">
        <v>45901</v>
      </c>
      <c r="K19" s="74">
        <v>45931</v>
      </c>
      <c r="L19" s="74">
        <v>45962</v>
      </c>
      <c r="M19" s="74">
        <v>45992</v>
      </c>
    </row>
    <row r="20" spans="1:13" x14ac:dyDescent="0.2">
      <c r="A20" s="65" t="s">
        <v>110</v>
      </c>
      <c r="B20" s="69"/>
      <c r="C20" s="69">
        <f t="shared" ref="C20:M20" si="3">B31</f>
        <v>-36000</v>
      </c>
      <c r="D20" s="69">
        <f t="shared" si="3"/>
        <v>38000</v>
      </c>
      <c r="E20" s="69">
        <f t="shared" si="3"/>
        <v>0</v>
      </c>
      <c r="F20" s="69">
        <f t="shared" si="3"/>
        <v>141594</v>
      </c>
      <c r="G20" s="69">
        <f t="shared" si="3"/>
        <v>141594</v>
      </c>
      <c r="H20" s="69">
        <f t="shared" si="3"/>
        <v>141594</v>
      </c>
      <c r="I20" s="69">
        <f t="shared" si="3"/>
        <v>141594</v>
      </c>
      <c r="J20" s="69">
        <f t="shared" si="3"/>
        <v>141594</v>
      </c>
      <c r="K20" s="69">
        <f t="shared" si="3"/>
        <v>141594</v>
      </c>
      <c r="L20" s="69">
        <f t="shared" si="3"/>
        <v>141594</v>
      </c>
      <c r="M20" s="69">
        <f t="shared" si="3"/>
        <v>141594</v>
      </c>
    </row>
    <row r="21" spans="1:13" x14ac:dyDescent="0.2">
      <c r="A21" s="65" t="s">
        <v>693</v>
      </c>
      <c r="B21" s="69">
        <v>44000</v>
      </c>
      <c r="C21" s="69">
        <v>54000</v>
      </c>
      <c r="D21" s="69">
        <v>54000</v>
      </c>
      <c r="E21" s="69"/>
      <c r="F21" s="69"/>
      <c r="G21" s="69"/>
      <c r="H21" s="69"/>
      <c r="I21" s="69"/>
      <c r="J21" s="69"/>
      <c r="K21" s="69"/>
      <c r="L21" s="69"/>
      <c r="M21" s="69"/>
    </row>
    <row r="22" spans="1:13" x14ac:dyDescent="0.2">
      <c r="A22" s="65" t="s">
        <v>3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 x14ac:dyDescent="0.2">
      <c r="A23" s="65" t="s">
        <v>4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684</v>
      </c>
      <c r="B25" s="69"/>
      <c r="C25" s="69"/>
      <c r="D25" s="69"/>
      <c r="E25" s="69">
        <f>9815+37200+1100+43479</f>
        <v>91594</v>
      </c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683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75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5</v>
      </c>
      <c r="B28" s="69">
        <v>20000</v>
      </c>
      <c r="C28" s="69">
        <v>20000</v>
      </c>
      <c r="D28" s="69">
        <v>20000</v>
      </c>
      <c r="E28" s="69">
        <v>50000</v>
      </c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6</v>
      </c>
      <c r="B29" s="70">
        <f t="shared" ref="B29:M29" si="4">SUM(B20:B28)</f>
        <v>64000</v>
      </c>
      <c r="C29" s="70">
        <f t="shared" si="4"/>
        <v>38000</v>
      </c>
      <c r="D29" s="70">
        <f t="shared" si="4"/>
        <v>112000</v>
      </c>
      <c r="E29" s="70">
        <f t="shared" si="4"/>
        <v>141594</v>
      </c>
      <c r="F29" s="70">
        <f t="shared" si="4"/>
        <v>141594</v>
      </c>
      <c r="G29" s="70">
        <f t="shared" si="4"/>
        <v>141594</v>
      </c>
      <c r="H29" s="70">
        <f t="shared" si="4"/>
        <v>141594</v>
      </c>
      <c r="I29" s="70">
        <f t="shared" si="4"/>
        <v>141594</v>
      </c>
      <c r="J29" s="70">
        <f t="shared" si="4"/>
        <v>141594</v>
      </c>
      <c r="K29" s="70">
        <f t="shared" si="4"/>
        <v>141594</v>
      </c>
      <c r="L29" s="70">
        <f t="shared" si="4"/>
        <v>141594</v>
      </c>
      <c r="M29" s="70">
        <f t="shared" si="4"/>
        <v>141594</v>
      </c>
    </row>
    <row r="30" spans="1:13" ht="13.5" thickBot="1" x14ac:dyDescent="0.25">
      <c r="A30" s="65" t="s">
        <v>7</v>
      </c>
      <c r="B30" s="71">
        <v>100000</v>
      </c>
      <c r="C30" s="71"/>
      <c r="D30" s="71">
        <v>112000</v>
      </c>
      <c r="E30" s="71"/>
      <c r="F30" s="71"/>
      <c r="G30" s="71"/>
      <c r="H30" s="71"/>
      <c r="I30" s="71"/>
      <c r="J30" s="71"/>
      <c r="K30" s="71"/>
      <c r="L30" s="71"/>
      <c r="M30" s="71"/>
    </row>
    <row r="31" spans="1:13" ht="13.5" thickBot="1" x14ac:dyDescent="0.25">
      <c r="A31" s="65" t="s">
        <v>111</v>
      </c>
      <c r="B31" s="75">
        <f t="shared" ref="B31:L31" si="5">B29-B30</f>
        <v>-36000</v>
      </c>
      <c r="C31" s="76">
        <f t="shared" si="5"/>
        <v>38000</v>
      </c>
      <c r="D31" s="76">
        <f t="shared" si="5"/>
        <v>0</v>
      </c>
      <c r="E31" s="76">
        <f t="shared" si="5"/>
        <v>141594</v>
      </c>
      <c r="F31" s="76">
        <f t="shared" si="5"/>
        <v>141594</v>
      </c>
      <c r="G31" s="76">
        <f t="shared" si="5"/>
        <v>141594</v>
      </c>
      <c r="H31" s="76">
        <f t="shared" si="5"/>
        <v>141594</v>
      </c>
      <c r="I31" s="76">
        <f t="shared" si="5"/>
        <v>141594</v>
      </c>
      <c r="J31" s="76">
        <f t="shared" si="5"/>
        <v>141594</v>
      </c>
      <c r="K31" s="76">
        <f t="shared" si="5"/>
        <v>141594</v>
      </c>
      <c r="L31" s="76">
        <f t="shared" si="5"/>
        <v>141594</v>
      </c>
      <c r="M31" s="77">
        <f>M29-M30</f>
        <v>141594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5"/>
  <dimension ref="A2:M30"/>
  <sheetViews>
    <sheetView topLeftCell="A10" workbookViewId="0">
      <selection activeCell="I30" sqref="I30"/>
    </sheetView>
  </sheetViews>
  <sheetFormatPr baseColWidth="10" defaultRowHeight="12.75" x14ac:dyDescent="0.2"/>
  <cols>
    <col min="1" max="1" width="31" customWidth="1"/>
    <col min="2" max="2" width="12.85546875" customWidth="1"/>
    <col min="3" max="3" width="12.5703125" customWidth="1"/>
    <col min="4" max="4" width="12.7109375" customWidth="1"/>
    <col min="5" max="5" width="12.85546875" customWidth="1"/>
    <col min="6" max="6" width="11.85546875" customWidth="1"/>
    <col min="7" max="7" width="12.42578125" customWidth="1"/>
    <col min="8" max="8" width="12.5703125" customWidth="1"/>
    <col min="9" max="9" width="12.28515625" customWidth="1"/>
    <col min="10" max="11" width="12.42578125" customWidth="1"/>
    <col min="12" max="12" width="12.28515625" customWidth="1"/>
    <col min="13" max="13" width="12" customWidth="1"/>
  </cols>
  <sheetData>
    <row r="2" spans="1:13" x14ac:dyDescent="0.2">
      <c r="A2" s="72" t="s">
        <v>0</v>
      </c>
      <c r="B2" s="72" t="s">
        <v>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x14ac:dyDescent="0.2">
      <c r="A3" s="73"/>
      <c r="B3" s="74">
        <v>45292</v>
      </c>
      <c r="C3" s="74">
        <v>45323</v>
      </c>
      <c r="D3" s="74">
        <v>45352</v>
      </c>
      <c r="E3" s="74">
        <v>45383</v>
      </c>
      <c r="F3" s="74">
        <v>45413</v>
      </c>
      <c r="G3" s="74">
        <v>45444</v>
      </c>
      <c r="H3" s="74">
        <v>45474</v>
      </c>
      <c r="I3" s="74">
        <v>45505</v>
      </c>
      <c r="J3" s="74">
        <v>45536</v>
      </c>
      <c r="K3" s="74">
        <v>45566</v>
      </c>
      <c r="L3" s="74">
        <v>45597</v>
      </c>
      <c r="M3" s="74">
        <v>45627</v>
      </c>
    </row>
    <row r="4" spans="1:13" x14ac:dyDescent="0.2">
      <c r="A4" s="65" t="s">
        <v>110</v>
      </c>
      <c r="B4" s="69"/>
      <c r="C4" s="69">
        <f t="shared" ref="C4:M4" si="0">B15</f>
        <v>0</v>
      </c>
      <c r="D4" s="69">
        <f t="shared" si="0"/>
        <v>0</v>
      </c>
      <c r="E4" s="69">
        <f t="shared" si="0"/>
        <v>100000</v>
      </c>
      <c r="F4" s="69">
        <f t="shared" si="0"/>
        <v>200000</v>
      </c>
      <c r="G4" s="69">
        <f t="shared" si="0"/>
        <v>300000</v>
      </c>
      <c r="H4" s="69">
        <f t="shared" si="0"/>
        <v>400000</v>
      </c>
      <c r="I4" s="69">
        <f t="shared" si="0"/>
        <v>500000</v>
      </c>
      <c r="J4" s="69">
        <f t="shared" si="0"/>
        <v>600000</v>
      </c>
      <c r="K4" s="69">
        <f t="shared" si="0"/>
        <v>700000</v>
      </c>
      <c r="L4" s="69">
        <f t="shared" si="0"/>
        <v>800000</v>
      </c>
      <c r="M4" s="69">
        <f t="shared" si="0"/>
        <v>900000</v>
      </c>
    </row>
    <row r="5" spans="1:13" x14ac:dyDescent="0.2">
      <c r="A5" s="65" t="s">
        <v>144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3" x14ac:dyDescent="0.2">
      <c r="A6" s="65" t="s">
        <v>3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73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5</v>
      </c>
      <c r="B12" s="69"/>
      <c r="C12" s="69"/>
      <c r="D12" s="69">
        <v>100000</v>
      </c>
      <c r="E12" s="69">
        <v>100000</v>
      </c>
      <c r="F12" s="69">
        <v>100000</v>
      </c>
      <c r="G12" s="69">
        <v>100000</v>
      </c>
      <c r="H12" s="69">
        <v>100000</v>
      </c>
      <c r="I12" s="69">
        <v>100000</v>
      </c>
      <c r="J12" s="69">
        <v>100000</v>
      </c>
      <c r="K12" s="69">
        <v>100000</v>
      </c>
      <c r="L12" s="69">
        <v>100000</v>
      </c>
      <c r="M12" s="69">
        <v>100000</v>
      </c>
    </row>
    <row r="13" spans="1:13" x14ac:dyDescent="0.2">
      <c r="A13" s="65" t="s">
        <v>6</v>
      </c>
      <c r="B13" s="70">
        <f t="shared" ref="B13:M13" si="1">SUM(B4:B12)</f>
        <v>0</v>
      </c>
      <c r="C13" s="70">
        <f t="shared" si="1"/>
        <v>0</v>
      </c>
      <c r="D13" s="70">
        <f t="shared" si="1"/>
        <v>100000</v>
      </c>
      <c r="E13" s="70">
        <f t="shared" si="1"/>
        <v>200000</v>
      </c>
      <c r="F13" s="70">
        <f t="shared" si="1"/>
        <v>300000</v>
      </c>
      <c r="G13" s="70">
        <f t="shared" si="1"/>
        <v>400000</v>
      </c>
      <c r="H13" s="70">
        <f t="shared" si="1"/>
        <v>500000</v>
      </c>
      <c r="I13" s="70">
        <f t="shared" si="1"/>
        <v>600000</v>
      </c>
      <c r="J13" s="70">
        <f t="shared" si="1"/>
        <v>700000</v>
      </c>
      <c r="K13" s="70">
        <f t="shared" si="1"/>
        <v>800000</v>
      </c>
      <c r="L13" s="70">
        <f t="shared" si="1"/>
        <v>900000</v>
      </c>
      <c r="M13" s="70">
        <f t="shared" si="1"/>
        <v>1000000</v>
      </c>
    </row>
    <row r="14" spans="1:13" ht="13.5" thickBot="1" x14ac:dyDescent="0.25">
      <c r="A14" s="65" t="s">
        <v>7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13" ht="13.5" thickBot="1" x14ac:dyDescent="0.25">
      <c r="A15" s="65" t="s">
        <v>111</v>
      </c>
      <c r="B15" s="75">
        <f t="shared" ref="B15:L15" si="2">B13-B14</f>
        <v>0</v>
      </c>
      <c r="C15" s="76">
        <f t="shared" si="2"/>
        <v>0</v>
      </c>
      <c r="D15" s="76">
        <f t="shared" si="2"/>
        <v>100000</v>
      </c>
      <c r="E15" s="76">
        <f t="shared" si="2"/>
        <v>200000</v>
      </c>
      <c r="F15" s="76">
        <f t="shared" si="2"/>
        <v>300000</v>
      </c>
      <c r="G15" s="76">
        <f t="shared" si="2"/>
        <v>400000</v>
      </c>
      <c r="H15" s="76">
        <f t="shared" si="2"/>
        <v>500000</v>
      </c>
      <c r="I15" s="76">
        <f t="shared" si="2"/>
        <v>600000</v>
      </c>
      <c r="J15" s="76">
        <f t="shared" si="2"/>
        <v>700000</v>
      </c>
      <c r="K15" s="76">
        <f t="shared" si="2"/>
        <v>800000</v>
      </c>
      <c r="L15" s="76">
        <f t="shared" si="2"/>
        <v>900000</v>
      </c>
      <c r="M15" s="77">
        <f>M13-M14</f>
        <v>1000000</v>
      </c>
    </row>
    <row r="17" spans="1:13" x14ac:dyDescent="0.2">
      <c r="A17" s="72" t="s">
        <v>0</v>
      </c>
      <c r="B17" s="72" t="s">
        <v>1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</row>
    <row r="18" spans="1:13" x14ac:dyDescent="0.2">
      <c r="A18" s="73"/>
      <c r="B18" s="74">
        <v>45658</v>
      </c>
      <c r="C18" s="74">
        <v>45689</v>
      </c>
      <c r="D18" s="74">
        <v>45717</v>
      </c>
      <c r="E18" s="74">
        <v>45748</v>
      </c>
      <c r="F18" s="74">
        <v>45778</v>
      </c>
      <c r="G18" s="74">
        <v>45809</v>
      </c>
      <c r="H18" s="74">
        <v>45839</v>
      </c>
      <c r="I18" s="74">
        <v>45870</v>
      </c>
      <c r="J18" s="74">
        <v>45901</v>
      </c>
      <c r="K18" s="74">
        <v>45931</v>
      </c>
      <c r="L18" s="74">
        <v>45962</v>
      </c>
      <c r="M18" s="74">
        <v>45992</v>
      </c>
    </row>
    <row r="19" spans="1:13" x14ac:dyDescent="0.2">
      <c r="A19" s="65" t="s">
        <v>110</v>
      </c>
      <c r="B19" s="94">
        <v>1000000</v>
      </c>
      <c r="C19" s="94">
        <f t="shared" ref="C19:M19" si="3">B30</f>
        <v>1100000</v>
      </c>
      <c r="D19" s="94">
        <f t="shared" si="3"/>
        <v>1200000</v>
      </c>
      <c r="E19" s="94">
        <f t="shared" si="3"/>
        <v>1300000</v>
      </c>
      <c r="F19" s="94">
        <f t="shared" si="3"/>
        <v>1400000</v>
      </c>
      <c r="G19" s="94">
        <f t="shared" si="3"/>
        <v>1500000</v>
      </c>
      <c r="H19" s="94">
        <f t="shared" si="3"/>
        <v>1600000</v>
      </c>
      <c r="I19" s="94">
        <f t="shared" si="3"/>
        <v>1700000</v>
      </c>
      <c r="J19" s="94">
        <f t="shared" si="3"/>
        <v>0</v>
      </c>
      <c r="K19" s="94">
        <f t="shared" si="3"/>
        <v>0</v>
      </c>
      <c r="L19" s="94">
        <f t="shared" si="3"/>
        <v>0</v>
      </c>
      <c r="M19" s="94">
        <f t="shared" si="3"/>
        <v>0</v>
      </c>
    </row>
    <row r="20" spans="1:13" x14ac:dyDescent="0.2">
      <c r="A20" s="65" t="s">
        <v>144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3" x14ac:dyDescent="0.2">
      <c r="A21" s="65" t="s">
        <v>3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3" x14ac:dyDescent="0.2">
      <c r="A22" s="65" t="s">
        <v>4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3" x14ac:dyDescent="0.2">
      <c r="A23" s="65" t="s">
        <v>9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3" x14ac:dyDescent="0.2">
      <c r="A24" s="65" t="s">
        <v>73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3" x14ac:dyDescent="0.2">
      <c r="A25" s="65" t="s">
        <v>74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1:13" x14ac:dyDescent="0.2">
      <c r="A26" s="65" t="s">
        <v>75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3" x14ac:dyDescent="0.2">
      <c r="A27" s="65" t="s">
        <v>5</v>
      </c>
      <c r="B27" s="94">
        <v>100000</v>
      </c>
      <c r="C27" s="94">
        <v>100000</v>
      </c>
      <c r="D27" s="94">
        <v>100000</v>
      </c>
      <c r="E27" s="94">
        <v>100000</v>
      </c>
      <c r="F27" s="94">
        <v>100000</v>
      </c>
      <c r="G27" s="94">
        <v>100000</v>
      </c>
      <c r="H27" s="94">
        <v>100000</v>
      </c>
      <c r="I27" s="94">
        <v>100000</v>
      </c>
      <c r="J27" s="94"/>
      <c r="K27" s="94"/>
      <c r="L27" s="94"/>
      <c r="M27" s="94"/>
    </row>
    <row r="28" spans="1:13" x14ac:dyDescent="0.2">
      <c r="A28" s="65" t="s">
        <v>6</v>
      </c>
      <c r="B28" s="70">
        <f t="shared" ref="B28:M28" si="4">SUM(B19:B27)</f>
        <v>1100000</v>
      </c>
      <c r="C28" s="70">
        <f t="shared" si="4"/>
        <v>1200000</v>
      </c>
      <c r="D28" s="70">
        <f t="shared" si="4"/>
        <v>1300000</v>
      </c>
      <c r="E28" s="70">
        <f t="shared" si="4"/>
        <v>1400000</v>
      </c>
      <c r="F28" s="70">
        <f t="shared" si="4"/>
        <v>1500000</v>
      </c>
      <c r="G28" s="70">
        <f t="shared" si="4"/>
        <v>1600000</v>
      </c>
      <c r="H28" s="70">
        <f t="shared" si="4"/>
        <v>1700000</v>
      </c>
      <c r="I28" s="70">
        <f t="shared" si="4"/>
        <v>1800000</v>
      </c>
      <c r="J28" s="70">
        <f t="shared" si="4"/>
        <v>0</v>
      </c>
      <c r="K28" s="70">
        <f t="shared" si="4"/>
        <v>0</v>
      </c>
      <c r="L28" s="70">
        <f t="shared" si="4"/>
        <v>0</v>
      </c>
      <c r="M28" s="70">
        <f t="shared" si="4"/>
        <v>0</v>
      </c>
    </row>
    <row r="29" spans="1:13" ht="13.5" thickBot="1" x14ac:dyDescent="0.25">
      <c r="A29" s="65" t="s">
        <v>7</v>
      </c>
      <c r="B29" s="71"/>
      <c r="C29" s="71"/>
      <c r="D29" s="71"/>
      <c r="E29" s="71"/>
      <c r="F29" s="71"/>
      <c r="G29" s="71"/>
      <c r="H29" s="71"/>
      <c r="I29" s="71">
        <f>1000000+269000+531000</f>
        <v>1800000</v>
      </c>
      <c r="J29" s="71"/>
      <c r="K29" s="71"/>
      <c r="L29" s="71"/>
      <c r="M29" s="71"/>
    </row>
    <row r="30" spans="1:13" ht="13.5" thickBot="1" x14ac:dyDescent="0.25">
      <c r="A30" s="65" t="s">
        <v>111</v>
      </c>
      <c r="B30" s="75">
        <f t="shared" ref="B30:L30" si="5">B28-B29</f>
        <v>1100000</v>
      </c>
      <c r="C30" s="76">
        <f t="shared" si="5"/>
        <v>1200000</v>
      </c>
      <c r="D30" s="76">
        <f t="shared" si="5"/>
        <v>1300000</v>
      </c>
      <c r="E30" s="76">
        <f t="shared" si="5"/>
        <v>1400000</v>
      </c>
      <c r="F30" s="76">
        <f t="shared" si="5"/>
        <v>1500000</v>
      </c>
      <c r="G30" s="76">
        <f t="shared" si="5"/>
        <v>1600000</v>
      </c>
      <c r="H30" s="76">
        <f t="shared" si="5"/>
        <v>1700000</v>
      </c>
      <c r="I30" s="76">
        <f t="shared" si="5"/>
        <v>0</v>
      </c>
      <c r="J30" s="76">
        <f t="shared" si="5"/>
        <v>0</v>
      </c>
      <c r="K30" s="76">
        <f t="shared" si="5"/>
        <v>0</v>
      </c>
      <c r="L30" s="76">
        <f t="shared" si="5"/>
        <v>0</v>
      </c>
      <c r="M30" s="77">
        <f>M28-M29</f>
        <v>0</v>
      </c>
    </row>
  </sheetData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9"/>
  <dimension ref="A2:M60"/>
  <sheetViews>
    <sheetView topLeftCell="A4" workbookViewId="0">
      <selection activeCell="I20" sqref="I20"/>
    </sheetView>
  </sheetViews>
  <sheetFormatPr baseColWidth="10" defaultRowHeight="12.75" x14ac:dyDescent="0.2"/>
  <cols>
    <col min="1" max="1" width="26.85546875" customWidth="1"/>
    <col min="4" max="4" width="12.85546875" customWidth="1"/>
    <col min="5" max="5" width="13" customWidth="1"/>
    <col min="6" max="6" width="13.28515625" customWidth="1"/>
    <col min="7" max="7" width="12.42578125" customWidth="1"/>
    <col min="8" max="8" width="13.28515625" customWidth="1"/>
    <col min="9" max="9" width="13.42578125" customWidth="1"/>
    <col min="10" max="10" width="12.28515625" customWidth="1"/>
    <col min="11" max="11" width="13.28515625" customWidth="1"/>
    <col min="12" max="13" width="12.28515625" customWidth="1"/>
  </cols>
  <sheetData>
    <row r="2" spans="1:13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x14ac:dyDescent="0.2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 x14ac:dyDescent="0.2">
      <c r="A5" s="66" t="s">
        <v>11</v>
      </c>
      <c r="B5" s="222" t="s">
        <v>136</v>
      </c>
      <c r="C5" s="222"/>
      <c r="D5" s="222"/>
      <c r="E5" s="222"/>
      <c r="F5" s="222"/>
      <c r="G5" s="222"/>
      <c r="H5" s="65"/>
      <c r="I5" s="65"/>
      <c r="J5" s="65"/>
      <c r="K5" s="65"/>
      <c r="L5" s="65"/>
      <c r="M5" s="65"/>
    </row>
    <row r="6" spans="1:13" x14ac:dyDescent="0.2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spans="1:13" x14ac:dyDescent="0.2">
      <c r="A7" s="67" t="s">
        <v>0</v>
      </c>
      <c r="B7" s="67" t="s">
        <v>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</row>
    <row r="8" spans="1:13" x14ac:dyDescent="0.2">
      <c r="A8" s="65"/>
      <c r="B8" s="68">
        <v>45674</v>
      </c>
      <c r="C8" s="68">
        <v>45705</v>
      </c>
      <c r="D8" s="68">
        <v>45733</v>
      </c>
      <c r="E8" s="68">
        <v>45764</v>
      </c>
      <c r="F8" s="68">
        <v>45794</v>
      </c>
      <c r="G8" s="68">
        <v>45825</v>
      </c>
      <c r="H8" s="68">
        <v>45855</v>
      </c>
      <c r="I8" s="68">
        <v>45886</v>
      </c>
      <c r="J8" s="68">
        <v>45917</v>
      </c>
      <c r="K8" s="68">
        <v>45947</v>
      </c>
      <c r="L8" s="68">
        <v>45978</v>
      </c>
      <c r="M8" s="68">
        <v>46008</v>
      </c>
    </row>
    <row r="9" spans="1:13" x14ac:dyDescent="0.2">
      <c r="A9" s="65" t="s">
        <v>110</v>
      </c>
      <c r="B9" s="69">
        <v>640000</v>
      </c>
      <c r="C9" s="69">
        <f>B20</f>
        <v>800000</v>
      </c>
      <c r="D9" s="69">
        <f t="shared" ref="D9:M9" si="0">C20</f>
        <v>960000</v>
      </c>
      <c r="E9" s="69">
        <f t="shared" si="0"/>
        <v>1120000</v>
      </c>
      <c r="F9" s="69">
        <f t="shared" si="0"/>
        <v>1280000</v>
      </c>
      <c r="G9" s="69">
        <f t="shared" si="0"/>
        <v>1440000</v>
      </c>
      <c r="H9" s="69">
        <f t="shared" si="0"/>
        <v>1600000</v>
      </c>
      <c r="I9" s="69">
        <f t="shared" si="0"/>
        <v>1760000</v>
      </c>
      <c r="J9" s="69">
        <f t="shared" si="0"/>
        <v>0</v>
      </c>
      <c r="K9" s="69">
        <f>J20</f>
        <v>0</v>
      </c>
      <c r="L9" s="69">
        <f t="shared" si="0"/>
        <v>0</v>
      </c>
      <c r="M9" s="69">
        <f t="shared" si="0"/>
        <v>0</v>
      </c>
    </row>
    <row r="10" spans="1:13" x14ac:dyDescent="0.2">
      <c r="A10" s="65" t="s">
        <v>76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73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74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185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13" x14ac:dyDescent="0.2">
      <c r="A17" s="65" t="s">
        <v>5</v>
      </c>
      <c r="B17" s="69">
        <v>160000</v>
      </c>
      <c r="C17" s="69">
        <v>160000</v>
      </c>
      <c r="D17" s="69">
        <v>160000</v>
      </c>
      <c r="E17" s="69">
        <v>160000</v>
      </c>
      <c r="F17" s="69">
        <v>160000</v>
      </c>
      <c r="G17" s="69">
        <v>160000</v>
      </c>
      <c r="H17" s="69">
        <v>160000</v>
      </c>
      <c r="I17" s="69">
        <v>160000</v>
      </c>
      <c r="J17" s="69"/>
      <c r="K17" s="69"/>
      <c r="L17" s="69"/>
      <c r="M17" s="69"/>
    </row>
    <row r="18" spans="1:13" x14ac:dyDescent="0.2">
      <c r="A18" s="65" t="s">
        <v>6</v>
      </c>
      <c r="B18" s="70">
        <f>SUM(B9:B17)</f>
        <v>800000</v>
      </c>
      <c r="C18" s="70">
        <f t="shared" ref="C18:M18" si="1">SUM(C9:C17)</f>
        <v>960000</v>
      </c>
      <c r="D18" s="70">
        <f t="shared" si="1"/>
        <v>1120000</v>
      </c>
      <c r="E18" s="70">
        <f t="shared" si="1"/>
        <v>1280000</v>
      </c>
      <c r="F18" s="70">
        <f t="shared" si="1"/>
        <v>1440000</v>
      </c>
      <c r="G18" s="70">
        <f t="shared" si="1"/>
        <v>1600000</v>
      </c>
      <c r="H18" s="70">
        <f t="shared" si="1"/>
        <v>1760000</v>
      </c>
      <c r="I18" s="70">
        <f t="shared" si="1"/>
        <v>1920000</v>
      </c>
      <c r="J18" s="70">
        <f t="shared" si="1"/>
        <v>0</v>
      </c>
      <c r="K18" s="70">
        <f t="shared" si="1"/>
        <v>0</v>
      </c>
      <c r="L18" s="70">
        <f t="shared" si="1"/>
        <v>0</v>
      </c>
      <c r="M18" s="70">
        <f t="shared" si="1"/>
        <v>0</v>
      </c>
    </row>
    <row r="19" spans="1:13" x14ac:dyDescent="0.2">
      <c r="A19" s="65" t="s">
        <v>7</v>
      </c>
      <c r="B19" s="71"/>
      <c r="C19" s="71"/>
      <c r="D19" s="71"/>
      <c r="E19" s="71"/>
      <c r="F19" s="71"/>
      <c r="G19" s="71"/>
      <c r="H19" s="71"/>
      <c r="I19" s="71">
        <v>1920000</v>
      </c>
      <c r="J19" s="71"/>
      <c r="K19" s="71"/>
      <c r="L19" s="71"/>
      <c r="M19" s="71"/>
    </row>
    <row r="20" spans="1:13" x14ac:dyDescent="0.2">
      <c r="A20" s="65" t="s">
        <v>111</v>
      </c>
      <c r="B20" s="70">
        <f>B18-B19</f>
        <v>800000</v>
      </c>
      <c r="C20" s="70">
        <f>C18-C19</f>
        <v>960000</v>
      </c>
      <c r="D20" s="70">
        <f t="shared" ref="D20:M20" si="2">D18-D19</f>
        <v>1120000</v>
      </c>
      <c r="E20" s="70">
        <f t="shared" si="2"/>
        <v>1280000</v>
      </c>
      <c r="F20" s="70">
        <f t="shared" si="2"/>
        <v>1440000</v>
      </c>
      <c r="G20" s="70">
        <f t="shared" si="2"/>
        <v>1600000</v>
      </c>
      <c r="H20" s="70">
        <f t="shared" si="2"/>
        <v>1760000</v>
      </c>
      <c r="I20" s="70">
        <f t="shared" si="2"/>
        <v>0</v>
      </c>
      <c r="J20" s="70">
        <f t="shared" si="2"/>
        <v>0</v>
      </c>
      <c r="K20" s="70">
        <f t="shared" si="2"/>
        <v>0</v>
      </c>
      <c r="L20" s="70">
        <f t="shared" si="2"/>
        <v>0</v>
      </c>
      <c r="M20" s="70">
        <f t="shared" si="2"/>
        <v>0</v>
      </c>
    </row>
    <row r="21" spans="1:13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1:13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</row>
    <row r="24" spans="1:13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3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</row>
    <row r="26" spans="1:13" x14ac:dyDescent="0.2">
      <c r="A26" s="72" t="s">
        <v>0</v>
      </c>
      <c r="B26" s="72" t="s">
        <v>1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7" spans="1:13" x14ac:dyDescent="0.2">
      <c r="A27" s="73"/>
      <c r="B27" s="74">
        <v>44927</v>
      </c>
      <c r="C27" s="74">
        <v>44958</v>
      </c>
      <c r="D27" s="74">
        <v>44986</v>
      </c>
      <c r="E27" s="74">
        <v>45017</v>
      </c>
      <c r="F27" s="74">
        <v>45047</v>
      </c>
      <c r="G27" s="74">
        <v>45078</v>
      </c>
      <c r="H27" s="74">
        <v>45108</v>
      </c>
      <c r="I27" s="74">
        <v>45139</v>
      </c>
      <c r="J27" s="74">
        <v>45170</v>
      </c>
      <c r="K27" s="74">
        <v>45200</v>
      </c>
      <c r="L27" s="74">
        <v>45231</v>
      </c>
      <c r="M27" s="74">
        <v>45261</v>
      </c>
    </row>
    <row r="28" spans="1:13" x14ac:dyDescent="0.2">
      <c r="A28" s="65" t="s">
        <v>110</v>
      </c>
      <c r="B28" s="69">
        <v>200000</v>
      </c>
      <c r="C28" s="69">
        <f t="shared" ref="C28:I28" si="3">B39</f>
        <v>200000</v>
      </c>
      <c r="D28" s="69">
        <f t="shared" si="3"/>
        <v>200000</v>
      </c>
      <c r="E28" s="69">
        <f t="shared" si="3"/>
        <v>200000</v>
      </c>
      <c r="F28" s="69">
        <f t="shared" si="3"/>
        <v>200000</v>
      </c>
      <c r="G28" s="69">
        <f t="shared" si="3"/>
        <v>200000</v>
      </c>
      <c r="H28" s="69">
        <f t="shared" si="3"/>
        <v>200000</v>
      </c>
      <c r="I28" s="69">
        <f t="shared" si="3"/>
        <v>200000</v>
      </c>
      <c r="J28" s="69">
        <f>I39</f>
        <v>200000</v>
      </c>
      <c r="K28" s="69">
        <f>J39</f>
        <v>200000</v>
      </c>
      <c r="L28" s="69">
        <f>K39</f>
        <v>200000</v>
      </c>
      <c r="M28" s="69">
        <f>L39</f>
        <v>200000</v>
      </c>
    </row>
    <row r="29" spans="1:13" x14ac:dyDescent="0.2">
      <c r="A29" s="65" t="s">
        <v>144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4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x14ac:dyDescent="0.2">
      <c r="A32" s="65" t="s">
        <v>9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1:13" x14ac:dyDescent="0.2">
      <c r="A33" s="65" t="s">
        <v>73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 x14ac:dyDescent="0.2">
      <c r="A34" s="65" t="s">
        <v>74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1:13" x14ac:dyDescent="0.2">
      <c r="A35" s="65" t="s">
        <v>735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</row>
    <row r="36" spans="1:13" x14ac:dyDescent="0.2">
      <c r="A36" s="65" t="s">
        <v>5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</row>
    <row r="37" spans="1:13" x14ac:dyDescent="0.2">
      <c r="A37" s="65" t="s">
        <v>6</v>
      </c>
      <c r="B37" s="70">
        <f t="shared" ref="B37:M37" si="4">SUM(B28:B36)</f>
        <v>200000</v>
      </c>
      <c r="C37" s="70">
        <f t="shared" si="4"/>
        <v>200000</v>
      </c>
      <c r="D37" s="70">
        <f t="shared" si="4"/>
        <v>200000</v>
      </c>
      <c r="E37" s="70">
        <f t="shared" si="4"/>
        <v>200000</v>
      </c>
      <c r="F37" s="70">
        <f t="shared" si="4"/>
        <v>200000</v>
      </c>
      <c r="G37" s="70">
        <f t="shared" si="4"/>
        <v>200000</v>
      </c>
      <c r="H37" s="70">
        <f t="shared" si="4"/>
        <v>200000</v>
      </c>
      <c r="I37" s="70">
        <f t="shared" si="4"/>
        <v>200000</v>
      </c>
      <c r="J37" s="70">
        <f t="shared" si="4"/>
        <v>200000</v>
      </c>
      <c r="K37" s="70">
        <f t="shared" si="4"/>
        <v>200000</v>
      </c>
      <c r="L37" s="70">
        <f t="shared" si="4"/>
        <v>200000</v>
      </c>
      <c r="M37" s="70">
        <f t="shared" si="4"/>
        <v>200000</v>
      </c>
    </row>
    <row r="38" spans="1:13" ht="13.5" thickBot="1" x14ac:dyDescent="0.25">
      <c r="A38" s="65" t="s">
        <v>7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</row>
    <row r="39" spans="1:13" ht="13.5" thickBot="1" x14ac:dyDescent="0.25">
      <c r="A39" s="65" t="s">
        <v>111</v>
      </c>
      <c r="B39" s="75">
        <f t="shared" ref="B39:L39" si="5">B37-B38</f>
        <v>200000</v>
      </c>
      <c r="C39" s="76">
        <f t="shared" si="5"/>
        <v>200000</v>
      </c>
      <c r="D39" s="76">
        <f t="shared" si="5"/>
        <v>200000</v>
      </c>
      <c r="E39" s="76">
        <f t="shared" si="5"/>
        <v>200000</v>
      </c>
      <c r="F39" s="76">
        <f t="shared" si="5"/>
        <v>200000</v>
      </c>
      <c r="G39" s="76">
        <f t="shared" si="5"/>
        <v>200000</v>
      </c>
      <c r="H39" s="76">
        <f t="shared" si="5"/>
        <v>200000</v>
      </c>
      <c r="I39" s="76">
        <f t="shared" si="5"/>
        <v>200000</v>
      </c>
      <c r="J39" s="76">
        <f t="shared" si="5"/>
        <v>200000</v>
      </c>
      <c r="K39" s="76">
        <f t="shared" si="5"/>
        <v>200000</v>
      </c>
      <c r="L39" s="76">
        <f t="shared" si="5"/>
        <v>200000</v>
      </c>
      <c r="M39" s="77">
        <f>M37-M38</f>
        <v>200000</v>
      </c>
    </row>
    <row r="40" spans="1:13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3" x14ac:dyDescent="0.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</row>
    <row r="42" spans="1:13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</row>
    <row r="43" spans="1:13" x14ac:dyDescent="0.2">
      <c r="A43" s="72" t="s">
        <v>0</v>
      </c>
      <c r="B43" s="72" t="s">
        <v>1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</row>
    <row r="44" spans="1:13" x14ac:dyDescent="0.2">
      <c r="A44" s="73"/>
      <c r="B44" s="74">
        <v>45292</v>
      </c>
      <c r="C44" s="74">
        <v>45323</v>
      </c>
      <c r="D44" s="74">
        <v>45352</v>
      </c>
      <c r="E44" s="74">
        <v>45383</v>
      </c>
      <c r="F44" s="74">
        <v>45413</v>
      </c>
      <c r="G44" s="74">
        <v>45444</v>
      </c>
      <c r="H44" s="74">
        <v>45474</v>
      </c>
      <c r="I44" s="74">
        <v>45505</v>
      </c>
      <c r="J44" s="74">
        <v>45536</v>
      </c>
      <c r="K44" s="74">
        <v>45566</v>
      </c>
      <c r="L44" s="74">
        <v>45597</v>
      </c>
      <c r="M44" s="74">
        <v>45627</v>
      </c>
    </row>
    <row r="45" spans="1:13" x14ac:dyDescent="0.2">
      <c r="A45" s="65" t="s">
        <v>110</v>
      </c>
      <c r="B45" s="69">
        <v>380000</v>
      </c>
      <c r="C45" s="69">
        <f t="shared" ref="C45:M45" si="6">B56</f>
        <v>475000</v>
      </c>
      <c r="D45" s="69">
        <f t="shared" si="6"/>
        <v>570000</v>
      </c>
      <c r="E45" s="69">
        <f t="shared" si="6"/>
        <v>665000</v>
      </c>
      <c r="F45" s="69">
        <f t="shared" si="6"/>
        <v>760000</v>
      </c>
      <c r="G45" s="69">
        <f t="shared" si="6"/>
        <v>855000</v>
      </c>
      <c r="H45" s="69">
        <f t="shared" si="6"/>
        <v>950000</v>
      </c>
      <c r="I45" s="69">
        <f t="shared" si="6"/>
        <v>1045000</v>
      </c>
      <c r="J45" s="69">
        <f t="shared" si="6"/>
        <v>0</v>
      </c>
      <c r="K45" s="69">
        <f t="shared" si="6"/>
        <v>160000</v>
      </c>
      <c r="L45" s="69">
        <f t="shared" si="6"/>
        <v>320000</v>
      </c>
      <c r="M45" s="69">
        <f t="shared" si="6"/>
        <v>480000</v>
      </c>
    </row>
    <row r="46" spans="1:13" x14ac:dyDescent="0.2">
      <c r="A46" s="65" t="s">
        <v>144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 x14ac:dyDescent="0.2">
      <c r="A47" s="65" t="s">
        <v>3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3" x14ac:dyDescent="0.2">
      <c r="A48" s="65" t="s">
        <v>4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 spans="1:13" x14ac:dyDescent="0.2">
      <c r="A49" s="65" t="s">
        <v>9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3" x14ac:dyDescent="0.2">
      <c r="A50" s="65" t="s">
        <v>73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</row>
    <row r="51" spans="1:13" x14ac:dyDescent="0.2">
      <c r="A51" s="65" t="s">
        <v>74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</row>
    <row r="52" spans="1:13" x14ac:dyDescent="0.2">
      <c r="A52" s="65" t="s">
        <v>75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</row>
    <row r="53" spans="1:13" x14ac:dyDescent="0.2">
      <c r="A53" s="65" t="s">
        <v>5</v>
      </c>
      <c r="B53" s="69">
        <v>95000</v>
      </c>
      <c r="C53" s="69">
        <v>95000</v>
      </c>
      <c r="D53" s="69">
        <v>95000</v>
      </c>
      <c r="E53" s="69">
        <v>95000</v>
      </c>
      <c r="F53" s="69">
        <v>95000</v>
      </c>
      <c r="G53" s="69">
        <v>95000</v>
      </c>
      <c r="H53" s="69">
        <v>95000</v>
      </c>
      <c r="I53" s="69">
        <v>95000</v>
      </c>
      <c r="J53" s="69">
        <v>160000</v>
      </c>
      <c r="K53" s="69">
        <v>160000</v>
      </c>
      <c r="L53" s="69">
        <v>160000</v>
      </c>
      <c r="M53" s="69">
        <v>160000</v>
      </c>
    </row>
    <row r="54" spans="1:13" x14ac:dyDescent="0.2">
      <c r="A54" s="65" t="s">
        <v>6</v>
      </c>
      <c r="B54" s="70">
        <f t="shared" ref="B54:M54" si="7">SUM(B45:B53)</f>
        <v>475000</v>
      </c>
      <c r="C54" s="70">
        <f t="shared" si="7"/>
        <v>570000</v>
      </c>
      <c r="D54" s="70">
        <f t="shared" si="7"/>
        <v>665000</v>
      </c>
      <c r="E54" s="70">
        <f t="shared" si="7"/>
        <v>760000</v>
      </c>
      <c r="F54" s="70">
        <f t="shared" si="7"/>
        <v>855000</v>
      </c>
      <c r="G54" s="70">
        <f t="shared" si="7"/>
        <v>950000</v>
      </c>
      <c r="H54" s="70">
        <f t="shared" si="7"/>
        <v>1045000</v>
      </c>
      <c r="I54" s="70">
        <f t="shared" si="7"/>
        <v>1140000</v>
      </c>
      <c r="J54" s="70">
        <f t="shared" si="7"/>
        <v>160000</v>
      </c>
      <c r="K54" s="70">
        <f t="shared" si="7"/>
        <v>320000</v>
      </c>
      <c r="L54" s="70">
        <f t="shared" si="7"/>
        <v>480000</v>
      </c>
      <c r="M54" s="70">
        <f t="shared" si="7"/>
        <v>640000</v>
      </c>
    </row>
    <row r="55" spans="1:13" ht="13.5" thickBot="1" x14ac:dyDescent="0.25">
      <c r="A55" s="65" t="s">
        <v>7</v>
      </c>
      <c r="B55" s="71"/>
      <c r="C55" s="71"/>
      <c r="D55" s="71"/>
      <c r="E55" s="71"/>
      <c r="F55" s="71"/>
      <c r="G55" s="71"/>
      <c r="H55" s="71"/>
      <c r="I55" s="71">
        <v>1140000</v>
      </c>
      <c r="J55" s="71"/>
      <c r="K55" s="71"/>
      <c r="L55" s="71"/>
      <c r="M55" s="71"/>
    </row>
    <row r="56" spans="1:13" ht="13.5" thickBot="1" x14ac:dyDescent="0.25">
      <c r="A56" s="65" t="s">
        <v>111</v>
      </c>
      <c r="B56" s="75">
        <f t="shared" ref="B56:L56" si="8">B54-B55</f>
        <v>475000</v>
      </c>
      <c r="C56" s="76">
        <f t="shared" si="8"/>
        <v>570000</v>
      </c>
      <c r="D56" s="76">
        <f t="shared" si="8"/>
        <v>665000</v>
      </c>
      <c r="E56" s="76">
        <f t="shared" si="8"/>
        <v>760000</v>
      </c>
      <c r="F56" s="76">
        <f t="shared" si="8"/>
        <v>855000</v>
      </c>
      <c r="G56" s="76">
        <f t="shared" si="8"/>
        <v>950000</v>
      </c>
      <c r="H56" s="76">
        <f t="shared" si="8"/>
        <v>1045000</v>
      </c>
      <c r="I56" s="76">
        <f t="shared" si="8"/>
        <v>0</v>
      </c>
      <c r="J56" s="76">
        <f t="shared" si="8"/>
        <v>160000</v>
      </c>
      <c r="K56" s="76">
        <f t="shared" si="8"/>
        <v>320000</v>
      </c>
      <c r="L56" s="76">
        <f t="shared" si="8"/>
        <v>480000</v>
      </c>
      <c r="M56" s="77">
        <f>M54-M55</f>
        <v>640000</v>
      </c>
    </row>
    <row r="60" spans="1:13" x14ac:dyDescent="0.2">
      <c r="C60" t="s">
        <v>413</v>
      </c>
    </row>
  </sheetData>
  <mergeCells count="1">
    <mergeCell ref="B5:G5"/>
  </mergeCells>
  <phoneticPr fontId="4" type="noConversion"/>
  <pageMargins left="0.75" right="0.75" top="1" bottom="1" header="0" footer="0"/>
  <pageSetup orientation="portrait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0"/>
  <dimension ref="A7:M78"/>
  <sheetViews>
    <sheetView topLeftCell="A10" workbookViewId="0">
      <selection activeCell="M22" sqref="M22"/>
    </sheetView>
  </sheetViews>
  <sheetFormatPr baseColWidth="10" defaultRowHeight="12.75" x14ac:dyDescent="0.2"/>
  <cols>
    <col min="1" max="1" width="29.85546875" customWidth="1"/>
    <col min="7" max="7" width="12.5703125" customWidth="1"/>
    <col min="8" max="9" width="12.85546875" customWidth="1"/>
    <col min="10" max="10" width="12.5703125" customWidth="1"/>
    <col min="11" max="12" width="12.28515625" customWidth="1"/>
    <col min="13" max="13" width="12.7109375" customWidth="1"/>
  </cols>
  <sheetData>
    <row r="7" spans="1:13" ht="20.25" x14ac:dyDescent="0.3">
      <c r="A7" s="11" t="s">
        <v>11</v>
      </c>
      <c r="B7" s="216" t="s">
        <v>281</v>
      </c>
      <c r="C7" s="216"/>
      <c r="D7" s="216"/>
      <c r="E7" s="216"/>
      <c r="F7" s="216"/>
      <c r="G7" s="216"/>
      <c r="H7" s="2"/>
      <c r="I7" s="2"/>
      <c r="J7" s="2"/>
      <c r="K7" s="2"/>
      <c r="L7" s="2"/>
      <c r="M7" s="2"/>
    </row>
    <row r="8" spans="1:13" ht="20.2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31" t="s">
        <v>0</v>
      </c>
      <c r="B9" s="31" t="s">
        <v>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">
      <c r="A10" s="78"/>
      <c r="B10" s="79">
        <v>45658</v>
      </c>
      <c r="C10" s="79">
        <v>45689</v>
      </c>
      <c r="D10" s="79">
        <v>45717</v>
      </c>
      <c r="E10" s="79">
        <v>45748</v>
      </c>
      <c r="F10" s="79">
        <v>45778</v>
      </c>
      <c r="G10" s="79">
        <v>45809</v>
      </c>
      <c r="H10" s="79">
        <v>45839</v>
      </c>
      <c r="I10" s="79">
        <v>45870</v>
      </c>
      <c r="J10" s="79">
        <v>45901</v>
      </c>
      <c r="K10" s="79">
        <v>45931</v>
      </c>
      <c r="L10" s="79">
        <v>45962</v>
      </c>
      <c r="M10" s="79">
        <v>45992</v>
      </c>
    </row>
    <row r="11" spans="1:13" x14ac:dyDescent="0.2">
      <c r="A11" s="78" t="s">
        <v>110</v>
      </c>
      <c r="B11" s="42"/>
      <c r="C11" s="42">
        <f>B22</f>
        <v>110000</v>
      </c>
      <c r="D11" s="42">
        <f t="shared" ref="D11:M11" si="0">C22</f>
        <v>220000</v>
      </c>
      <c r="E11" s="42">
        <f t="shared" si="0"/>
        <v>330000</v>
      </c>
      <c r="F11" s="42">
        <f t="shared" si="0"/>
        <v>440000</v>
      </c>
      <c r="G11" s="42">
        <f t="shared" si="0"/>
        <v>550000</v>
      </c>
      <c r="H11" s="42">
        <f t="shared" si="0"/>
        <v>0</v>
      </c>
      <c r="I11" s="42">
        <f t="shared" si="0"/>
        <v>150000</v>
      </c>
      <c r="J11" s="42">
        <f t="shared" si="0"/>
        <v>310000</v>
      </c>
      <c r="K11" s="42">
        <f>J22</f>
        <v>470000</v>
      </c>
      <c r="L11" s="42">
        <f t="shared" si="0"/>
        <v>630000</v>
      </c>
      <c r="M11" s="42">
        <f t="shared" si="0"/>
        <v>790000</v>
      </c>
    </row>
    <row r="12" spans="1:13" x14ac:dyDescent="0.2">
      <c r="A12" s="78" t="s">
        <v>76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73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74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x14ac:dyDescent="0.2">
      <c r="A18" s="78" t="s">
        <v>75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2">
      <c r="A19" s="78" t="s">
        <v>5</v>
      </c>
      <c r="B19" s="42">
        <v>110000</v>
      </c>
      <c r="C19" s="42">
        <v>110000</v>
      </c>
      <c r="D19" s="42">
        <v>110000</v>
      </c>
      <c r="E19" s="42">
        <v>110000</v>
      </c>
      <c r="F19" s="42">
        <v>110000</v>
      </c>
      <c r="G19" s="42">
        <v>110000</v>
      </c>
      <c r="H19" s="42">
        <v>150000</v>
      </c>
      <c r="I19" s="42">
        <v>160000</v>
      </c>
      <c r="J19" s="42">
        <v>160000</v>
      </c>
      <c r="K19" s="42">
        <v>160000</v>
      </c>
      <c r="L19" s="42">
        <v>160000</v>
      </c>
      <c r="M19" s="42">
        <v>160000</v>
      </c>
    </row>
    <row r="20" spans="1:13" x14ac:dyDescent="0.2">
      <c r="A20" s="78" t="s">
        <v>6</v>
      </c>
      <c r="B20" s="43">
        <f>SUM(B11:B19)</f>
        <v>110000</v>
      </c>
      <c r="C20" s="43">
        <f t="shared" ref="C20:M20" si="1">SUM(C11:C19)</f>
        <v>220000</v>
      </c>
      <c r="D20" s="43">
        <f t="shared" si="1"/>
        <v>330000</v>
      </c>
      <c r="E20" s="43">
        <f t="shared" si="1"/>
        <v>440000</v>
      </c>
      <c r="F20" s="43">
        <f t="shared" si="1"/>
        <v>550000</v>
      </c>
      <c r="G20" s="43">
        <f t="shared" si="1"/>
        <v>660000</v>
      </c>
      <c r="H20" s="43">
        <f t="shared" si="1"/>
        <v>150000</v>
      </c>
      <c r="I20" s="43">
        <f t="shared" si="1"/>
        <v>310000</v>
      </c>
      <c r="J20" s="43">
        <f t="shared" si="1"/>
        <v>470000</v>
      </c>
      <c r="K20" s="43">
        <f t="shared" si="1"/>
        <v>630000</v>
      </c>
      <c r="L20" s="43">
        <f t="shared" si="1"/>
        <v>790000</v>
      </c>
      <c r="M20" s="43">
        <f t="shared" si="1"/>
        <v>950000</v>
      </c>
    </row>
    <row r="21" spans="1:13" x14ac:dyDescent="0.2">
      <c r="A21" s="78" t="s">
        <v>7</v>
      </c>
      <c r="B21" s="44"/>
      <c r="C21" s="44"/>
      <c r="D21" s="44"/>
      <c r="E21" s="44"/>
      <c r="F21" s="44"/>
      <c r="G21" s="44">
        <v>660000</v>
      </c>
      <c r="H21" s="44"/>
      <c r="I21" s="44"/>
      <c r="J21" s="44"/>
      <c r="K21" s="44"/>
      <c r="L21" s="44"/>
      <c r="M21" s="44">
        <v>950000</v>
      </c>
    </row>
    <row r="22" spans="1:13" x14ac:dyDescent="0.2">
      <c r="A22" s="78" t="s">
        <v>111</v>
      </c>
      <c r="B22" s="43">
        <f>B20-B21</f>
        <v>110000</v>
      </c>
      <c r="C22" s="43">
        <f>C20-C21</f>
        <v>220000</v>
      </c>
      <c r="D22" s="43">
        <f t="shared" ref="D22:M22" si="2">D20-D21</f>
        <v>330000</v>
      </c>
      <c r="E22" s="43">
        <f t="shared" si="2"/>
        <v>440000</v>
      </c>
      <c r="F22" s="43">
        <f t="shared" si="2"/>
        <v>550000</v>
      </c>
      <c r="G22" s="43">
        <f t="shared" si="2"/>
        <v>0</v>
      </c>
      <c r="H22" s="43">
        <f t="shared" si="2"/>
        <v>150000</v>
      </c>
      <c r="I22" s="43">
        <f t="shared" si="2"/>
        <v>310000</v>
      </c>
      <c r="J22" s="43">
        <f t="shared" si="2"/>
        <v>470000</v>
      </c>
      <c r="K22" s="43">
        <f t="shared" si="2"/>
        <v>630000</v>
      </c>
      <c r="L22" s="43">
        <f t="shared" si="2"/>
        <v>790000</v>
      </c>
      <c r="M22" s="43">
        <f t="shared" si="2"/>
        <v>0</v>
      </c>
    </row>
    <row r="23" spans="1:13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x14ac:dyDescent="0.2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3" x14ac:dyDescent="0.2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</row>
    <row r="26" spans="1:13" x14ac:dyDescent="0.2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</row>
    <row r="27" spans="1:13" x14ac:dyDescent="0.2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</row>
    <row r="28" spans="1:13" x14ac:dyDescent="0.2">
      <c r="A28" s="80" t="s">
        <v>0</v>
      </c>
      <c r="B28" s="80" t="s">
        <v>1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</row>
    <row r="29" spans="1:13" x14ac:dyDescent="0.2">
      <c r="A29" s="81"/>
      <c r="B29" s="82">
        <v>44197</v>
      </c>
      <c r="C29" s="82">
        <v>44228</v>
      </c>
      <c r="D29" s="82">
        <v>44256</v>
      </c>
      <c r="E29" s="82">
        <v>44287</v>
      </c>
      <c r="F29" s="82">
        <v>44317</v>
      </c>
      <c r="G29" s="82">
        <v>44348</v>
      </c>
      <c r="H29" s="82">
        <v>44378</v>
      </c>
      <c r="I29" s="82">
        <v>44409</v>
      </c>
      <c r="J29" s="82">
        <v>44440</v>
      </c>
      <c r="K29" s="82">
        <v>44470</v>
      </c>
      <c r="L29" s="82">
        <v>44501</v>
      </c>
      <c r="M29" s="82">
        <v>44531</v>
      </c>
    </row>
    <row r="30" spans="1:13" x14ac:dyDescent="0.2">
      <c r="A30" s="78" t="s">
        <v>110</v>
      </c>
      <c r="B30" s="42"/>
      <c r="C30" s="42">
        <f t="shared" ref="C30:M30" si="3">B41</f>
        <v>14000</v>
      </c>
      <c r="D30" s="42">
        <f t="shared" si="3"/>
        <v>28000</v>
      </c>
      <c r="E30" s="42">
        <f t="shared" si="3"/>
        <v>42000</v>
      </c>
      <c r="F30" s="42">
        <f t="shared" si="3"/>
        <v>56000</v>
      </c>
      <c r="G30" s="42">
        <f t="shared" si="3"/>
        <v>70000</v>
      </c>
      <c r="H30" s="42">
        <f t="shared" si="3"/>
        <v>0</v>
      </c>
      <c r="I30" s="42">
        <f t="shared" si="3"/>
        <v>20000</v>
      </c>
      <c r="J30" s="42">
        <f t="shared" si="3"/>
        <v>40000</v>
      </c>
      <c r="K30" s="42">
        <f t="shared" si="3"/>
        <v>60000</v>
      </c>
      <c r="L30" s="42">
        <f t="shared" si="3"/>
        <v>80000</v>
      </c>
      <c r="M30" s="42">
        <f t="shared" si="3"/>
        <v>100000</v>
      </c>
    </row>
    <row r="31" spans="1:13" x14ac:dyDescent="0.2">
      <c r="A31" s="78" t="s">
        <v>144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4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73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x14ac:dyDescent="0.2">
      <c r="A36" s="78" t="s">
        <v>74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x14ac:dyDescent="0.2">
      <c r="A37" s="78" t="s">
        <v>75</v>
      </c>
      <c r="B37" s="42"/>
      <c r="C37" s="42"/>
      <c r="D37" s="42"/>
      <c r="E37" s="42"/>
      <c r="F37" s="42"/>
      <c r="G37" s="42"/>
      <c r="H37" s="42">
        <v>10000</v>
      </c>
      <c r="I37" s="42">
        <v>10000</v>
      </c>
      <c r="J37" s="42">
        <v>10000</v>
      </c>
      <c r="K37" s="42">
        <v>10000</v>
      </c>
      <c r="L37" s="42">
        <v>10000</v>
      </c>
      <c r="M37" s="42">
        <v>10000</v>
      </c>
    </row>
    <row r="38" spans="1:13" x14ac:dyDescent="0.2">
      <c r="A38" s="78" t="s">
        <v>5</v>
      </c>
      <c r="B38" s="42">
        <v>14000</v>
      </c>
      <c r="C38" s="42">
        <v>14000</v>
      </c>
      <c r="D38" s="42">
        <v>14000</v>
      </c>
      <c r="E38" s="42">
        <v>14000</v>
      </c>
      <c r="F38" s="42">
        <v>14000</v>
      </c>
      <c r="G38" s="42">
        <v>14000</v>
      </c>
      <c r="H38" s="42">
        <v>10000</v>
      </c>
      <c r="I38" s="42">
        <v>10000</v>
      </c>
      <c r="J38" s="42">
        <v>10000</v>
      </c>
      <c r="K38" s="42">
        <v>10000</v>
      </c>
      <c r="L38" s="42">
        <v>10000</v>
      </c>
      <c r="M38" s="42">
        <v>10000</v>
      </c>
    </row>
    <row r="39" spans="1:13" x14ac:dyDescent="0.2">
      <c r="A39" s="78" t="s">
        <v>6</v>
      </c>
      <c r="B39" s="43">
        <f t="shared" ref="B39:M39" si="4">SUM(B30:B38)</f>
        <v>14000</v>
      </c>
      <c r="C39" s="43">
        <f t="shared" si="4"/>
        <v>28000</v>
      </c>
      <c r="D39" s="43">
        <f t="shared" si="4"/>
        <v>42000</v>
      </c>
      <c r="E39" s="43">
        <f t="shared" si="4"/>
        <v>56000</v>
      </c>
      <c r="F39" s="43">
        <f t="shared" si="4"/>
        <v>70000</v>
      </c>
      <c r="G39" s="43">
        <f t="shared" si="4"/>
        <v>84000</v>
      </c>
      <c r="H39" s="43">
        <f t="shared" si="4"/>
        <v>20000</v>
      </c>
      <c r="I39" s="43">
        <f t="shared" si="4"/>
        <v>40000</v>
      </c>
      <c r="J39" s="43">
        <f t="shared" si="4"/>
        <v>60000</v>
      </c>
      <c r="K39" s="43">
        <f t="shared" si="4"/>
        <v>80000</v>
      </c>
      <c r="L39" s="43">
        <f t="shared" si="4"/>
        <v>100000</v>
      </c>
      <c r="M39" s="43">
        <f t="shared" si="4"/>
        <v>120000</v>
      </c>
    </row>
    <row r="40" spans="1:13" ht="13.5" thickBot="1" x14ac:dyDescent="0.25">
      <c r="A40" s="78" t="s">
        <v>7</v>
      </c>
      <c r="B40" s="44"/>
      <c r="C40" s="44"/>
      <c r="D40" s="44"/>
      <c r="E40" s="44"/>
      <c r="F40" s="44"/>
      <c r="G40" s="44">
        <v>84000</v>
      </c>
      <c r="H40" s="44"/>
      <c r="I40" s="44"/>
      <c r="J40" s="44"/>
      <c r="K40" s="44"/>
      <c r="L40" s="44"/>
      <c r="M40" s="44">
        <v>120000</v>
      </c>
    </row>
    <row r="41" spans="1:13" ht="13.5" thickBot="1" x14ac:dyDescent="0.25">
      <c r="A41" s="78" t="s">
        <v>111</v>
      </c>
      <c r="B41" s="45">
        <f t="shared" ref="B41:M41" si="5">B39-B40</f>
        <v>14000</v>
      </c>
      <c r="C41" s="46">
        <f t="shared" si="5"/>
        <v>28000</v>
      </c>
      <c r="D41" s="46">
        <f t="shared" si="5"/>
        <v>42000</v>
      </c>
      <c r="E41" s="46">
        <f t="shared" si="5"/>
        <v>56000</v>
      </c>
      <c r="F41" s="46">
        <f t="shared" si="5"/>
        <v>70000</v>
      </c>
      <c r="G41" s="46">
        <f t="shared" si="5"/>
        <v>0</v>
      </c>
      <c r="H41" s="46">
        <f t="shared" si="5"/>
        <v>20000</v>
      </c>
      <c r="I41" s="46">
        <f t="shared" si="5"/>
        <v>40000</v>
      </c>
      <c r="J41" s="46">
        <f t="shared" si="5"/>
        <v>60000</v>
      </c>
      <c r="K41" s="46">
        <f t="shared" si="5"/>
        <v>80000</v>
      </c>
      <c r="L41" s="46">
        <f t="shared" si="5"/>
        <v>100000</v>
      </c>
      <c r="M41" s="47">
        <f t="shared" si="5"/>
        <v>0</v>
      </c>
    </row>
    <row r="42" spans="1:13" x14ac:dyDescent="0.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r="43" spans="1:13" x14ac:dyDescent="0.2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r="44" spans="1:13" x14ac:dyDescent="0.2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  <row r="45" spans="1:13" x14ac:dyDescent="0.2">
      <c r="A45" s="50" t="s">
        <v>0</v>
      </c>
      <c r="B45" s="50" t="s">
        <v>1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  <row r="46" spans="1:13" x14ac:dyDescent="0.2">
      <c r="A46" s="78"/>
      <c r="B46" s="79">
        <v>45292</v>
      </c>
      <c r="C46" s="79">
        <v>45323</v>
      </c>
      <c r="D46" s="79">
        <v>45352</v>
      </c>
      <c r="E46" s="79">
        <v>45383</v>
      </c>
      <c r="F46" s="79">
        <v>45413</v>
      </c>
      <c r="G46" s="79">
        <v>45444</v>
      </c>
      <c r="H46" s="79">
        <v>45474</v>
      </c>
      <c r="I46" s="79">
        <v>45505</v>
      </c>
      <c r="J46" s="79">
        <v>45536</v>
      </c>
      <c r="K46" s="79">
        <v>45566</v>
      </c>
      <c r="L46" s="79">
        <v>45597</v>
      </c>
      <c r="M46" s="79">
        <v>45627</v>
      </c>
    </row>
    <row r="47" spans="1:13" x14ac:dyDescent="0.2">
      <c r="A47" s="78" t="s">
        <v>110</v>
      </c>
      <c r="B47" s="42"/>
      <c r="C47" s="42">
        <f t="shared" ref="C47:M47" si="6">B58</f>
        <v>60000</v>
      </c>
      <c r="D47" s="42">
        <f t="shared" si="6"/>
        <v>120000</v>
      </c>
      <c r="E47" s="42">
        <f t="shared" si="6"/>
        <v>190000</v>
      </c>
      <c r="F47" s="42">
        <f t="shared" si="6"/>
        <v>260000</v>
      </c>
      <c r="G47" s="42">
        <f t="shared" si="6"/>
        <v>330000</v>
      </c>
      <c r="H47" s="42">
        <f t="shared" si="6"/>
        <v>0</v>
      </c>
      <c r="I47" s="42">
        <f t="shared" si="6"/>
        <v>90000</v>
      </c>
      <c r="J47" s="42">
        <f t="shared" si="6"/>
        <v>180000</v>
      </c>
      <c r="K47" s="42">
        <f t="shared" si="6"/>
        <v>270000</v>
      </c>
      <c r="L47" s="42">
        <f t="shared" si="6"/>
        <v>360000</v>
      </c>
      <c r="M47" s="42">
        <f t="shared" si="6"/>
        <v>450000</v>
      </c>
    </row>
    <row r="48" spans="1:13" x14ac:dyDescent="0.2">
      <c r="A48" s="78" t="s">
        <v>76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>
        <v>400000</v>
      </c>
    </row>
    <row r="49" spans="1:13" x14ac:dyDescent="0.2">
      <c r="A49" s="78" t="s">
        <v>3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4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9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 t="s">
        <v>73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2">
      <c r="A53" s="78" t="s">
        <v>74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x14ac:dyDescent="0.2">
      <c r="A54" s="78" t="s">
        <v>632</v>
      </c>
      <c r="B54" s="42">
        <v>60000</v>
      </c>
      <c r="C54" s="42">
        <v>60000</v>
      </c>
      <c r="D54" s="42">
        <v>70000</v>
      </c>
      <c r="E54" s="42">
        <v>70000</v>
      </c>
      <c r="F54" s="42">
        <v>70000</v>
      </c>
      <c r="G54" s="42">
        <v>70000</v>
      </c>
      <c r="H54" s="42">
        <v>90000</v>
      </c>
      <c r="I54" s="42">
        <v>90000</v>
      </c>
      <c r="J54" s="42">
        <v>90000</v>
      </c>
      <c r="K54" s="42">
        <v>90000</v>
      </c>
      <c r="L54" s="42">
        <v>90000</v>
      </c>
      <c r="M54" s="42">
        <v>100000</v>
      </c>
    </row>
    <row r="55" spans="1:13" x14ac:dyDescent="0.2">
      <c r="A55" s="78" t="s">
        <v>5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1:13" x14ac:dyDescent="0.2">
      <c r="A56" s="78" t="s">
        <v>6</v>
      </c>
      <c r="B56" s="43">
        <f t="shared" ref="B56:M56" si="7">SUM(B47:B55)</f>
        <v>60000</v>
      </c>
      <c r="C56" s="43">
        <f t="shared" si="7"/>
        <v>120000</v>
      </c>
      <c r="D56" s="43">
        <f t="shared" si="7"/>
        <v>190000</v>
      </c>
      <c r="E56" s="43">
        <f t="shared" si="7"/>
        <v>260000</v>
      </c>
      <c r="F56" s="43">
        <f t="shared" si="7"/>
        <v>330000</v>
      </c>
      <c r="G56" s="43">
        <f t="shared" si="7"/>
        <v>400000</v>
      </c>
      <c r="H56" s="43">
        <f t="shared" si="7"/>
        <v>90000</v>
      </c>
      <c r="I56" s="43">
        <f t="shared" si="7"/>
        <v>180000</v>
      </c>
      <c r="J56" s="43">
        <f t="shared" si="7"/>
        <v>270000</v>
      </c>
      <c r="K56" s="43">
        <f t="shared" si="7"/>
        <v>360000</v>
      </c>
      <c r="L56" s="43">
        <f t="shared" si="7"/>
        <v>450000</v>
      </c>
      <c r="M56" s="43">
        <f t="shared" si="7"/>
        <v>950000</v>
      </c>
    </row>
    <row r="57" spans="1:13" x14ac:dyDescent="0.2">
      <c r="A57" s="78" t="s">
        <v>7</v>
      </c>
      <c r="B57" s="44"/>
      <c r="C57" s="44"/>
      <c r="D57" s="44"/>
      <c r="E57" s="44"/>
      <c r="F57" s="44"/>
      <c r="G57" s="44">
        <v>400000</v>
      </c>
      <c r="H57" s="44"/>
      <c r="I57" s="44"/>
      <c r="J57" s="44"/>
      <c r="K57" s="44"/>
      <c r="L57" s="44"/>
      <c r="M57" s="44">
        <v>950000</v>
      </c>
    </row>
    <row r="58" spans="1:13" x14ac:dyDescent="0.2">
      <c r="A58" s="78" t="s">
        <v>111</v>
      </c>
      <c r="B58" s="43">
        <f t="shared" ref="B58:M58" si="8">B56-B57</f>
        <v>60000</v>
      </c>
      <c r="C58" s="43">
        <f t="shared" si="8"/>
        <v>120000</v>
      </c>
      <c r="D58" s="43">
        <f t="shared" si="8"/>
        <v>190000</v>
      </c>
      <c r="E58" s="43">
        <f t="shared" si="8"/>
        <v>260000</v>
      </c>
      <c r="F58" s="43">
        <f t="shared" si="8"/>
        <v>330000</v>
      </c>
      <c r="G58" s="43">
        <f t="shared" si="8"/>
        <v>0</v>
      </c>
      <c r="H58" s="43">
        <f t="shared" si="8"/>
        <v>90000</v>
      </c>
      <c r="I58" s="43">
        <f t="shared" si="8"/>
        <v>180000</v>
      </c>
      <c r="J58" s="43">
        <f t="shared" si="8"/>
        <v>270000</v>
      </c>
      <c r="K58" s="43">
        <f t="shared" si="8"/>
        <v>360000</v>
      </c>
      <c r="L58" s="43">
        <f t="shared" si="8"/>
        <v>450000</v>
      </c>
      <c r="M58" s="43">
        <f t="shared" si="8"/>
        <v>0</v>
      </c>
    </row>
    <row r="59" spans="1:13" x14ac:dyDescent="0.2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</row>
    <row r="60" spans="1:13" x14ac:dyDescent="0.2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</row>
    <row r="61" spans="1:13" x14ac:dyDescent="0.2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spans="1:13" x14ac:dyDescent="0.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spans="1:13" x14ac:dyDescent="0.2">
      <c r="A63" s="50" t="s">
        <v>0</v>
      </c>
      <c r="B63" s="50" t="s">
        <v>1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</row>
    <row r="64" spans="1:13" x14ac:dyDescent="0.2">
      <c r="A64" s="78"/>
      <c r="B64" s="79">
        <v>44927</v>
      </c>
      <c r="C64" s="79">
        <v>44958</v>
      </c>
      <c r="D64" s="79">
        <v>44986</v>
      </c>
      <c r="E64" s="79">
        <v>45017</v>
      </c>
      <c r="F64" s="79">
        <v>45047</v>
      </c>
      <c r="G64" s="79">
        <v>45078</v>
      </c>
      <c r="H64" s="79">
        <v>45108</v>
      </c>
      <c r="I64" s="79">
        <v>45139</v>
      </c>
      <c r="J64" s="79">
        <v>45170</v>
      </c>
      <c r="K64" s="79">
        <v>45200</v>
      </c>
      <c r="L64" s="79">
        <v>45231</v>
      </c>
      <c r="M64" s="79">
        <v>45261</v>
      </c>
    </row>
    <row r="65" spans="1:13" x14ac:dyDescent="0.2">
      <c r="A65" s="78" t="s">
        <v>110</v>
      </c>
      <c r="B65" s="42"/>
      <c r="C65" s="42">
        <f t="shared" ref="C65:M65" si="9">B76</f>
        <v>40000</v>
      </c>
      <c r="D65" s="42">
        <f t="shared" si="9"/>
        <v>80000</v>
      </c>
      <c r="E65" s="42">
        <f t="shared" si="9"/>
        <v>120000</v>
      </c>
      <c r="F65" s="42">
        <f t="shared" si="9"/>
        <v>160000</v>
      </c>
      <c r="G65" s="42">
        <f t="shared" si="9"/>
        <v>200000</v>
      </c>
      <c r="H65" s="42">
        <f t="shared" si="9"/>
        <v>0</v>
      </c>
      <c r="I65" s="42">
        <f t="shared" si="9"/>
        <v>70000</v>
      </c>
      <c r="J65" s="42">
        <f t="shared" si="9"/>
        <v>140000</v>
      </c>
      <c r="K65" s="42">
        <f t="shared" si="9"/>
        <v>210000</v>
      </c>
      <c r="L65" s="42">
        <f t="shared" si="9"/>
        <v>280000</v>
      </c>
      <c r="M65" s="42">
        <f t="shared" si="9"/>
        <v>350000</v>
      </c>
    </row>
    <row r="66" spans="1:13" x14ac:dyDescent="0.2">
      <c r="A66" s="78" t="s">
        <v>76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</row>
    <row r="67" spans="1:13" x14ac:dyDescent="0.2">
      <c r="A67" s="78" t="s">
        <v>3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x14ac:dyDescent="0.2">
      <c r="A68" s="78" t="s">
        <v>4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x14ac:dyDescent="0.2">
      <c r="A69" s="78" t="s">
        <v>9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</row>
    <row r="70" spans="1:13" x14ac:dyDescent="0.2">
      <c r="A70" s="78" t="s">
        <v>73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</row>
    <row r="71" spans="1:13" x14ac:dyDescent="0.2">
      <c r="A71" s="78" t="s">
        <v>74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</row>
    <row r="72" spans="1:13" x14ac:dyDescent="0.2">
      <c r="A72" s="78" t="s">
        <v>631</v>
      </c>
      <c r="B72" s="42">
        <v>20000</v>
      </c>
      <c r="C72" s="42">
        <v>20000</v>
      </c>
      <c r="D72" s="42">
        <v>20000</v>
      </c>
      <c r="E72" s="42">
        <v>20000</v>
      </c>
      <c r="F72" s="42">
        <v>20000</v>
      </c>
      <c r="G72" s="42">
        <v>20000</v>
      </c>
      <c r="H72" s="42">
        <v>40000</v>
      </c>
      <c r="I72" s="42">
        <v>40000</v>
      </c>
      <c r="J72" s="42">
        <v>40000</v>
      </c>
      <c r="K72" s="42">
        <v>40000</v>
      </c>
      <c r="L72" s="42">
        <v>40000</v>
      </c>
      <c r="M72" s="42">
        <v>50000</v>
      </c>
    </row>
    <row r="73" spans="1:13" x14ac:dyDescent="0.2">
      <c r="A73" s="78" t="s">
        <v>5</v>
      </c>
      <c r="B73" s="42">
        <v>20000</v>
      </c>
      <c r="C73" s="42">
        <v>20000</v>
      </c>
      <c r="D73" s="42">
        <v>20000</v>
      </c>
      <c r="E73" s="42">
        <v>20000</v>
      </c>
      <c r="F73" s="42">
        <v>20000</v>
      </c>
      <c r="G73" s="42">
        <v>20000</v>
      </c>
      <c r="H73" s="42">
        <v>30000</v>
      </c>
      <c r="I73" s="42">
        <v>30000</v>
      </c>
      <c r="J73" s="42">
        <v>30000</v>
      </c>
      <c r="K73" s="42">
        <v>30000</v>
      </c>
      <c r="L73" s="42">
        <v>30000</v>
      </c>
      <c r="M73" s="42">
        <v>30000</v>
      </c>
    </row>
    <row r="74" spans="1:13" x14ac:dyDescent="0.2">
      <c r="A74" s="78" t="s">
        <v>6</v>
      </c>
      <c r="B74" s="43">
        <f t="shared" ref="B74:M74" si="10">SUM(B65:B73)</f>
        <v>40000</v>
      </c>
      <c r="C74" s="43">
        <f t="shared" si="10"/>
        <v>80000</v>
      </c>
      <c r="D74" s="43">
        <f t="shared" si="10"/>
        <v>120000</v>
      </c>
      <c r="E74" s="43">
        <f t="shared" si="10"/>
        <v>160000</v>
      </c>
      <c r="F74" s="43">
        <f t="shared" si="10"/>
        <v>200000</v>
      </c>
      <c r="G74" s="43">
        <f t="shared" si="10"/>
        <v>240000</v>
      </c>
      <c r="H74" s="43">
        <f t="shared" si="10"/>
        <v>70000</v>
      </c>
      <c r="I74" s="43">
        <f t="shared" si="10"/>
        <v>140000</v>
      </c>
      <c r="J74" s="43">
        <f t="shared" si="10"/>
        <v>210000</v>
      </c>
      <c r="K74" s="43">
        <f t="shared" si="10"/>
        <v>280000</v>
      </c>
      <c r="L74" s="43">
        <f t="shared" si="10"/>
        <v>350000</v>
      </c>
      <c r="M74" s="43">
        <f t="shared" si="10"/>
        <v>430000</v>
      </c>
    </row>
    <row r="75" spans="1:13" x14ac:dyDescent="0.2">
      <c r="A75" s="78" t="s">
        <v>7</v>
      </c>
      <c r="B75" s="44"/>
      <c r="C75" s="44"/>
      <c r="D75" s="44"/>
      <c r="E75" s="44"/>
      <c r="F75" s="44"/>
      <c r="G75" s="44">
        <v>240000</v>
      </c>
      <c r="H75" s="44"/>
      <c r="I75" s="44"/>
      <c r="J75" s="44"/>
      <c r="K75" s="44"/>
      <c r="L75" s="44"/>
      <c r="M75" s="44"/>
    </row>
    <row r="76" spans="1:13" x14ac:dyDescent="0.2">
      <c r="A76" s="78" t="s">
        <v>111</v>
      </c>
      <c r="B76" s="43">
        <f t="shared" ref="B76:M76" si="11">B74-B75</f>
        <v>40000</v>
      </c>
      <c r="C76" s="43">
        <f t="shared" si="11"/>
        <v>80000</v>
      </c>
      <c r="D76" s="43">
        <f t="shared" si="11"/>
        <v>120000</v>
      </c>
      <c r="E76" s="43">
        <f t="shared" si="11"/>
        <v>160000</v>
      </c>
      <c r="F76" s="43">
        <f t="shared" si="11"/>
        <v>200000</v>
      </c>
      <c r="G76" s="43">
        <f t="shared" si="11"/>
        <v>0</v>
      </c>
      <c r="H76" s="43">
        <f t="shared" si="11"/>
        <v>70000</v>
      </c>
      <c r="I76" s="43">
        <f t="shared" si="11"/>
        <v>140000</v>
      </c>
      <c r="J76" s="43">
        <f t="shared" si="11"/>
        <v>210000</v>
      </c>
      <c r="K76" s="43">
        <f t="shared" si="11"/>
        <v>280000</v>
      </c>
      <c r="L76" s="43">
        <f t="shared" si="11"/>
        <v>350000</v>
      </c>
      <c r="M76" s="43">
        <f t="shared" si="11"/>
        <v>430000</v>
      </c>
    </row>
    <row r="77" spans="1:13" x14ac:dyDescent="0.2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</row>
    <row r="78" spans="1:13" x14ac:dyDescent="0.2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</row>
  </sheetData>
  <mergeCells count="1">
    <mergeCell ref="B7:G7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1"/>
  <dimension ref="A2:N41"/>
  <sheetViews>
    <sheetView workbookViewId="0">
      <selection activeCell="F17" sqref="F17"/>
    </sheetView>
  </sheetViews>
  <sheetFormatPr baseColWidth="10" defaultRowHeight="12.75" x14ac:dyDescent="0.2"/>
  <cols>
    <col min="1" max="1" width="28.5703125" customWidth="1"/>
    <col min="2" max="2" width="12.7109375" customWidth="1"/>
    <col min="5" max="5" width="13.28515625" customWidth="1"/>
    <col min="6" max="6" width="12.42578125" customWidth="1"/>
    <col min="7" max="7" width="12" customWidth="1"/>
    <col min="8" max="9" width="12.5703125" customWidth="1"/>
    <col min="10" max="10" width="12.42578125" customWidth="1"/>
    <col min="11" max="11" width="12.85546875" customWidth="1"/>
    <col min="12" max="12" width="12.42578125" customWidth="1"/>
    <col min="13" max="13" width="12.85546875" customWidth="1"/>
  </cols>
  <sheetData>
    <row r="2" spans="1:14" x14ac:dyDescent="0.2">
      <c r="A2" s="50" t="s">
        <v>232</v>
      </c>
    </row>
    <row r="4" spans="1:14" x14ac:dyDescent="0.2">
      <c r="A4" s="50" t="s">
        <v>0</v>
      </c>
      <c r="B4" s="50" t="s">
        <v>1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4" x14ac:dyDescent="0.2">
      <c r="A5" s="7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4" x14ac:dyDescent="0.2">
      <c r="A6" s="7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>J17</f>
        <v>0</v>
      </c>
      <c r="L6" s="42">
        <f t="shared" si="0"/>
        <v>0</v>
      </c>
      <c r="M6" s="42">
        <f t="shared" si="0"/>
        <v>0</v>
      </c>
    </row>
    <row r="7" spans="1:14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4" x14ac:dyDescent="0.2">
      <c r="A8" s="78" t="s">
        <v>3</v>
      </c>
      <c r="B8" s="42">
        <v>383350</v>
      </c>
      <c r="C8" s="42"/>
      <c r="D8" s="42">
        <v>5320</v>
      </c>
      <c r="E8" s="42">
        <v>6000</v>
      </c>
      <c r="F8" s="42">
        <v>6000</v>
      </c>
      <c r="G8" s="42"/>
      <c r="H8" s="42"/>
      <c r="I8" s="42"/>
      <c r="J8" s="42"/>
      <c r="K8" s="42"/>
      <c r="L8" s="42"/>
      <c r="M8" s="42"/>
    </row>
    <row r="9" spans="1:14" x14ac:dyDescent="0.2">
      <c r="A9" s="78" t="s">
        <v>4</v>
      </c>
      <c r="B9" s="42">
        <v>30000</v>
      </c>
      <c r="C9" s="42">
        <v>30000</v>
      </c>
      <c r="D9" s="42">
        <v>30000</v>
      </c>
      <c r="E9" s="42">
        <v>30000</v>
      </c>
      <c r="F9" s="42">
        <v>30000</v>
      </c>
      <c r="G9" s="42"/>
      <c r="H9" s="42"/>
      <c r="I9" s="42"/>
      <c r="J9" s="42"/>
      <c r="K9" s="42"/>
      <c r="L9" s="42"/>
      <c r="M9" s="42"/>
    </row>
    <row r="10" spans="1:14" x14ac:dyDescent="0.2">
      <c r="A10" s="78" t="s">
        <v>235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2">
      <c r="A11" s="78" t="s">
        <v>403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4" x14ac:dyDescent="0.2">
      <c r="A12" s="78" t="s">
        <v>418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4" x14ac:dyDescent="0.2">
      <c r="A13" s="78" t="s">
        <v>392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126"/>
    </row>
    <row r="14" spans="1:14" x14ac:dyDescent="0.2">
      <c r="A14" s="78" t="s">
        <v>5</v>
      </c>
      <c r="B14" s="42">
        <v>160000</v>
      </c>
      <c r="C14" s="42">
        <v>160000</v>
      </c>
      <c r="D14" s="42">
        <v>160000</v>
      </c>
      <c r="E14" s="42">
        <v>160000</v>
      </c>
      <c r="F14" s="42">
        <v>160000</v>
      </c>
      <c r="G14" s="42"/>
      <c r="H14" s="42"/>
      <c r="I14" s="42"/>
      <c r="J14" s="42"/>
      <c r="K14" s="42"/>
      <c r="L14" s="42"/>
      <c r="M14" s="42"/>
    </row>
    <row r="15" spans="1:14" x14ac:dyDescent="0.2">
      <c r="A15" s="78" t="s">
        <v>6</v>
      </c>
      <c r="B15" s="43">
        <f>SUM(B6:B14)</f>
        <v>573350</v>
      </c>
      <c r="C15" s="43">
        <f t="shared" ref="C15:M15" si="1">SUM(C6:C14)</f>
        <v>190000</v>
      </c>
      <c r="D15" s="43">
        <f t="shared" si="1"/>
        <v>195320</v>
      </c>
      <c r="E15" s="43">
        <f t="shared" si="1"/>
        <v>196000</v>
      </c>
      <c r="F15" s="43">
        <f t="shared" si="1"/>
        <v>196000</v>
      </c>
      <c r="G15" s="43">
        <f t="shared" si="1"/>
        <v>0</v>
      </c>
      <c r="H15" s="43">
        <f t="shared" si="1"/>
        <v>0</v>
      </c>
      <c r="I15" s="43">
        <f t="shared" si="1"/>
        <v>0</v>
      </c>
      <c r="J15" s="43">
        <f t="shared" si="1"/>
        <v>0</v>
      </c>
      <c r="K15" s="43">
        <f t="shared" si="1"/>
        <v>0</v>
      </c>
      <c r="L15" s="43">
        <f t="shared" si="1"/>
        <v>0</v>
      </c>
      <c r="M15" s="43">
        <f t="shared" si="1"/>
        <v>0</v>
      </c>
    </row>
    <row r="16" spans="1:14" x14ac:dyDescent="0.2">
      <c r="A16" s="78" t="s">
        <v>7</v>
      </c>
      <c r="B16" s="44">
        <v>573350</v>
      </c>
      <c r="C16" s="44">
        <v>190000</v>
      </c>
      <c r="D16" s="44">
        <v>195320</v>
      </c>
      <c r="E16" s="44">
        <v>196000</v>
      </c>
      <c r="F16" s="44">
        <v>196000</v>
      </c>
      <c r="G16" s="44"/>
      <c r="H16" s="44"/>
      <c r="I16" s="44"/>
      <c r="J16" s="44"/>
      <c r="K16" s="44"/>
      <c r="L16" s="44"/>
      <c r="M16" s="44"/>
    </row>
    <row r="17" spans="1:13" x14ac:dyDescent="0.2">
      <c r="A17" s="78" t="s">
        <v>111</v>
      </c>
      <c r="B17" s="43">
        <f>B15-B16</f>
        <v>0</v>
      </c>
      <c r="C17" s="43">
        <f>C15-C16</f>
        <v>0</v>
      </c>
      <c r="D17" s="43">
        <f>D15-D16</f>
        <v>0</v>
      </c>
      <c r="E17" s="43">
        <f>E15-E16</f>
        <v>0</v>
      </c>
      <c r="F17" s="43">
        <f t="shared" ref="F17:M17" si="2">F15-F16</f>
        <v>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0</v>
      </c>
      <c r="L17" s="43">
        <f t="shared" si="2"/>
        <v>0</v>
      </c>
      <c r="M17" s="43">
        <f t="shared" si="2"/>
        <v>0</v>
      </c>
    </row>
    <row r="18" spans="1:13" x14ac:dyDescent="0.2">
      <c r="A18" s="78"/>
      <c r="B18" s="149">
        <v>45323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spans="1:13" x14ac:dyDescent="0.2">
      <c r="A21" s="50" t="s">
        <v>0</v>
      </c>
      <c r="B21" s="50" t="s">
        <v>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</row>
    <row r="22" spans="1:13" x14ac:dyDescent="0.2">
      <c r="A22" s="78"/>
      <c r="B22" s="79">
        <v>45658</v>
      </c>
      <c r="C22" s="79">
        <v>45689</v>
      </c>
      <c r="D22" s="79">
        <v>45717</v>
      </c>
      <c r="E22" s="79">
        <v>45748</v>
      </c>
      <c r="F22" s="79">
        <v>45778</v>
      </c>
      <c r="G22" s="79">
        <v>45809</v>
      </c>
      <c r="H22" s="79">
        <v>45839</v>
      </c>
      <c r="I22" s="79">
        <v>45870</v>
      </c>
      <c r="J22" s="79">
        <v>45901</v>
      </c>
      <c r="K22" s="79">
        <v>45931</v>
      </c>
      <c r="L22" s="79">
        <v>45962</v>
      </c>
      <c r="M22" s="79">
        <v>45992</v>
      </c>
    </row>
    <row r="23" spans="1:13" x14ac:dyDescent="0.2">
      <c r="A23" s="78" t="s">
        <v>110</v>
      </c>
      <c r="B23" s="42"/>
      <c r="C23" s="42">
        <f>B34</f>
        <v>0</v>
      </c>
      <c r="D23" s="42">
        <f>C34</f>
        <v>0</v>
      </c>
      <c r="E23" s="42">
        <f t="shared" ref="E23:M23" si="3">D34</f>
        <v>0</v>
      </c>
      <c r="F23" s="42">
        <f t="shared" si="3"/>
        <v>0</v>
      </c>
      <c r="G23" s="42">
        <f t="shared" si="3"/>
        <v>0</v>
      </c>
      <c r="H23" s="42">
        <f t="shared" si="3"/>
        <v>-200</v>
      </c>
      <c r="I23" s="42">
        <f t="shared" si="3"/>
        <v>0</v>
      </c>
      <c r="J23" s="42">
        <f t="shared" si="3"/>
        <v>0</v>
      </c>
      <c r="K23" s="42">
        <f t="shared" si="3"/>
        <v>0</v>
      </c>
      <c r="L23" s="42">
        <f t="shared" si="3"/>
        <v>0</v>
      </c>
      <c r="M23" s="42">
        <f t="shared" si="3"/>
        <v>0</v>
      </c>
    </row>
    <row r="24" spans="1:13" x14ac:dyDescent="0.2">
      <c r="A24" s="78" t="s">
        <v>76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>
        <v>4520</v>
      </c>
      <c r="C25" s="42">
        <v>1000</v>
      </c>
      <c r="D25" s="42">
        <v>27160</v>
      </c>
      <c r="E25" s="42">
        <v>1580</v>
      </c>
      <c r="F25" s="42">
        <v>1000</v>
      </c>
      <c r="G25" s="42">
        <v>15000</v>
      </c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>
        <v>22300</v>
      </c>
      <c r="C26" s="42">
        <v>22300</v>
      </c>
      <c r="D26" s="42">
        <v>22300</v>
      </c>
      <c r="E26" s="42">
        <v>22300</v>
      </c>
      <c r="F26" s="42">
        <v>22300</v>
      </c>
      <c r="G26" s="42">
        <v>27300</v>
      </c>
      <c r="H26" s="42">
        <v>27300</v>
      </c>
      <c r="I26" s="42">
        <v>27300</v>
      </c>
      <c r="J26" s="42">
        <v>30000</v>
      </c>
      <c r="K26" s="42">
        <v>30000</v>
      </c>
      <c r="L26" s="42">
        <v>30000</v>
      </c>
      <c r="M26" s="42">
        <v>30000</v>
      </c>
    </row>
    <row r="27" spans="1:13" x14ac:dyDescent="0.2">
      <c r="A27" s="78" t="s">
        <v>323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417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418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210</v>
      </c>
      <c r="B30" s="42"/>
      <c r="C30" s="42"/>
      <c r="D30" s="42"/>
      <c r="E30" s="42"/>
      <c r="F30" s="42"/>
      <c r="G30" s="118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65000</v>
      </c>
      <c r="C31" s="42">
        <v>70000</v>
      </c>
      <c r="D31" s="42">
        <v>80000</v>
      </c>
      <c r="E31" s="42">
        <v>80000</v>
      </c>
      <c r="F31" s="42">
        <v>80000</v>
      </c>
      <c r="G31" s="42">
        <v>100000</v>
      </c>
      <c r="H31" s="42">
        <v>100000</v>
      </c>
      <c r="I31" s="42">
        <v>130000</v>
      </c>
      <c r="J31" s="42">
        <v>130000</v>
      </c>
      <c r="K31" s="42">
        <v>130000</v>
      </c>
      <c r="L31" s="42">
        <v>130000</v>
      </c>
      <c r="M31" s="42">
        <v>140000</v>
      </c>
    </row>
    <row r="32" spans="1:13" x14ac:dyDescent="0.2">
      <c r="A32" s="78" t="s">
        <v>6</v>
      </c>
      <c r="B32" s="43">
        <f t="shared" ref="B32:M32" si="4">SUM(B23:B31)</f>
        <v>91820</v>
      </c>
      <c r="C32" s="43">
        <f t="shared" si="4"/>
        <v>93300</v>
      </c>
      <c r="D32" s="43">
        <f t="shared" si="4"/>
        <v>129460</v>
      </c>
      <c r="E32" s="43">
        <f t="shared" si="4"/>
        <v>103880</v>
      </c>
      <c r="F32" s="43">
        <f t="shared" si="4"/>
        <v>103300</v>
      </c>
      <c r="G32" s="43">
        <f t="shared" si="4"/>
        <v>142300</v>
      </c>
      <c r="H32" s="43">
        <f t="shared" si="4"/>
        <v>127100</v>
      </c>
      <c r="I32" s="43">
        <f t="shared" si="4"/>
        <v>157300</v>
      </c>
      <c r="J32" s="43">
        <f t="shared" si="4"/>
        <v>160000</v>
      </c>
      <c r="K32" s="43">
        <f t="shared" si="4"/>
        <v>160000</v>
      </c>
      <c r="L32" s="43">
        <f t="shared" si="4"/>
        <v>160000</v>
      </c>
      <c r="M32" s="43">
        <f t="shared" si="4"/>
        <v>170000</v>
      </c>
    </row>
    <row r="33" spans="1:14" x14ac:dyDescent="0.2">
      <c r="A33" s="78" t="s">
        <v>7</v>
      </c>
      <c r="B33" s="44">
        <v>91820</v>
      </c>
      <c r="C33" s="44">
        <v>93300</v>
      </c>
      <c r="D33" s="44">
        <v>129460</v>
      </c>
      <c r="E33" s="44">
        <v>103880</v>
      </c>
      <c r="F33" s="44">
        <v>103300</v>
      </c>
      <c r="G33" s="44">
        <v>142500</v>
      </c>
      <c r="H33" s="44">
        <v>127100</v>
      </c>
      <c r="I33" s="44">
        <v>157300</v>
      </c>
      <c r="J33" s="44">
        <v>160000</v>
      </c>
      <c r="K33" s="44">
        <v>160000</v>
      </c>
      <c r="L33" s="44">
        <f>140000+20000</f>
        <v>160000</v>
      </c>
      <c r="M33" s="44">
        <v>170000</v>
      </c>
    </row>
    <row r="34" spans="1:14" x14ac:dyDescent="0.2">
      <c r="A34" s="78" t="s">
        <v>111</v>
      </c>
      <c r="B34" s="43">
        <f t="shared" ref="B34:M34" si="5">B32-B33</f>
        <v>0</v>
      </c>
      <c r="C34" s="43">
        <f t="shared" si="5"/>
        <v>0</v>
      </c>
      <c r="D34" s="43">
        <f t="shared" si="5"/>
        <v>0</v>
      </c>
      <c r="E34" s="43">
        <f t="shared" si="5"/>
        <v>0</v>
      </c>
      <c r="F34" s="43">
        <f t="shared" si="5"/>
        <v>0</v>
      </c>
      <c r="G34" s="43">
        <f t="shared" si="5"/>
        <v>-200</v>
      </c>
      <c r="H34" s="43">
        <f t="shared" si="5"/>
        <v>0</v>
      </c>
      <c r="I34" s="43">
        <f t="shared" si="5"/>
        <v>0</v>
      </c>
      <c r="J34" s="43">
        <f t="shared" si="5"/>
        <v>0</v>
      </c>
      <c r="K34" s="43">
        <f t="shared" si="5"/>
        <v>0</v>
      </c>
      <c r="L34" s="43">
        <f t="shared" si="5"/>
        <v>0</v>
      </c>
      <c r="M34" s="43">
        <f t="shared" si="5"/>
        <v>0</v>
      </c>
    </row>
    <row r="35" spans="1:14" x14ac:dyDescent="0.2">
      <c r="A35" s="78"/>
      <c r="B35" s="78"/>
      <c r="C35" s="78"/>
      <c r="D35" s="78"/>
      <c r="E35" s="78"/>
      <c r="F35" s="78"/>
      <c r="G35" s="78"/>
      <c r="H35" s="78"/>
      <c r="I35" s="78" t="s">
        <v>744</v>
      </c>
      <c r="J35" s="149">
        <v>44466</v>
      </c>
      <c r="K35" s="78"/>
      <c r="L35" s="78"/>
      <c r="M35" s="78"/>
    </row>
    <row r="39" spans="1:14" x14ac:dyDescent="0.2">
      <c r="N39">
        <v>6180</v>
      </c>
    </row>
    <row r="40" spans="1:14" x14ac:dyDescent="0.2">
      <c r="N40">
        <v>3500</v>
      </c>
    </row>
    <row r="41" spans="1:14" x14ac:dyDescent="0.2">
      <c r="M41" t="s">
        <v>368</v>
      </c>
      <c r="N41" s="124">
        <f>N39-N40</f>
        <v>2680</v>
      </c>
    </row>
  </sheetData>
  <phoneticPr fontId="4" type="noConversion"/>
  <pageMargins left="0.75" right="0.75" top="1" bottom="1" header="0" footer="0"/>
  <pageSetup orientation="portrait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2"/>
  <dimension ref="A2:M35"/>
  <sheetViews>
    <sheetView topLeftCell="A18" workbookViewId="0">
      <selection activeCell="F36" sqref="F36"/>
    </sheetView>
  </sheetViews>
  <sheetFormatPr baseColWidth="10" defaultRowHeight="12.75" x14ac:dyDescent="0.2"/>
  <cols>
    <col min="1" max="1" width="31.7109375" customWidth="1"/>
    <col min="2" max="2" width="12.5703125" bestFit="1" customWidth="1"/>
    <col min="13" max="13" width="12.85546875" bestFit="1" customWidth="1"/>
  </cols>
  <sheetData>
    <row r="2" spans="1:13" x14ac:dyDescent="0.2">
      <c r="A2" t="s">
        <v>258</v>
      </c>
    </row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45658</v>
      </c>
      <c r="C5" s="79">
        <v>45689</v>
      </c>
      <c r="D5" s="79">
        <v>45717</v>
      </c>
      <c r="E5" s="79">
        <v>45748</v>
      </c>
      <c r="F5" s="79">
        <v>45778</v>
      </c>
      <c r="G5" s="79">
        <v>45809</v>
      </c>
      <c r="H5" s="79">
        <v>45839</v>
      </c>
      <c r="I5" s="79">
        <v>45870</v>
      </c>
      <c r="J5" s="79">
        <v>45901</v>
      </c>
      <c r="K5" s="79">
        <v>45931</v>
      </c>
      <c r="L5" s="79">
        <v>45962</v>
      </c>
      <c r="M5" s="79">
        <v>45992</v>
      </c>
    </row>
    <row r="6" spans="1:13" x14ac:dyDescent="0.2">
      <c r="A6" s="78" t="s">
        <v>110</v>
      </c>
      <c r="B6" s="42">
        <v>205000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>
        <v>336000</v>
      </c>
    </row>
    <row r="8" spans="1:13" x14ac:dyDescent="0.2">
      <c r="A8" s="78" t="s">
        <v>3</v>
      </c>
      <c r="B8" s="42">
        <v>20000</v>
      </c>
      <c r="C8" s="42">
        <v>20000</v>
      </c>
      <c r="D8" s="42">
        <v>20000</v>
      </c>
      <c r="E8" s="42">
        <v>20000</v>
      </c>
      <c r="F8" s="42">
        <v>25000</v>
      </c>
      <c r="G8" s="42">
        <v>25000</v>
      </c>
      <c r="H8" s="42">
        <v>25000</v>
      </c>
      <c r="I8" s="42">
        <v>25000</v>
      </c>
      <c r="J8" s="42">
        <v>25000</v>
      </c>
      <c r="K8" s="42">
        <v>25130</v>
      </c>
      <c r="L8" s="42">
        <v>26320</v>
      </c>
      <c r="M8" s="42">
        <v>63250</v>
      </c>
    </row>
    <row r="9" spans="1:13" x14ac:dyDescent="0.2">
      <c r="A9" s="78" t="s">
        <v>4</v>
      </c>
      <c r="B9" s="42">
        <v>125320</v>
      </c>
      <c r="C9" s="42">
        <v>126881</v>
      </c>
      <c r="D9" s="42">
        <v>162950</v>
      </c>
      <c r="E9" s="42">
        <v>125420</v>
      </c>
      <c r="F9" s="42">
        <v>85930</v>
      </c>
      <c r="G9" s="42">
        <v>84750</v>
      </c>
      <c r="H9" s="42">
        <v>81725</v>
      </c>
      <c r="I9" s="42">
        <v>78000</v>
      </c>
      <c r="J9" s="42">
        <v>78500</v>
      </c>
      <c r="K9" s="42">
        <v>80000</v>
      </c>
      <c r="L9" s="42">
        <v>81000</v>
      </c>
      <c r="M9" s="42">
        <v>110000</v>
      </c>
    </row>
    <row r="10" spans="1:13" x14ac:dyDescent="0.2">
      <c r="A10" s="78" t="s">
        <v>217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496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497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100000</v>
      </c>
      <c r="C14" s="42">
        <v>100000</v>
      </c>
      <c r="D14" s="42">
        <v>110000</v>
      </c>
      <c r="E14" s="42">
        <v>110000</v>
      </c>
      <c r="F14" s="42">
        <v>120000</v>
      </c>
      <c r="G14" s="42">
        <v>120000</v>
      </c>
      <c r="H14" s="42">
        <v>120000</v>
      </c>
      <c r="I14" s="42">
        <v>130000</v>
      </c>
      <c r="J14" s="42">
        <v>130000</v>
      </c>
      <c r="K14" s="42">
        <v>140000</v>
      </c>
      <c r="L14" s="42">
        <v>150000</v>
      </c>
      <c r="M14" s="42">
        <v>180000</v>
      </c>
    </row>
    <row r="15" spans="1:13" x14ac:dyDescent="0.2">
      <c r="A15" s="78" t="s">
        <v>6</v>
      </c>
      <c r="B15" s="43">
        <f t="shared" ref="B15:M15" si="0">SUM(B6:B14)</f>
        <v>450320</v>
      </c>
      <c r="C15" s="43">
        <f t="shared" si="0"/>
        <v>246881</v>
      </c>
      <c r="D15" s="43">
        <f t="shared" si="0"/>
        <v>292950</v>
      </c>
      <c r="E15" s="43">
        <f t="shared" si="0"/>
        <v>255420</v>
      </c>
      <c r="F15" s="43">
        <f t="shared" si="0"/>
        <v>230930</v>
      </c>
      <c r="G15" s="43">
        <f t="shared" si="0"/>
        <v>229750</v>
      </c>
      <c r="H15" s="43">
        <f t="shared" si="0"/>
        <v>226725</v>
      </c>
      <c r="I15" s="43">
        <f t="shared" si="0"/>
        <v>233000</v>
      </c>
      <c r="J15" s="43">
        <f t="shared" si="0"/>
        <v>233500</v>
      </c>
      <c r="K15" s="43">
        <f t="shared" si="0"/>
        <v>245130</v>
      </c>
      <c r="L15" s="43">
        <f t="shared" si="0"/>
        <v>257320</v>
      </c>
      <c r="M15" s="43">
        <f t="shared" si="0"/>
        <v>689250</v>
      </c>
    </row>
    <row r="16" spans="1:13" x14ac:dyDescent="0.2">
      <c r="A16" s="78" t="s">
        <v>7</v>
      </c>
      <c r="B16" s="44">
        <v>450320</v>
      </c>
      <c r="C16" s="44">
        <v>247000</v>
      </c>
      <c r="D16" s="44">
        <v>293000</v>
      </c>
      <c r="E16" s="44">
        <v>256000</v>
      </c>
      <c r="F16" s="44">
        <v>230930</v>
      </c>
      <c r="G16" s="44">
        <v>230000</v>
      </c>
      <c r="H16" s="44">
        <v>226725</v>
      </c>
      <c r="I16" s="44">
        <v>233000</v>
      </c>
      <c r="J16" s="44">
        <v>233500</v>
      </c>
      <c r="K16" s="44">
        <v>245130</v>
      </c>
      <c r="L16" s="44">
        <v>258000</v>
      </c>
      <c r="M16" s="44">
        <f>200000+490000</f>
        <v>690000</v>
      </c>
    </row>
    <row r="17" spans="1:13" x14ac:dyDescent="0.2">
      <c r="A17" s="78" t="s">
        <v>111</v>
      </c>
      <c r="B17" s="43">
        <f t="shared" ref="B17:M17" si="1">B15-B16</f>
        <v>0</v>
      </c>
      <c r="C17" s="43">
        <f t="shared" si="1"/>
        <v>-119</v>
      </c>
      <c r="D17" s="43">
        <f t="shared" si="1"/>
        <v>-50</v>
      </c>
      <c r="E17" s="43">
        <f t="shared" si="1"/>
        <v>-580</v>
      </c>
      <c r="F17" s="43">
        <f t="shared" si="1"/>
        <v>0</v>
      </c>
      <c r="G17" s="43">
        <f t="shared" si="1"/>
        <v>-250</v>
      </c>
      <c r="H17" s="43">
        <f t="shared" si="1"/>
        <v>0</v>
      </c>
      <c r="I17" s="43">
        <f t="shared" si="1"/>
        <v>0</v>
      </c>
      <c r="J17" s="43">
        <f t="shared" si="1"/>
        <v>0</v>
      </c>
      <c r="K17" s="43">
        <f t="shared" si="1"/>
        <v>0</v>
      </c>
      <c r="L17" s="43">
        <f t="shared" si="1"/>
        <v>-680</v>
      </c>
      <c r="M17" s="43">
        <f t="shared" si="1"/>
        <v>-750</v>
      </c>
    </row>
    <row r="18" spans="1:13" x14ac:dyDescent="0.2">
      <c r="C18" s="128">
        <v>44257</v>
      </c>
      <c r="E18" s="128">
        <v>44322</v>
      </c>
      <c r="M18" s="179">
        <v>46027</v>
      </c>
    </row>
    <row r="21" spans="1:13" ht="15.75" x14ac:dyDescent="0.25">
      <c r="A21" s="31" t="s">
        <v>0</v>
      </c>
      <c r="B21" s="31" t="s">
        <v>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78"/>
      <c r="B22" s="79">
        <v>46023</v>
      </c>
      <c r="C22" s="79">
        <v>46054</v>
      </c>
      <c r="D22" s="79">
        <v>46082</v>
      </c>
      <c r="E22" s="79">
        <v>46113</v>
      </c>
      <c r="F22" s="79">
        <v>46143</v>
      </c>
      <c r="G22" s="79">
        <v>46174</v>
      </c>
      <c r="H22" s="79">
        <v>46204</v>
      </c>
      <c r="I22" s="79">
        <v>46235</v>
      </c>
      <c r="J22" s="79">
        <v>46266</v>
      </c>
      <c r="K22" s="79">
        <v>46296</v>
      </c>
      <c r="L22" s="79">
        <v>46327</v>
      </c>
      <c r="M22" s="79">
        <v>46357</v>
      </c>
    </row>
    <row r="23" spans="1:13" x14ac:dyDescent="0.2">
      <c r="A23" s="78" t="s">
        <v>110</v>
      </c>
      <c r="B23" s="42"/>
      <c r="C23" s="42">
        <f>B34</f>
        <v>-10</v>
      </c>
      <c r="D23" s="42">
        <f t="shared" ref="D23:M23" si="2">C34</f>
        <v>-680</v>
      </c>
      <c r="E23" s="42">
        <f t="shared" si="2"/>
        <v>-680</v>
      </c>
      <c r="F23" s="42">
        <f t="shared" si="2"/>
        <v>0</v>
      </c>
      <c r="G23" s="42">
        <f t="shared" si="2"/>
        <v>348500</v>
      </c>
      <c r="H23" s="42">
        <f t="shared" si="2"/>
        <v>348500</v>
      </c>
      <c r="I23" s="42">
        <f t="shared" si="2"/>
        <v>348500</v>
      </c>
      <c r="J23" s="42">
        <f t="shared" si="2"/>
        <v>348500</v>
      </c>
      <c r="K23" s="42">
        <f t="shared" si="2"/>
        <v>348500</v>
      </c>
      <c r="L23" s="42">
        <f t="shared" si="2"/>
        <v>348500</v>
      </c>
      <c r="M23" s="42">
        <f t="shared" si="2"/>
        <v>348500</v>
      </c>
    </row>
    <row r="24" spans="1:13" x14ac:dyDescent="0.2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3</v>
      </c>
      <c r="B25" s="42">
        <v>55430</v>
      </c>
      <c r="C25" s="42">
        <v>44330</v>
      </c>
      <c r="D25" s="42">
        <v>45000</v>
      </c>
      <c r="E25" s="42">
        <v>45000</v>
      </c>
      <c r="F25" s="42">
        <v>50000</v>
      </c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4</v>
      </c>
      <c r="B26" s="42">
        <v>215560</v>
      </c>
      <c r="C26" s="42">
        <v>177000</v>
      </c>
      <c r="D26" s="42">
        <v>120000</v>
      </c>
      <c r="E26" s="42">
        <v>112000</v>
      </c>
      <c r="F26" s="42">
        <v>98500</v>
      </c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217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458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459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210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5</v>
      </c>
      <c r="B31" s="42">
        <v>180000</v>
      </c>
      <c r="C31" s="42">
        <v>180000</v>
      </c>
      <c r="D31" s="42">
        <v>200000</v>
      </c>
      <c r="E31" s="42">
        <v>200000</v>
      </c>
      <c r="F31" s="42">
        <v>200000</v>
      </c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6</v>
      </c>
      <c r="B32" s="43">
        <f t="shared" ref="B32:M32" si="3">SUM(B23:B31)</f>
        <v>450990</v>
      </c>
      <c r="C32" s="43">
        <f t="shared" si="3"/>
        <v>401320</v>
      </c>
      <c r="D32" s="43">
        <f t="shared" si="3"/>
        <v>364320</v>
      </c>
      <c r="E32" s="43">
        <f t="shared" si="3"/>
        <v>356320</v>
      </c>
      <c r="F32" s="43">
        <f t="shared" si="3"/>
        <v>348500</v>
      </c>
      <c r="G32" s="43">
        <f t="shared" si="3"/>
        <v>348500</v>
      </c>
      <c r="H32" s="43">
        <f t="shared" si="3"/>
        <v>348500</v>
      </c>
      <c r="I32" s="43">
        <f t="shared" si="3"/>
        <v>348500</v>
      </c>
      <c r="J32" s="43">
        <f t="shared" si="3"/>
        <v>348500</v>
      </c>
      <c r="K32" s="43">
        <f t="shared" si="3"/>
        <v>348500</v>
      </c>
      <c r="L32" s="43">
        <f t="shared" si="3"/>
        <v>348500</v>
      </c>
      <c r="M32" s="43">
        <f t="shared" si="3"/>
        <v>348500</v>
      </c>
    </row>
    <row r="33" spans="1:13" x14ac:dyDescent="0.2">
      <c r="A33" s="78" t="s">
        <v>7</v>
      </c>
      <c r="B33" s="44">
        <v>451000</v>
      </c>
      <c r="C33" s="44">
        <v>402000</v>
      </c>
      <c r="D33" s="44">
        <v>365000</v>
      </c>
      <c r="E33" s="44">
        <v>356320</v>
      </c>
      <c r="F33" s="44"/>
      <c r="G33" s="44"/>
      <c r="H33" s="44"/>
      <c r="I33" s="44"/>
      <c r="J33" s="44"/>
      <c r="K33" s="44"/>
      <c r="L33" s="44"/>
      <c r="M33" s="44"/>
    </row>
    <row r="34" spans="1:13" x14ac:dyDescent="0.2">
      <c r="A34" s="78" t="s">
        <v>111</v>
      </c>
      <c r="B34" s="43">
        <f t="shared" ref="B34:M34" si="4">B32-B33</f>
        <v>-10</v>
      </c>
      <c r="C34" s="43">
        <f t="shared" si="4"/>
        <v>-680</v>
      </c>
      <c r="D34" s="43">
        <f t="shared" si="4"/>
        <v>-680</v>
      </c>
      <c r="E34" s="43">
        <f t="shared" si="4"/>
        <v>0</v>
      </c>
      <c r="F34" s="43">
        <f t="shared" si="4"/>
        <v>348500</v>
      </c>
      <c r="G34" s="43">
        <f t="shared" si="4"/>
        <v>348500</v>
      </c>
      <c r="H34" s="43">
        <f t="shared" si="4"/>
        <v>348500</v>
      </c>
      <c r="I34" s="43">
        <f t="shared" si="4"/>
        <v>348500</v>
      </c>
      <c r="J34" s="43">
        <f t="shared" si="4"/>
        <v>348500</v>
      </c>
      <c r="K34" s="43">
        <f t="shared" si="4"/>
        <v>348500</v>
      </c>
      <c r="L34" s="43">
        <f t="shared" si="4"/>
        <v>348500</v>
      </c>
      <c r="M34" s="43">
        <f t="shared" si="4"/>
        <v>348500</v>
      </c>
    </row>
    <row r="35" spans="1:13" x14ac:dyDescent="0.2">
      <c r="B35" s="128">
        <v>45329</v>
      </c>
      <c r="H35" s="128">
        <v>45504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3"/>
  <dimension ref="A1:O40"/>
  <sheetViews>
    <sheetView topLeftCell="A16" workbookViewId="0">
      <selection activeCell="E34" sqref="E34"/>
    </sheetView>
  </sheetViews>
  <sheetFormatPr baseColWidth="10" defaultRowHeight="12.75" x14ac:dyDescent="0.2"/>
  <cols>
    <col min="1" max="1" width="31" customWidth="1"/>
    <col min="2" max="3" width="12.85546875" customWidth="1"/>
    <col min="4" max="4" width="13.85546875" bestFit="1" customWidth="1"/>
    <col min="5" max="5" width="13" customWidth="1"/>
    <col min="6" max="6" width="12.7109375" customWidth="1"/>
    <col min="7" max="7" width="12.5703125" bestFit="1" customWidth="1"/>
    <col min="8" max="8" width="12.85546875" bestFit="1" customWidth="1"/>
    <col min="9" max="9" width="14.42578125" bestFit="1" customWidth="1"/>
    <col min="10" max="10" width="12.85546875" customWidth="1"/>
    <col min="11" max="11" width="13.140625" customWidth="1"/>
    <col min="12" max="12" width="12.7109375" customWidth="1"/>
    <col min="13" max="13" width="12.85546875" customWidth="1"/>
    <col min="15" max="15" width="13" customWidth="1"/>
  </cols>
  <sheetData>
    <row r="1" spans="1:15" x14ac:dyDescent="0.2">
      <c r="A1" s="12" t="s">
        <v>146</v>
      </c>
    </row>
    <row r="4" spans="1:15" ht="20.25" x14ac:dyDescent="0.3">
      <c r="A4" s="11">
        <v>2</v>
      </c>
      <c r="B4" s="216" t="s">
        <v>223</v>
      </c>
      <c r="C4" s="216"/>
      <c r="D4" s="216"/>
      <c r="E4" s="216"/>
      <c r="F4" s="216"/>
      <c r="G4" s="216"/>
      <c r="H4" s="2"/>
      <c r="I4" s="2"/>
      <c r="J4" s="2"/>
      <c r="K4" s="2"/>
      <c r="L4" s="2"/>
      <c r="M4" s="2"/>
    </row>
    <row r="5" spans="1:15" ht="20.25" x14ac:dyDescent="0.3">
      <c r="A5" s="2"/>
      <c r="B5" s="2"/>
      <c r="C5" s="2">
        <v>9176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x14ac:dyDescent="0.2">
      <c r="A6" s="50" t="s">
        <v>0</v>
      </c>
      <c r="B6" s="50" t="s">
        <v>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5" x14ac:dyDescent="0.2">
      <c r="A7" s="78"/>
      <c r="B7" s="79">
        <v>45658</v>
      </c>
      <c r="C7" s="79">
        <v>45689</v>
      </c>
      <c r="D7" s="79">
        <v>45717</v>
      </c>
      <c r="E7" s="79">
        <v>45748</v>
      </c>
      <c r="F7" s="79">
        <v>45778</v>
      </c>
      <c r="G7" s="79">
        <v>45809</v>
      </c>
      <c r="H7" s="79">
        <v>45839</v>
      </c>
      <c r="I7" s="79">
        <v>45870</v>
      </c>
      <c r="J7" s="79">
        <v>45901</v>
      </c>
      <c r="K7" s="79">
        <v>45931</v>
      </c>
      <c r="L7" s="79">
        <v>45962</v>
      </c>
      <c r="M7" s="79">
        <v>45992</v>
      </c>
    </row>
    <row r="8" spans="1:15" x14ac:dyDescent="0.2">
      <c r="A8" s="78" t="s">
        <v>110</v>
      </c>
      <c r="B8" s="42">
        <v>875000</v>
      </c>
      <c r="C8" s="42">
        <f>B19</f>
        <v>1133960</v>
      </c>
      <c r="D8" s="42">
        <f t="shared" ref="D8:I8" si="0">C19</f>
        <v>0</v>
      </c>
      <c r="E8" s="42">
        <f t="shared" si="0"/>
        <v>582100</v>
      </c>
      <c r="F8" s="42">
        <f t="shared" si="0"/>
        <v>774730</v>
      </c>
      <c r="G8" s="42">
        <f t="shared" si="0"/>
        <v>0</v>
      </c>
      <c r="H8" s="42">
        <f t="shared" si="0"/>
        <v>0.16000000003259629</v>
      </c>
      <c r="I8" s="42">
        <f t="shared" si="0"/>
        <v>0.16000000003259629</v>
      </c>
      <c r="J8" s="42">
        <f>I19</f>
        <v>0.16000000003259629</v>
      </c>
      <c r="K8" s="42">
        <f>J19</f>
        <v>0.16000000003259629</v>
      </c>
      <c r="L8" s="42">
        <f>K19</f>
        <v>460000.16000000003</v>
      </c>
      <c r="M8" s="42">
        <f>L19</f>
        <v>637200.16</v>
      </c>
    </row>
    <row r="9" spans="1:15" x14ac:dyDescent="0.2">
      <c r="A9" s="78" t="s">
        <v>76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O9">
        <f>1814.01-1096.28</f>
        <v>717.73</v>
      </c>
    </row>
    <row r="10" spans="1:15" x14ac:dyDescent="0.2">
      <c r="A10" s="78" t="s">
        <v>3</v>
      </c>
      <c r="B10" s="42">
        <v>103000</v>
      </c>
      <c r="C10" s="42"/>
      <c r="D10" s="42">
        <v>310000</v>
      </c>
      <c r="E10" s="42">
        <v>25630</v>
      </c>
      <c r="F10" s="42"/>
      <c r="G10" s="42">
        <v>237081</v>
      </c>
      <c r="H10" s="42">
        <v>88530</v>
      </c>
      <c r="I10" s="42">
        <v>236000</v>
      </c>
      <c r="J10" s="42">
        <v>179000</v>
      </c>
      <c r="K10" s="42">
        <v>230000</v>
      </c>
      <c r="L10" s="42">
        <v>9200</v>
      </c>
      <c r="M10" s="42">
        <v>9200</v>
      </c>
    </row>
    <row r="11" spans="1:15" x14ac:dyDescent="0.2">
      <c r="A11" s="78" t="s">
        <v>4</v>
      </c>
      <c r="B11" s="42">
        <v>45960</v>
      </c>
      <c r="C11" s="42">
        <v>22208</v>
      </c>
      <c r="D11" s="42">
        <v>162100</v>
      </c>
      <c r="E11" s="42">
        <v>57000</v>
      </c>
      <c r="F11" s="42">
        <v>35600</v>
      </c>
      <c r="G11" s="42">
        <v>94272.16</v>
      </c>
      <c r="H11" s="42">
        <v>40000</v>
      </c>
      <c r="I11" s="42">
        <v>107436</v>
      </c>
      <c r="J11" s="42">
        <v>106000</v>
      </c>
      <c r="K11" s="42">
        <v>90000</v>
      </c>
      <c r="L11" s="42">
        <v>28000</v>
      </c>
      <c r="M11" s="42">
        <v>33000</v>
      </c>
    </row>
    <row r="12" spans="1:15" x14ac:dyDescent="0.2">
      <c r="A12" s="78" t="s">
        <v>9</v>
      </c>
      <c r="B12" s="42"/>
      <c r="C12" s="42">
        <v>2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5" x14ac:dyDescent="0.2">
      <c r="A13" s="78" t="s">
        <v>73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5" x14ac:dyDescent="0.2">
      <c r="A14" s="78" t="s">
        <v>74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5" x14ac:dyDescent="0.2">
      <c r="A15" s="78" t="s">
        <v>288</v>
      </c>
      <c r="B15" s="42"/>
      <c r="C15" s="42">
        <v>830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5" x14ac:dyDescent="0.2">
      <c r="A16" s="78" t="s">
        <v>5</v>
      </c>
      <c r="B16" s="42">
        <v>110000</v>
      </c>
      <c r="C16" s="42">
        <v>110000</v>
      </c>
      <c r="D16" s="42">
        <v>110000</v>
      </c>
      <c r="E16" s="42">
        <v>110000</v>
      </c>
      <c r="F16" s="42">
        <v>110000</v>
      </c>
      <c r="G16" s="42">
        <v>100000</v>
      </c>
      <c r="H16" s="42">
        <v>120000</v>
      </c>
      <c r="I16" s="42">
        <v>120000</v>
      </c>
      <c r="J16" s="42">
        <v>140000</v>
      </c>
      <c r="K16" s="42">
        <v>140000</v>
      </c>
      <c r="L16" s="42">
        <v>140000</v>
      </c>
      <c r="M16" s="42">
        <v>140000</v>
      </c>
    </row>
    <row r="17" spans="1:13" x14ac:dyDescent="0.2">
      <c r="A17" s="78" t="s">
        <v>6</v>
      </c>
      <c r="B17" s="43">
        <f>SUM(B8:B16)</f>
        <v>1133960</v>
      </c>
      <c r="C17" s="43">
        <f t="shared" ref="C17:M17" si="1">SUM(C8:C16)</f>
        <v>1267000</v>
      </c>
      <c r="D17" s="43">
        <f t="shared" si="1"/>
        <v>582100</v>
      </c>
      <c r="E17" s="43">
        <f t="shared" si="1"/>
        <v>774730</v>
      </c>
      <c r="F17" s="43">
        <f t="shared" si="1"/>
        <v>920330</v>
      </c>
      <c r="G17" s="43">
        <f t="shared" si="1"/>
        <v>431353.16000000003</v>
      </c>
      <c r="H17" s="43">
        <f t="shared" si="1"/>
        <v>248530.16000000003</v>
      </c>
      <c r="I17" s="43">
        <f t="shared" si="1"/>
        <v>463436.16000000003</v>
      </c>
      <c r="J17" s="43">
        <f t="shared" si="1"/>
        <v>425000.16000000003</v>
      </c>
      <c r="K17" s="43">
        <f t="shared" si="1"/>
        <v>460000.16000000003</v>
      </c>
      <c r="L17" s="43">
        <f t="shared" si="1"/>
        <v>637200.16</v>
      </c>
      <c r="M17" s="43">
        <f t="shared" si="1"/>
        <v>819400.16</v>
      </c>
    </row>
    <row r="18" spans="1:13" x14ac:dyDescent="0.2">
      <c r="A18" s="78" t="s">
        <v>7</v>
      </c>
      <c r="B18" s="44"/>
      <c r="C18" s="44">
        <v>1267000</v>
      </c>
      <c r="D18" s="44"/>
      <c r="E18" s="44"/>
      <c r="F18" s="44">
        <v>920330</v>
      </c>
      <c r="G18" s="44">
        <v>431353</v>
      </c>
      <c r="H18" s="44">
        <v>248530</v>
      </c>
      <c r="I18" s="44">
        <v>463436</v>
      </c>
      <c r="J18" s="44">
        <v>425000</v>
      </c>
      <c r="K18" s="44"/>
      <c r="L18" s="44"/>
      <c r="M18" s="44"/>
    </row>
    <row r="19" spans="1:13" x14ac:dyDescent="0.2">
      <c r="A19" s="78" t="s">
        <v>111</v>
      </c>
      <c r="B19" s="43">
        <f>B17-B18</f>
        <v>1133960</v>
      </c>
      <c r="C19" s="43">
        <f>C17-C18</f>
        <v>0</v>
      </c>
      <c r="D19" s="43">
        <f>D17-D18</f>
        <v>582100</v>
      </c>
      <c r="E19" s="43">
        <f t="shared" ref="E19:M19" si="2">E17-E18</f>
        <v>774730</v>
      </c>
      <c r="F19" s="43">
        <f t="shared" si="2"/>
        <v>0</v>
      </c>
      <c r="G19" s="43">
        <f t="shared" si="2"/>
        <v>0.16000000003259629</v>
      </c>
      <c r="H19" s="43">
        <f t="shared" si="2"/>
        <v>0.16000000003259629</v>
      </c>
      <c r="I19" s="43">
        <f t="shared" si="2"/>
        <v>0.16000000003259629</v>
      </c>
      <c r="J19" s="43">
        <f t="shared" si="2"/>
        <v>0.16000000003259629</v>
      </c>
      <c r="K19" s="43">
        <f t="shared" si="2"/>
        <v>460000.16000000003</v>
      </c>
      <c r="L19" s="43">
        <f t="shared" si="2"/>
        <v>637200.16</v>
      </c>
      <c r="M19" s="43">
        <f t="shared" si="2"/>
        <v>819400.16</v>
      </c>
    </row>
    <row r="20" spans="1:13" x14ac:dyDescent="0.2">
      <c r="B20" s="78"/>
      <c r="C20" s="78"/>
      <c r="D20" s="149">
        <v>45002</v>
      </c>
      <c r="E20" s="78"/>
      <c r="F20" s="78"/>
      <c r="G20" s="149">
        <v>44364</v>
      </c>
      <c r="H20" s="78"/>
      <c r="I20" s="43"/>
      <c r="J20" s="149">
        <v>45930</v>
      </c>
      <c r="K20" s="149"/>
      <c r="L20" s="149"/>
      <c r="M20" s="78"/>
    </row>
    <row r="21" spans="1:13" x14ac:dyDescent="0.2">
      <c r="B21" s="78"/>
      <c r="C21" s="78"/>
      <c r="D21" s="78"/>
      <c r="E21" s="78"/>
      <c r="F21" s="78"/>
      <c r="G21" s="78" t="s">
        <v>526</v>
      </c>
      <c r="H21" s="78"/>
      <c r="I21" s="78"/>
      <c r="J21" s="78"/>
      <c r="K21" s="78"/>
      <c r="L21" s="78"/>
      <c r="M21" s="78"/>
    </row>
    <row r="22" spans="1:13" x14ac:dyDescent="0.2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ht="15.75" x14ac:dyDescent="0.25">
      <c r="A23" s="32" t="s">
        <v>0</v>
      </c>
      <c r="B23" s="80" t="s">
        <v>1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</row>
    <row r="24" spans="1:13" ht="15" x14ac:dyDescent="0.2">
      <c r="A24" s="33"/>
      <c r="B24" s="82">
        <v>46023</v>
      </c>
      <c r="C24" s="82">
        <v>46054</v>
      </c>
      <c r="D24" s="82">
        <v>46082</v>
      </c>
      <c r="E24" s="82">
        <v>46113</v>
      </c>
      <c r="F24" s="82">
        <v>46143</v>
      </c>
      <c r="G24" s="82">
        <v>46174</v>
      </c>
      <c r="H24" s="82">
        <v>46204</v>
      </c>
      <c r="I24" s="82">
        <v>46235</v>
      </c>
      <c r="J24" s="82">
        <v>46266</v>
      </c>
      <c r="K24" s="82">
        <v>46296</v>
      </c>
      <c r="L24" s="82">
        <v>46327</v>
      </c>
      <c r="M24" s="82">
        <v>46357</v>
      </c>
    </row>
    <row r="25" spans="1:13" ht="15" x14ac:dyDescent="0.2">
      <c r="A25" s="8" t="s">
        <v>110</v>
      </c>
      <c r="B25" s="42">
        <v>819400</v>
      </c>
      <c r="C25" s="42">
        <f>B36</f>
        <v>1056500</v>
      </c>
      <c r="D25" s="42">
        <f t="shared" ref="D25:M25" si="3">C36</f>
        <v>1236500</v>
      </c>
      <c r="E25" s="42">
        <f t="shared" si="3"/>
        <v>1416500</v>
      </c>
      <c r="F25" s="42">
        <f t="shared" si="3"/>
        <v>1596500</v>
      </c>
      <c r="G25" s="42">
        <f t="shared" si="3"/>
        <v>1596500</v>
      </c>
      <c r="H25" s="42">
        <f t="shared" si="3"/>
        <v>1596500</v>
      </c>
      <c r="I25" s="42">
        <f t="shared" si="3"/>
        <v>1596500</v>
      </c>
      <c r="J25" s="42">
        <f t="shared" si="3"/>
        <v>1596500</v>
      </c>
      <c r="K25" s="42">
        <f t="shared" si="3"/>
        <v>1596500</v>
      </c>
      <c r="L25" s="42">
        <f t="shared" si="3"/>
        <v>1596500</v>
      </c>
      <c r="M25" s="42">
        <f t="shared" si="3"/>
        <v>1596500</v>
      </c>
    </row>
    <row r="26" spans="1:13" ht="15" x14ac:dyDescent="0.2">
      <c r="A26" s="8" t="s">
        <v>144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3</v>
      </c>
      <c r="B27" s="42">
        <v>48100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4</v>
      </c>
      <c r="B28" s="42">
        <v>49000</v>
      </c>
      <c r="C28" s="42">
        <v>30000</v>
      </c>
      <c r="D28" s="42">
        <v>30000</v>
      </c>
      <c r="E28" s="42">
        <v>30000</v>
      </c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ht="15" x14ac:dyDescent="0.2">
      <c r="A32" s="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5" x14ac:dyDescent="0.2">
      <c r="A33" s="8" t="s">
        <v>5</v>
      </c>
      <c r="B33" s="42">
        <v>140000</v>
      </c>
      <c r="C33" s="42">
        <v>150000</v>
      </c>
      <c r="D33" s="42">
        <v>150000</v>
      </c>
      <c r="E33" s="42">
        <v>150000</v>
      </c>
      <c r="F33" s="42"/>
      <c r="G33" s="42"/>
      <c r="H33" s="42"/>
      <c r="I33" s="42"/>
      <c r="J33" s="42"/>
      <c r="K33" s="42"/>
      <c r="L33" s="42"/>
      <c r="M33" s="42"/>
    </row>
    <row r="34" spans="1:13" ht="15" x14ac:dyDescent="0.2">
      <c r="A34" s="8" t="s">
        <v>6</v>
      </c>
      <c r="B34" s="43">
        <f t="shared" ref="B34:M34" si="4">SUM(B25:B33)</f>
        <v>1056500</v>
      </c>
      <c r="C34" s="43">
        <f t="shared" si="4"/>
        <v>1236500</v>
      </c>
      <c r="D34" s="43">
        <f t="shared" si="4"/>
        <v>1416500</v>
      </c>
      <c r="E34" s="43">
        <f t="shared" si="4"/>
        <v>1596500</v>
      </c>
      <c r="F34" s="43">
        <f t="shared" si="4"/>
        <v>1596500</v>
      </c>
      <c r="G34" s="43">
        <f t="shared" si="4"/>
        <v>1596500</v>
      </c>
      <c r="H34" s="43">
        <f t="shared" si="4"/>
        <v>1596500</v>
      </c>
      <c r="I34" s="43">
        <f t="shared" si="4"/>
        <v>1596500</v>
      </c>
      <c r="J34" s="43">
        <f t="shared" si="4"/>
        <v>1596500</v>
      </c>
      <c r="K34" s="43">
        <f t="shared" si="4"/>
        <v>1596500</v>
      </c>
      <c r="L34" s="43">
        <f t="shared" si="4"/>
        <v>1596500</v>
      </c>
      <c r="M34" s="43">
        <f t="shared" si="4"/>
        <v>1596500</v>
      </c>
    </row>
    <row r="35" spans="1:13" ht="15.75" thickBot="1" x14ac:dyDescent="0.25">
      <c r="A35" s="8" t="s">
        <v>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1:13" ht="15.75" thickBot="1" x14ac:dyDescent="0.25">
      <c r="A36" s="8" t="s">
        <v>111</v>
      </c>
      <c r="B36" s="46">
        <f t="shared" ref="B36:M36" si="5">B34-B35</f>
        <v>1056500</v>
      </c>
      <c r="C36" s="46">
        <f t="shared" si="5"/>
        <v>1236500</v>
      </c>
      <c r="D36" s="46">
        <f t="shared" si="5"/>
        <v>1416500</v>
      </c>
      <c r="E36" s="46">
        <f t="shared" si="5"/>
        <v>1596500</v>
      </c>
      <c r="F36" s="46">
        <f t="shared" si="5"/>
        <v>1596500</v>
      </c>
      <c r="G36" s="46">
        <f t="shared" si="5"/>
        <v>1596500</v>
      </c>
      <c r="H36" s="46">
        <f t="shared" si="5"/>
        <v>1596500</v>
      </c>
      <c r="I36" s="46">
        <f t="shared" si="5"/>
        <v>1596500</v>
      </c>
      <c r="J36" s="46">
        <f t="shared" si="5"/>
        <v>1596500</v>
      </c>
      <c r="K36" s="46">
        <f t="shared" si="5"/>
        <v>1596500</v>
      </c>
      <c r="L36" s="46">
        <f t="shared" si="5"/>
        <v>1596500</v>
      </c>
      <c r="M36" s="47">
        <f t="shared" si="5"/>
        <v>1596500</v>
      </c>
    </row>
    <row r="37" spans="1:13" x14ac:dyDescent="0.2">
      <c r="M37" s="128">
        <v>44183</v>
      </c>
    </row>
    <row r="38" spans="1:13" x14ac:dyDescent="0.2">
      <c r="I38" s="151" t="s">
        <v>584</v>
      </c>
      <c r="J38" s="151"/>
      <c r="K38" s="151">
        <f>4400+45410</f>
        <v>49810</v>
      </c>
    </row>
    <row r="39" spans="1:13" x14ac:dyDescent="0.2">
      <c r="B39">
        <v>6555752</v>
      </c>
      <c r="I39" s="151" t="s">
        <v>585</v>
      </c>
      <c r="J39" s="151"/>
      <c r="K39" s="151"/>
    </row>
    <row r="40" spans="1:13" x14ac:dyDescent="0.2">
      <c r="I40" s="151">
        <v>45410</v>
      </c>
      <c r="J40" s="187">
        <v>44778</v>
      </c>
      <c r="K40" s="151"/>
    </row>
  </sheetData>
  <mergeCells count="1">
    <mergeCell ref="B4:G4"/>
  </mergeCells>
  <phoneticPr fontId="4" type="noConversion"/>
  <hyperlinks>
    <hyperlink ref="A1" location="Clientes!A1" display="VOLVER"/>
  </hyperlinks>
  <pageMargins left="0.75" right="0.75" top="1" bottom="1" header="0" footer="0"/>
  <pageSetup paperSize="9" orientation="portrait" r:id="rId1"/>
  <headerFooter alignWithMargins="0"/>
  <ignoredErrors>
    <ignoredError sqref="B34" formulaRange="1"/>
  </ignoredError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4"/>
  <dimension ref="A3:M43"/>
  <sheetViews>
    <sheetView topLeftCell="A19" workbookViewId="0">
      <selection activeCell="E35" sqref="E35"/>
    </sheetView>
  </sheetViews>
  <sheetFormatPr baseColWidth="10" defaultRowHeight="12.75" x14ac:dyDescent="0.2"/>
  <cols>
    <col min="1" max="1" width="33.7109375" customWidth="1"/>
  </cols>
  <sheetData>
    <row r="3" spans="1:13" ht="20.25" x14ac:dyDescent="0.3">
      <c r="A3" s="11" t="s">
        <v>11</v>
      </c>
      <c r="B3" s="216" t="s">
        <v>61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x14ac:dyDescent="0.25">
      <c r="A6" s="8"/>
      <c r="B6" s="15">
        <v>42370</v>
      </c>
      <c r="C6" s="15">
        <v>42401</v>
      </c>
      <c r="D6" s="15">
        <v>42430</v>
      </c>
      <c r="E6" s="15">
        <v>42461</v>
      </c>
      <c r="F6" s="15">
        <v>42491</v>
      </c>
      <c r="G6" s="15">
        <v>42522</v>
      </c>
      <c r="H6" s="15">
        <v>42552</v>
      </c>
      <c r="I6" s="15">
        <v>42583</v>
      </c>
      <c r="J6" s="15">
        <v>42614</v>
      </c>
      <c r="K6" s="15">
        <v>42644</v>
      </c>
      <c r="L6" s="15">
        <v>42675</v>
      </c>
      <c r="M6" s="15">
        <v>42705</v>
      </c>
    </row>
    <row r="7" spans="1:13" ht="15" x14ac:dyDescent="0.2">
      <c r="A7" s="8" t="s">
        <v>110</v>
      </c>
      <c r="B7" s="22"/>
      <c r="C7" s="22">
        <f>B18</f>
        <v>0</v>
      </c>
      <c r="D7" s="22">
        <f t="shared" ref="D7:M7" si="0">C18</f>
        <v>1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22">
        <f t="shared" si="0"/>
        <v>0</v>
      </c>
      <c r="J7" s="22">
        <f t="shared" si="0"/>
        <v>0</v>
      </c>
      <c r="K7" s="22">
        <f>J18</f>
        <v>0</v>
      </c>
      <c r="L7" s="22">
        <f t="shared" si="0"/>
        <v>0</v>
      </c>
      <c r="M7" s="22">
        <f t="shared" si="0"/>
        <v>0</v>
      </c>
    </row>
    <row r="8" spans="1:13" ht="15" x14ac:dyDescent="0.2">
      <c r="A8" s="8" t="s">
        <v>2</v>
      </c>
      <c r="B8" s="22">
        <v>555</v>
      </c>
      <c r="C8" s="22">
        <v>555</v>
      </c>
      <c r="D8" s="22">
        <v>555</v>
      </c>
      <c r="E8" s="22">
        <v>555</v>
      </c>
      <c r="F8" s="22">
        <v>655</v>
      </c>
      <c r="G8" s="22">
        <v>655</v>
      </c>
      <c r="H8" s="22">
        <v>655</v>
      </c>
      <c r="I8" s="22">
        <v>655</v>
      </c>
      <c r="J8" s="22">
        <v>655</v>
      </c>
      <c r="K8" s="22">
        <v>655</v>
      </c>
      <c r="L8" s="22">
        <v>655</v>
      </c>
      <c r="M8" s="22">
        <v>655</v>
      </c>
    </row>
    <row r="9" spans="1:13" ht="15" x14ac:dyDescent="0.2">
      <c r="A9" s="8" t="s">
        <v>3</v>
      </c>
      <c r="B9" s="22">
        <v>85</v>
      </c>
      <c r="C9" s="22">
        <v>85</v>
      </c>
      <c r="D9" s="22">
        <v>85</v>
      </c>
      <c r="E9" s="22">
        <v>85</v>
      </c>
      <c r="F9" s="22">
        <v>170</v>
      </c>
      <c r="G9" s="22">
        <v>170</v>
      </c>
      <c r="H9" s="22">
        <v>170</v>
      </c>
      <c r="I9" s="22">
        <v>170</v>
      </c>
      <c r="J9" s="22">
        <v>170</v>
      </c>
      <c r="K9" s="22">
        <v>170</v>
      </c>
      <c r="L9" s="22">
        <v>170</v>
      </c>
      <c r="M9" s="22">
        <v>170</v>
      </c>
    </row>
    <row r="10" spans="1:13" ht="15" x14ac:dyDescent="0.2">
      <c r="A10" s="8" t="s">
        <v>4</v>
      </c>
      <c r="B10" s="22">
        <v>142</v>
      </c>
      <c r="C10" s="22">
        <v>142</v>
      </c>
      <c r="D10" s="22">
        <v>142</v>
      </c>
      <c r="E10" s="22">
        <v>142</v>
      </c>
      <c r="F10" s="22">
        <v>142</v>
      </c>
      <c r="G10" s="22">
        <v>200</v>
      </c>
      <c r="H10" s="22">
        <v>200</v>
      </c>
      <c r="I10" s="22">
        <v>200</v>
      </c>
      <c r="J10" s="22">
        <v>200</v>
      </c>
      <c r="K10" s="22">
        <v>200</v>
      </c>
      <c r="L10" s="22">
        <v>200</v>
      </c>
      <c r="M10" s="22">
        <v>200</v>
      </c>
    </row>
    <row r="11" spans="1:13" ht="15" x14ac:dyDescent="0.2">
      <c r="A11" s="8" t="s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5" x14ac:dyDescent="0.2">
      <c r="A12" s="8" t="s">
        <v>73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5" x14ac:dyDescent="0.2">
      <c r="A13" s="8" t="s">
        <v>74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5" x14ac:dyDescent="0.2">
      <c r="A14" s="8" t="s">
        <v>75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" x14ac:dyDescent="0.2">
      <c r="A15" s="8" t="s">
        <v>5</v>
      </c>
      <c r="B15" s="22">
        <v>250</v>
      </c>
      <c r="C15" s="22">
        <v>250</v>
      </c>
      <c r="D15" s="22">
        <v>250</v>
      </c>
      <c r="E15" s="22">
        <v>250</v>
      </c>
      <c r="F15" s="22">
        <v>250</v>
      </c>
      <c r="G15" s="22">
        <v>250</v>
      </c>
      <c r="H15" s="22">
        <v>250</v>
      </c>
      <c r="I15" s="22">
        <v>250</v>
      </c>
      <c r="J15" s="22">
        <v>250</v>
      </c>
      <c r="K15" s="22">
        <v>250</v>
      </c>
      <c r="L15" s="22">
        <v>250</v>
      </c>
      <c r="M15" s="22">
        <v>250</v>
      </c>
    </row>
    <row r="16" spans="1:13" ht="15" x14ac:dyDescent="0.2">
      <c r="A16" s="8" t="s">
        <v>6</v>
      </c>
      <c r="B16" s="16">
        <f>SUM(B7:B15)</f>
        <v>1032</v>
      </c>
      <c r="C16" s="16">
        <f t="shared" ref="C16:M16" si="1">SUM(C7:C15)</f>
        <v>1032</v>
      </c>
      <c r="D16" s="16">
        <f t="shared" si="1"/>
        <v>1033</v>
      </c>
      <c r="E16" s="16">
        <f t="shared" si="1"/>
        <v>1032</v>
      </c>
      <c r="F16" s="16">
        <f t="shared" si="1"/>
        <v>1217</v>
      </c>
      <c r="G16" s="16">
        <f t="shared" si="1"/>
        <v>1275</v>
      </c>
      <c r="H16" s="16">
        <f t="shared" si="1"/>
        <v>1275</v>
      </c>
      <c r="I16" s="16">
        <f t="shared" si="1"/>
        <v>1275</v>
      </c>
      <c r="J16" s="16">
        <f t="shared" si="1"/>
        <v>1275</v>
      </c>
      <c r="K16" s="16">
        <f t="shared" si="1"/>
        <v>1275</v>
      </c>
      <c r="L16" s="16">
        <f t="shared" si="1"/>
        <v>1275</v>
      </c>
      <c r="M16" s="16">
        <f t="shared" si="1"/>
        <v>1275</v>
      </c>
    </row>
    <row r="17" spans="1:13" ht="15" x14ac:dyDescent="0.2">
      <c r="A17" s="8" t="s">
        <v>7</v>
      </c>
      <c r="B17" s="23">
        <v>1032</v>
      </c>
      <c r="C17" s="23">
        <v>1031</v>
      </c>
      <c r="D17" s="23">
        <v>1033</v>
      </c>
      <c r="E17" s="23">
        <v>1032</v>
      </c>
      <c r="F17" s="23">
        <v>1217</v>
      </c>
      <c r="G17" s="23">
        <v>1275</v>
      </c>
      <c r="H17" s="23">
        <v>1275</v>
      </c>
      <c r="I17" s="23">
        <v>1275</v>
      </c>
      <c r="J17" s="23">
        <v>1275</v>
      </c>
      <c r="K17" s="23">
        <v>1275</v>
      </c>
      <c r="L17" s="23">
        <v>1275</v>
      </c>
      <c r="M17" s="23">
        <v>1275</v>
      </c>
    </row>
    <row r="18" spans="1:13" ht="15" x14ac:dyDescent="0.2">
      <c r="A18" s="8" t="s">
        <v>111</v>
      </c>
      <c r="B18" s="16">
        <f>B16-B17</f>
        <v>0</v>
      </c>
      <c r="C18" s="16">
        <f>C16-C17</f>
        <v>1</v>
      </c>
      <c r="D18" s="16">
        <f t="shared" ref="D18:M18" si="2">D16-D17</f>
        <v>0</v>
      </c>
      <c r="E18" s="16">
        <f t="shared" si="2"/>
        <v>0</v>
      </c>
      <c r="F18" s="16">
        <f t="shared" si="2"/>
        <v>0</v>
      </c>
      <c r="G18" s="16">
        <f t="shared" si="2"/>
        <v>0</v>
      </c>
      <c r="H18" s="16">
        <f t="shared" si="2"/>
        <v>0</v>
      </c>
      <c r="I18" s="16">
        <f t="shared" si="2"/>
        <v>0</v>
      </c>
      <c r="J18" s="16">
        <f t="shared" si="2"/>
        <v>0</v>
      </c>
      <c r="K18" s="16">
        <f t="shared" si="2"/>
        <v>0</v>
      </c>
      <c r="L18" s="16">
        <f t="shared" si="2"/>
        <v>0</v>
      </c>
      <c r="M18" s="16">
        <f t="shared" si="2"/>
        <v>0</v>
      </c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.75" x14ac:dyDescent="0.25">
      <c r="A24" s="33"/>
      <c r="B24" s="34">
        <v>42736</v>
      </c>
      <c r="C24" s="34">
        <v>42767</v>
      </c>
      <c r="D24" s="34">
        <v>42795</v>
      </c>
      <c r="E24" s="34">
        <v>42826</v>
      </c>
      <c r="F24" s="34">
        <v>42856</v>
      </c>
      <c r="G24" s="34">
        <v>42887</v>
      </c>
      <c r="H24" s="34">
        <v>42917</v>
      </c>
      <c r="I24" s="34">
        <v>42948</v>
      </c>
      <c r="J24" s="34">
        <v>42979</v>
      </c>
      <c r="K24" s="34">
        <v>43009</v>
      </c>
      <c r="L24" s="34">
        <v>43040</v>
      </c>
      <c r="M24" s="34">
        <v>43070</v>
      </c>
    </row>
    <row r="25" spans="1:13" ht="15" x14ac:dyDescent="0.2">
      <c r="A25" s="8" t="s">
        <v>110</v>
      </c>
      <c r="B25" s="28"/>
      <c r="C25" s="28">
        <f t="shared" ref="C25:M25" si="3">B36</f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</row>
    <row r="26" spans="1:13" ht="15" x14ac:dyDescent="0.2">
      <c r="A26" s="8" t="s">
        <v>2</v>
      </c>
      <c r="B26" s="28">
        <v>790</v>
      </c>
      <c r="C26" s="28">
        <v>790</v>
      </c>
      <c r="D26" s="28">
        <v>790</v>
      </c>
      <c r="E26" s="28"/>
      <c r="F26" s="28"/>
      <c r="G26" s="28"/>
      <c r="H26" s="28"/>
      <c r="I26" s="28"/>
      <c r="J26" s="28"/>
      <c r="K26" s="28"/>
      <c r="L26" s="22"/>
      <c r="M26" s="28"/>
    </row>
    <row r="27" spans="1:13" ht="15" x14ac:dyDescent="0.2">
      <c r="A27" s="8" t="s">
        <v>3</v>
      </c>
      <c r="B27" s="28">
        <v>170</v>
      </c>
      <c r="C27" s="28">
        <v>170</v>
      </c>
      <c r="D27" s="28">
        <v>170</v>
      </c>
      <c r="E27" s="28"/>
      <c r="F27" s="28"/>
      <c r="G27" s="28"/>
      <c r="H27" s="28"/>
      <c r="I27" s="28"/>
      <c r="J27" s="28"/>
      <c r="K27" s="28"/>
      <c r="L27" s="28"/>
      <c r="M27" s="28"/>
    </row>
    <row r="28" spans="1:13" ht="15" x14ac:dyDescent="0.2">
      <c r="A28" s="8" t="s">
        <v>4</v>
      </c>
      <c r="B28" s="28">
        <v>200</v>
      </c>
      <c r="C28" s="28">
        <v>200</v>
      </c>
      <c r="D28" s="28">
        <v>200</v>
      </c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15" x14ac:dyDescent="0.2">
      <c r="A29" s="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ht="15" x14ac:dyDescent="0.2">
      <c r="A30" s="8" t="s">
        <v>73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ht="15" x14ac:dyDescent="0.2">
      <c r="A31" s="8" t="s">
        <v>74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ht="15" x14ac:dyDescent="0.2">
      <c r="A32" s="8" t="s">
        <v>75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 ht="15" x14ac:dyDescent="0.2">
      <c r="A33" s="8" t="s">
        <v>5</v>
      </c>
      <c r="B33" s="28">
        <v>300</v>
      </c>
      <c r="C33" s="28">
        <v>300</v>
      </c>
      <c r="D33" s="28">
        <v>300</v>
      </c>
      <c r="E33" s="28"/>
      <c r="F33" s="28"/>
      <c r="G33" s="28"/>
      <c r="H33" s="28"/>
      <c r="I33" s="28"/>
      <c r="J33" s="28"/>
      <c r="K33" s="28"/>
      <c r="L33" s="28"/>
      <c r="M33" s="28"/>
    </row>
    <row r="34" spans="1:13" ht="15" x14ac:dyDescent="0.2">
      <c r="A34" s="8" t="s">
        <v>6</v>
      </c>
      <c r="B34" s="29">
        <f>SUM(B25:B33)</f>
        <v>1460</v>
      </c>
      <c r="C34" s="29">
        <f>SUM(C25:C33)</f>
        <v>1460</v>
      </c>
      <c r="D34" s="29">
        <f t="shared" ref="D34:M34" si="4">SUM(D25:D33)</f>
        <v>1460</v>
      </c>
      <c r="E34" s="29">
        <f t="shared" si="4"/>
        <v>0</v>
      </c>
      <c r="F34" s="29">
        <f t="shared" si="4"/>
        <v>0</v>
      </c>
      <c r="G34" s="29">
        <f t="shared" si="4"/>
        <v>0</v>
      </c>
      <c r="H34" s="29">
        <f t="shared" si="4"/>
        <v>0</v>
      </c>
      <c r="I34" s="29">
        <f t="shared" si="4"/>
        <v>0</v>
      </c>
      <c r="J34" s="29">
        <f t="shared" si="4"/>
        <v>0</v>
      </c>
      <c r="K34" s="29">
        <f t="shared" si="4"/>
        <v>0</v>
      </c>
      <c r="L34" s="29">
        <f t="shared" si="4"/>
        <v>0</v>
      </c>
      <c r="M34" s="29">
        <f t="shared" si="4"/>
        <v>0</v>
      </c>
    </row>
    <row r="35" spans="1:13" ht="15.75" thickBot="1" x14ac:dyDescent="0.25">
      <c r="A35" s="8" t="s">
        <v>7</v>
      </c>
      <c r="B35" s="30">
        <v>1460</v>
      </c>
      <c r="C35" s="30">
        <v>1460</v>
      </c>
      <c r="D35" s="30">
        <v>1460</v>
      </c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5.75" thickBot="1" x14ac:dyDescent="0.25">
      <c r="A36" s="8" t="s">
        <v>111</v>
      </c>
      <c r="B36" s="35">
        <f t="shared" ref="B36:M36" si="5">B34-B35</f>
        <v>0</v>
      </c>
      <c r="C36" s="36">
        <f t="shared" si="5"/>
        <v>0</v>
      </c>
      <c r="D36" s="36">
        <f t="shared" si="5"/>
        <v>0</v>
      </c>
      <c r="E36" s="36">
        <f t="shared" si="5"/>
        <v>0</v>
      </c>
      <c r="F36" s="36">
        <f t="shared" si="5"/>
        <v>0</v>
      </c>
      <c r="G36" s="36">
        <f t="shared" si="5"/>
        <v>0</v>
      </c>
      <c r="H36" s="36">
        <f t="shared" si="5"/>
        <v>0</v>
      </c>
      <c r="I36" s="36">
        <f t="shared" si="5"/>
        <v>0</v>
      </c>
      <c r="J36" s="36">
        <f t="shared" si="5"/>
        <v>0</v>
      </c>
      <c r="K36" s="36">
        <f t="shared" si="5"/>
        <v>0</v>
      </c>
      <c r="L36" s="36">
        <f t="shared" si="5"/>
        <v>0</v>
      </c>
      <c r="M36" s="37">
        <f t="shared" si="5"/>
        <v>0</v>
      </c>
    </row>
    <row r="39" spans="1:13" ht="15" x14ac:dyDescent="0.2">
      <c r="A39" s="40" t="s">
        <v>167</v>
      </c>
      <c r="B39">
        <v>500</v>
      </c>
    </row>
    <row r="40" spans="1:13" ht="15" x14ac:dyDescent="0.2">
      <c r="A40" s="40" t="s">
        <v>7</v>
      </c>
      <c r="B40">
        <v>300</v>
      </c>
    </row>
    <row r="41" spans="1:13" ht="15" x14ac:dyDescent="0.2">
      <c r="A41" s="40" t="s">
        <v>168</v>
      </c>
      <c r="B41">
        <f>B39-B40</f>
        <v>200</v>
      </c>
    </row>
    <row r="42" spans="1:13" ht="15" x14ac:dyDescent="0.2">
      <c r="A42" s="40" t="s">
        <v>171</v>
      </c>
      <c r="B42">
        <v>200</v>
      </c>
    </row>
    <row r="43" spans="1:13" ht="15" x14ac:dyDescent="0.2">
      <c r="A43" s="40" t="s">
        <v>172</v>
      </c>
      <c r="B43">
        <v>0</v>
      </c>
    </row>
  </sheetData>
  <mergeCells count="1">
    <mergeCell ref="B3:G3"/>
  </mergeCells>
  <phoneticPr fontId="4" type="noConversion"/>
  <pageMargins left="0.75" right="0.75" top="1" bottom="1" header="0" footer="0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5"/>
  <dimension ref="A3:M31"/>
  <sheetViews>
    <sheetView workbookViewId="0">
      <selection activeCell="E14" sqref="E14"/>
    </sheetView>
  </sheetViews>
  <sheetFormatPr baseColWidth="10" defaultRowHeight="12.75" x14ac:dyDescent="0.2"/>
  <cols>
    <col min="1" max="1" width="31.7109375" customWidth="1"/>
    <col min="6" max="6" width="12.85546875" bestFit="1" customWidth="1"/>
    <col min="8" max="8" width="12.85546875" customWidth="1"/>
    <col min="9" max="9" width="13" customWidth="1"/>
    <col min="10" max="10" width="12.5703125" customWidth="1"/>
    <col min="11" max="11" width="12.7109375" customWidth="1"/>
    <col min="12" max="12" width="13" customWidth="1"/>
    <col min="13" max="13" width="12.5703125" customWidth="1"/>
  </cols>
  <sheetData>
    <row r="3" spans="1:13" ht="15.75" x14ac:dyDescent="0.25">
      <c r="A3" s="32" t="s">
        <v>0</v>
      </c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">
      <c r="A4" s="81"/>
      <c r="B4" s="82">
        <v>45658</v>
      </c>
      <c r="C4" s="82">
        <v>45689</v>
      </c>
      <c r="D4" s="82">
        <v>45717</v>
      </c>
      <c r="E4" s="82">
        <v>45748</v>
      </c>
      <c r="F4" s="82">
        <v>45778</v>
      </c>
      <c r="G4" s="82">
        <v>45809</v>
      </c>
      <c r="H4" s="82">
        <v>45839</v>
      </c>
      <c r="I4" s="82">
        <v>45870</v>
      </c>
      <c r="J4" s="82">
        <v>45901</v>
      </c>
      <c r="K4" s="82">
        <v>45931</v>
      </c>
      <c r="L4" s="82">
        <v>45962</v>
      </c>
      <c r="M4" s="82">
        <v>45992</v>
      </c>
    </row>
    <row r="5" spans="1:13" x14ac:dyDescent="0.2">
      <c r="A5" s="78" t="s">
        <v>110</v>
      </c>
      <c r="B5" s="42">
        <v>119500</v>
      </c>
      <c r="C5" s="42">
        <f t="shared" ref="C5:M5" si="0">B16</f>
        <v>0</v>
      </c>
      <c r="D5" s="42">
        <f t="shared" si="0"/>
        <v>164500</v>
      </c>
      <c r="E5" s="42">
        <f t="shared" si="0"/>
        <v>329000</v>
      </c>
      <c r="F5" s="42">
        <f t="shared" si="0"/>
        <v>523500</v>
      </c>
      <c r="G5" s="42">
        <f t="shared" si="0"/>
        <v>718000</v>
      </c>
      <c r="H5" s="42">
        <f t="shared" si="0"/>
        <v>919000</v>
      </c>
      <c r="I5" s="42">
        <f t="shared" si="0"/>
        <v>1120000</v>
      </c>
      <c r="J5" s="42">
        <f t="shared" si="0"/>
        <v>1321000</v>
      </c>
      <c r="K5" s="42">
        <f t="shared" si="0"/>
        <v>1522000</v>
      </c>
      <c r="L5" s="42">
        <f t="shared" si="0"/>
        <v>1723000</v>
      </c>
      <c r="M5" s="42">
        <f t="shared" si="0"/>
        <v>1924320</v>
      </c>
    </row>
    <row r="6" spans="1:13" x14ac:dyDescent="0.2">
      <c r="A6" s="7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4</v>
      </c>
      <c r="B8" s="42">
        <f>22207+22207</f>
        <v>44414</v>
      </c>
      <c r="C8" s="42">
        <v>44500</v>
      </c>
      <c r="D8" s="42">
        <v>44500</v>
      </c>
      <c r="E8" s="42">
        <v>44500</v>
      </c>
      <c r="F8" s="42">
        <v>44500</v>
      </c>
      <c r="G8" s="42">
        <v>51000</v>
      </c>
      <c r="H8" s="42">
        <v>51000</v>
      </c>
      <c r="I8" s="42">
        <v>51000</v>
      </c>
      <c r="J8" s="42">
        <v>51000</v>
      </c>
      <c r="K8" s="42">
        <v>51000</v>
      </c>
      <c r="L8" s="42">
        <v>51320</v>
      </c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648</v>
      </c>
      <c r="B12" s="42">
        <v>86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90000</v>
      </c>
      <c r="C13" s="42">
        <v>120000</v>
      </c>
      <c r="D13" s="42">
        <v>120000</v>
      </c>
      <c r="E13" s="42">
        <v>150000</v>
      </c>
      <c r="F13" s="42">
        <v>150000</v>
      </c>
      <c r="G13" s="42">
        <v>150000</v>
      </c>
      <c r="H13" s="42">
        <v>150000</v>
      </c>
      <c r="I13" s="42">
        <v>150000</v>
      </c>
      <c r="J13" s="42">
        <v>150000</v>
      </c>
      <c r="K13" s="42">
        <v>150000</v>
      </c>
      <c r="L13" s="42">
        <v>150000</v>
      </c>
      <c r="M13" s="42"/>
    </row>
    <row r="14" spans="1:13" x14ac:dyDescent="0.2">
      <c r="A14" s="78" t="s">
        <v>6</v>
      </c>
      <c r="B14" s="43">
        <f>SUM(B5:B13)</f>
        <v>254000</v>
      </c>
      <c r="C14" s="43">
        <f>SUM(C5:C13)</f>
        <v>164500</v>
      </c>
      <c r="D14" s="43">
        <f t="shared" ref="D14:M14" si="1">SUM(D5:D13)</f>
        <v>329000</v>
      </c>
      <c r="E14" s="43">
        <f t="shared" si="1"/>
        <v>523500</v>
      </c>
      <c r="F14" s="43">
        <f t="shared" si="1"/>
        <v>718000</v>
      </c>
      <c r="G14" s="43">
        <f t="shared" si="1"/>
        <v>919000</v>
      </c>
      <c r="H14" s="43">
        <f t="shared" si="1"/>
        <v>1120000</v>
      </c>
      <c r="I14" s="43">
        <f t="shared" si="1"/>
        <v>1321000</v>
      </c>
      <c r="J14" s="43">
        <f t="shared" si="1"/>
        <v>1522000</v>
      </c>
      <c r="K14" s="43">
        <f t="shared" si="1"/>
        <v>1723000</v>
      </c>
      <c r="L14" s="43">
        <f t="shared" si="1"/>
        <v>1924320</v>
      </c>
      <c r="M14" s="43">
        <f t="shared" si="1"/>
        <v>1924320</v>
      </c>
    </row>
    <row r="15" spans="1:13" ht="13.5" thickBot="1" x14ac:dyDescent="0.25">
      <c r="A15" s="78" t="s">
        <v>7</v>
      </c>
      <c r="B15" s="44">
        <v>254000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13.5" thickBot="1" x14ac:dyDescent="0.25">
      <c r="A16" s="78" t="s">
        <v>111</v>
      </c>
      <c r="B16" s="45">
        <f t="shared" ref="B16:M16" si="2">B14-B15</f>
        <v>0</v>
      </c>
      <c r="C16" s="46">
        <f t="shared" si="2"/>
        <v>164500</v>
      </c>
      <c r="D16" s="46">
        <f t="shared" si="2"/>
        <v>329000</v>
      </c>
      <c r="E16" s="46">
        <f t="shared" si="2"/>
        <v>523500</v>
      </c>
      <c r="F16" s="46">
        <f t="shared" si="2"/>
        <v>718000</v>
      </c>
      <c r="G16" s="46">
        <f t="shared" si="2"/>
        <v>919000</v>
      </c>
      <c r="H16" s="46">
        <f t="shared" si="2"/>
        <v>1120000</v>
      </c>
      <c r="I16" s="46">
        <f t="shared" si="2"/>
        <v>1321000</v>
      </c>
      <c r="J16" s="46">
        <f t="shared" si="2"/>
        <v>1522000</v>
      </c>
      <c r="K16" s="46">
        <f t="shared" si="2"/>
        <v>1723000</v>
      </c>
      <c r="L16" s="46">
        <f t="shared" si="2"/>
        <v>1924320</v>
      </c>
      <c r="M16" s="47">
        <f t="shared" si="2"/>
        <v>1924320</v>
      </c>
    </row>
    <row r="19" spans="1:13" x14ac:dyDescent="0.2">
      <c r="A19" s="81"/>
      <c r="B19" s="82">
        <v>45292</v>
      </c>
      <c r="C19" s="82">
        <v>45323</v>
      </c>
      <c r="D19" s="82">
        <v>45352</v>
      </c>
      <c r="E19" s="82">
        <v>45383</v>
      </c>
      <c r="F19" s="82">
        <v>45413</v>
      </c>
      <c r="G19" s="82">
        <v>45444</v>
      </c>
      <c r="H19" s="82">
        <v>45474</v>
      </c>
      <c r="I19" s="82">
        <v>45505</v>
      </c>
      <c r="J19" s="82">
        <v>45536</v>
      </c>
      <c r="K19" s="82">
        <v>45566</v>
      </c>
      <c r="L19" s="82">
        <v>45597</v>
      </c>
      <c r="M19" s="82">
        <v>45627</v>
      </c>
    </row>
    <row r="20" spans="1:13" x14ac:dyDescent="0.2">
      <c r="A20" s="78" t="s">
        <v>110</v>
      </c>
      <c r="B20" s="42"/>
      <c r="C20" s="42">
        <f t="shared" ref="C20:M20" si="3">B31</f>
        <v>0</v>
      </c>
      <c r="D20" s="42">
        <f t="shared" si="3"/>
        <v>20000</v>
      </c>
      <c r="E20" s="42">
        <f t="shared" si="3"/>
        <v>-70</v>
      </c>
      <c r="F20" s="42">
        <f t="shared" si="3"/>
        <v>98560</v>
      </c>
      <c r="G20" s="42">
        <f t="shared" si="3"/>
        <v>0</v>
      </c>
      <c r="H20" s="42">
        <f t="shared" si="3"/>
        <v>88000</v>
      </c>
      <c r="I20" s="42">
        <f t="shared" si="3"/>
        <v>173510</v>
      </c>
      <c r="J20" s="42">
        <f t="shared" si="3"/>
        <v>60</v>
      </c>
      <c r="K20" s="42">
        <f t="shared" si="3"/>
        <v>105100</v>
      </c>
      <c r="L20" s="42">
        <f t="shared" si="3"/>
        <v>217100</v>
      </c>
      <c r="M20" s="42">
        <f t="shared" si="3"/>
        <v>0</v>
      </c>
    </row>
    <row r="21" spans="1:13" x14ac:dyDescent="0.2">
      <c r="A21" s="78" t="s">
        <v>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>
        <v>55000</v>
      </c>
      <c r="C22" s="42"/>
      <c r="D22" s="42">
        <v>64000</v>
      </c>
      <c r="E22" s="42"/>
      <c r="F22" s="42"/>
      <c r="G22" s="42"/>
      <c r="H22" s="42"/>
      <c r="I22" s="42"/>
      <c r="J22" s="42">
        <v>5000</v>
      </c>
      <c r="K22" s="42">
        <v>6000</v>
      </c>
      <c r="L22" s="42">
        <v>5000</v>
      </c>
      <c r="M22" s="42">
        <v>4500</v>
      </c>
    </row>
    <row r="23" spans="1:13" x14ac:dyDescent="0.2">
      <c r="A23" s="78" t="s">
        <v>4</v>
      </c>
      <c r="B23" s="42"/>
      <c r="C23" s="42">
        <v>20000</v>
      </c>
      <c r="D23" s="42">
        <v>18630</v>
      </c>
      <c r="E23" s="42">
        <v>18630</v>
      </c>
      <c r="F23" s="42">
        <v>17630</v>
      </c>
      <c r="G23" s="42">
        <v>18000</v>
      </c>
      <c r="H23" s="42">
        <v>15510</v>
      </c>
      <c r="I23" s="42">
        <v>18550</v>
      </c>
      <c r="J23" s="42">
        <v>20040</v>
      </c>
      <c r="K23" s="42">
        <v>21000</v>
      </c>
      <c r="L23" s="42">
        <v>21000</v>
      </c>
      <c r="M23" s="42">
        <v>25000</v>
      </c>
    </row>
    <row r="24" spans="1:13" x14ac:dyDescent="0.2">
      <c r="A24" s="78" t="s">
        <v>669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>
        <v>8000</v>
      </c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/>
      <c r="C27" s="42">
        <f>28224+60000</f>
        <v>88224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54800</v>
      </c>
      <c r="C28" s="42">
        <v>65000</v>
      </c>
      <c r="D28" s="42">
        <v>80000</v>
      </c>
      <c r="E28" s="42">
        <v>80000</v>
      </c>
      <c r="F28" s="42">
        <v>80000</v>
      </c>
      <c r="G28" s="42">
        <v>70000</v>
      </c>
      <c r="H28" s="42">
        <v>70000</v>
      </c>
      <c r="I28" s="42">
        <v>70000</v>
      </c>
      <c r="J28" s="42">
        <v>80000</v>
      </c>
      <c r="K28" s="42">
        <v>85000</v>
      </c>
      <c r="L28" s="42">
        <v>90000</v>
      </c>
      <c r="M28" s="42">
        <v>90000</v>
      </c>
    </row>
    <row r="29" spans="1:13" x14ac:dyDescent="0.2">
      <c r="A29" s="78" t="s">
        <v>6</v>
      </c>
      <c r="B29" s="43">
        <f>SUM(B20:B28)</f>
        <v>109800</v>
      </c>
      <c r="C29" s="43">
        <f>SUM(C20:C28)</f>
        <v>173224</v>
      </c>
      <c r="D29" s="43">
        <f t="shared" ref="D29:M29" si="4">SUM(D20:D28)</f>
        <v>182630</v>
      </c>
      <c r="E29" s="43">
        <f t="shared" si="4"/>
        <v>98560</v>
      </c>
      <c r="F29" s="43">
        <f t="shared" si="4"/>
        <v>196190</v>
      </c>
      <c r="G29" s="43">
        <f t="shared" si="4"/>
        <v>88000</v>
      </c>
      <c r="H29" s="43">
        <f t="shared" si="4"/>
        <v>173510</v>
      </c>
      <c r="I29" s="43">
        <f t="shared" si="4"/>
        <v>262060</v>
      </c>
      <c r="J29" s="43">
        <f t="shared" si="4"/>
        <v>105100</v>
      </c>
      <c r="K29" s="43">
        <f t="shared" si="4"/>
        <v>217100</v>
      </c>
      <c r="L29" s="43">
        <f t="shared" si="4"/>
        <v>333100</v>
      </c>
      <c r="M29" s="43">
        <f t="shared" si="4"/>
        <v>127500</v>
      </c>
    </row>
    <row r="30" spans="1:13" ht="13.5" thickBot="1" x14ac:dyDescent="0.25">
      <c r="A30" s="78" t="s">
        <v>7</v>
      </c>
      <c r="B30" s="44">
        <v>109800</v>
      </c>
      <c r="C30" s="44">
        <v>153224</v>
      </c>
      <c r="D30" s="44">
        <v>182700</v>
      </c>
      <c r="E30" s="44"/>
      <c r="F30" s="44">
        <v>196190</v>
      </c>
      <c r="G30" s="44"/>
      <c r="H30" s="44"/>
      <c r="I30" s="44">
        <v>262000</v>
      </c>
      <c r="J30" s="44"/>
      <c r="K30" s="44"/>
      <c r="L30" s="44">
        <v>333100</v>
      </c>
      <c r="M30" s="44"/>
    </row>
    <row r="31" spans="1:13" ht="13.5" thickBot="1" x14ac:dyDescent="0.25">
      <c r="A31" s="78" t="s">
        <v>111</v>
      </c>
      <c r="B31" s="45">
        <f t="shared" ref="B31:M31" si="5">B29-B30</f>
        <v>0</v>
      </c>
      <c r="C31" s="46">
        <f t="shared" si="5"/>
        <v>20000</v>
      </c>
      <c r="D31" s="46">
        <f t="shared" si="5"/>
        <v>-70</v>
      </c>
      <c r="E31" s="46">
        <f t="shared" si="5"/>
        <v>98560</v>
      </c>
      <c r="F31" s="46">
        <f t="shared" si="5"/>
        <v>0</v>
      </c>
      <c r="G31" s="46">
        <f t="shared" si="5"/>
        <v>88000</v>
      </c>
      <c r="H31" s="46">
        <f t="shared" si="5"/>
        <v>173510</v>
      </c>
      <c r="I31" s="46">
        <f t="shared" si="5"/>
        <v>60</v>
      </c>
      <c r="J31" s="46">
        <f t="shared" si="5"/>
        <v>105100</v>
      </c>
      <c r="K31" s="46">
        <f t="shared" si="5"/>
        <v>217100</v>
      </c>
      <c r="L31" s="46">
        <f t="shared" si="5"/>
        <v>0</v>
      </c>
      <c r="M31" s="47">
        <f t="shared" si="5"/>
        <v>127500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6"/>
  <dimension ref="A4:M53"/>
  <sheetViews>
    <sheetView workbookViewId="0">
      <selection activeCell="M52" sqref="M52"/>
    </sheetView>
  </sheetViews>
  <sheetFormatPr baseColWidth="10" defaultRowHeight="12.75" x14ac:dyDescent="0.2"/>
  <cols>
    <col min="1" max="1" width="37.28515625" customWidth="1"/>
  </cols>
  <sheetData>
    <row r="4" spans="1:13" ht="15.75" x14ac:dyDescent="0.25">
      <c r="A4" s="32" t="s">
        <v>0</v>
      </c>
      <c r="B4" s="32" t="s">
        <v>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5.75" x14ac:dyDescent="0.25">
      <c r="A5" s="33"/>
      <c r="B5" s="34">
        <v>42736</v>
      </c>
      <c r="C5" s="34">
        <v>42767</v>
      </c>
      <c r="D5" s="34">
        <v>42795</v>
      </c>
      <c r="E5" s="34">
        <v>42826</v>
      </c>
      <c r="F5" s="34">
        <v>42856</v>
      </c>
      <c r="G5" s="34">
        <v>42887</v>
      </c>
      <c r="H5" s="34">
        <v>42917</v>
      </c>
      <c r="I5" s="34">
        <v>42948</v>
      </c>
      <c r="J5" s="34">
        <v>42979</v>
      </c>
      <c r="K5" s="34">
        <v>43009</v>
      </c>
      <c r="L5" s="34">
        <v>43040</v>
      </c>
      <c r="M5" s="34">
        <v>43070</v>
      </c>
    </row>
    <row r="6" spans="1:13" ht="15" x14ac:dyDescent="0.2">
      <c r="A6" s="8" t="s">
        <v>110</v>
      </c>
      <c r="B6" s="28"/>
      <c r="C6" s="28">
        <f t="shared" ref="C6:M6" si="0">B17</f>
        <v>0</v>
      </c>
      <c r="D6" s="28">
        <f t="shared" si="0"/>
        <v>0</v>
      </c>
      <c r="E6" s="28">
        <f t="shared" si="0"/>
        <v>0</v>
      </c>
      <c r="F6" s="28">
        <f t="shared" si="0"/>
        <v>0</v>
      </c>
      <c r="G6" s="28">
        <f t="shared" si="0"/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</row>
    <row r="7" spans="1:13" ht="15" x14ac:dyDescent="0.2">
      <c r="A7" s="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2"/>
      <c r="M7" s="28"/>
    </row>
    <row r="8" spans="1:13" ht="15" x14ac:dyDescent="0.2">
      <c r="A8" s="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15" x14ac:dyDescent="0.2">
      <c r="A9" s="8" t="s">
        <v>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3" ht="15" x14ac:dyDescent="0.2">
      <c r="A10" s="8" t="s">
        <v>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15" x14ac:dyDescent="0.2">
      <c r="A11" s="8" t="s">
        <v>73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5" x14ac:dyDescent="0.2">
      <c r="A12" s="8" t="s">
        <v>74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15" x14ac:dyDescent="0.2">
      <c r="A13" s="8" t="s">
        <v>75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3" ht="15" x14ac:dyDescent="0.2">
      <c r="A14" s="8" t="s">
        <v>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15" x14ac:dyDescent="0.2">
      <c r="A15" s="8" t="s">
        <v>6</v>
      </c>
      <c r="B15" s="29">
        <f>SUM(B6:B14)</f>
        <v>0</v>
      </c>
      <c r="C15" s="29">
        <f>SUM(C6:C14)</f>
        <v>0</v>
      </c>
      <c r="D15" s="29">
        <f t="shared" ref="D15:M15" si="1">SUM(D6:D14)</f>
        <v>0</v>
      </c>
      <c r="E15" s="29">
        <f t="shared" si="1"/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9">
        <f t="shared" si="1"/>
        <v>0</v>
      </c>
      <c r="J15" s="29">
        <f t="shared" si="1"/>
        <v>0</v>
      </c>
      <c r="K15" s="29">
        <f t="shared" si="1"/>
        <v>0</v>
      </c>
      <c r="L15" s="29">
        <f t="shared" si="1"/>
        <v>0</v>
      </c>
      <c r="M15" s="29">
        <f t="shared" si="1"/>
        <v>0</v>
      </c>
    </row>
    <row r="16" spans="1:13" ht="15.75" thickBot="1" x14ac:dyDescent="0.25">
      <c r="A16" s="8" t="s">
        <v>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5.75" thickBot="1" x14ac:dyDescent="0.25">
      <c r="A17" s="8" t="s">
        <v>111</v>
      </c>
      <c r="B17" s="35">
        <f t="shared" ref="B17:M17" si="2">B15-B16</f>
        <v>0</v>
      </c>
      <c r="C17" s="36">
        <f t="shared" si="2"/>
        <v>0</v>
      </c>
      <c r="D17" s="36">
        <f t="shared" si="2"/>
        <v>0</v>
      </c>
      <c r="E17" s="36">
        <f t="shared" si="2"/>
        <v>0</v>
      </c>
      <c r="F17" s="36">
        <f t="shared" si="2"/>
        <v>0</v>
      </c>
      <c r="G17" s="36">
        <f t="shared" si="2"/>
        <v>0</v>
      </c>
      <c r="H17" s="36">
        <f t="shared" si="2"/>
        <v>0</v>
      </c>
      <c r="I17" s="36">
        <f t="shared" si="2"/>
        <v>0</v>
      </c>
      <c r="J17" s="36">
        <f t="shared" si="2"/>
        <v>0</v>
      </c>
      <c r="K17" s="36">
        <f t="shared" si="2"/>
        <v>0</v>
      </c>
      <c r="L17" s="36">
        <f t="shared" si="2"/>
        <v>0</v>
      </c>
      <c r="M17" s="37">
        <f t="shared" si="2"/>
        <v>0</v>
      </c>
    </row>
    <row r="22" spans="1:13" ht="15.75" x14ac:dyDescent="0.25">
      <c r="A22" s="32" t="s">
        <v>0</v>
      </c>
      <c r="B22" s="32" t="s">
        <v>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81"/>
      <c r="B23" s="82">
        <v>44562</v>
      </c>
      <c r="C23" s="82">
        <v>44593</v>
      </c>
      <c r="D23" s="82">
        <v>44621</v>
      </c>
      <c r="E23" s="82">
        <v>44652</v>
      </c>
      <c r="F23" s="82">
        <v>44682</v>
      </c>
      <c r="G23" s="82">
        <v>44713</v>
      </c>
      <c r="H23" s="82">
        <v>44743</v>
      </c>
      <c r="I23" s="82">
        <v>44774</v>
      </c>
      <c r="J23" s="82">
        <v>44805</v>
      </c>
      <c r="K23" s="82">
        <v>44835</v>
      </c>
      <c r="L23" s="82">
        <v>44866</v>
      </c>
      <c r="M23" s="82">
        <v>44896</v>
      </c>
    </row>
    <row r="24" spans="1:13" x14ac:dyDescent="0.2">
      <c r="A24" s="78" t="s">
        <v>110</v>
      </c>
      <c r="B24" s="42"/>
      <c r="C24" s="42">
        <f t="shared" ref="C24:M24" si="3">B35</f>
        <v>0</v>
      </c>
      <c r="D24" s="42">
        <f t="shared" si="3"/>
        <v>0</v>
      </c>
      <c r="E24" s="42">
        <f t="shared" si="3"/>
        <v>0</v>
      </c>
      <c r="F24" s="42">
        <f t="shared" si="3"/>
        <v>0</v>
      </c>
      <c r="G24" s="42">
        <f t="shared" si="3"/>
        <v>0</v>
      </c>
      <c r="H24" s="42">
        <f t="shared" si="3"/>
        <v>0</v>
      </c>
      <c r="I24" s="42">
        <f t="shared" si="3"/>
        <v>0</v>
      </c>
      <c r="J24" s="42">
        <f t="shared" si="3"/>
        <v>0</v>
      </c>
      <c r="K24" s="42">
        <f t="shared" si="3"/>
        <v>0</v>
      </c>
      <c r="L24" s="42">
        <f t="shared" si="3"/>
        <v>0</v>
      </c>
      <c r="M24" s="42">
        <f t="shared" si="3"/>
        <v>0</v>
      </c>
    </row>
    <row r="25" spans="1:13" x14ac:dyDescent="0.2">
      <c r="A25" s="78" t="s">
        <v>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6</v>
      </c>
      <c r="B33" s="43">
        <f>SUM(B24:B32)</f>
        <v>0</v>
      </c>
      <c r="C33" s="43">
        <f>SUM(C24:C32)</f>
        <v>0</v>
      </c>
      <c r="D33" s="43">
        <f t="shared" ref="D33:M33" si="4">SUM(D24:D32)</f>
        <v>0</v>
      </c>
      <c r="E33" s="43">
        <f t="shared" si="4"/>
        <v>0</v>
      </c>
      <c r="F33" s="43">
        <f t="shared" si="4"/>
        <v>0</v>
      </c>
      <c r="G33" s="43">
        <f t="shared" si="4"/>
        <v>0</v>
      </c>
      <c r="H33" s="43">
        <f t="shared" si="4"/>
        <v>0</v>
      </c>
      <c r="I33" s="43">
        <f t="shared" si="4"/>
        <v>0</v>
      </c>
      <c r="J33" s="43">
        <f t="shared" si="4"/>
        <v>0</v>
      </c>
      <c r="K33" s="43">
        <f t="shared" si="4"/>
        <v>0</v>
      </c>
      <c r="L33" s="43">
        <f t="shared" si="4"/>
        <v>0</v>
      </c>
      <c r="M33" s="43">
        <f t="shared" si="4"/>
        <v>0</v>
      </c>
    </row>
    <row r="34" spans="1:13" ht="13.5" thickBot="1" x14ac:dyDescent="0.25">
      <c r="A34" s="78" t="s">
        <v>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1:13" ht="13.5" thickBot="1" x14ac:dyDescent="0.25">
      <c r="A35" s="78" t="s">
        <v>111</v>
      </c>
      <c r="B35" s="45">
        <f t="shared" ref="B35:M35" si="5">B33-B34</f>
        <v>0</v>
      </c>
      <c r="C35" s="46">
        <f t="shared" si="5"/>
        <v>0</v>
      </c>
      <c r="D35" s="46">
        <f t="shared" si="5"/>
        <v>0</v>
      </c>
      <c r="E35" s="46">
        <f t="shared" si="5"/>
        <v>0</v>
      </c>
      <c r="F35" s="46">
        <f t="shared" si="5"/>
        <v>0</v>
      </c>
      <c r="G35" s="46">
        <f t="shared" si="5"/>
        <v>0</v>
      </c>
      <c r="H35" s="46">
        <f t="shared" si="5"/>
        <v>0</v>
      </c>
      <c r="I35" s="46">
        <f t="shared" si="5"/>
        <v>0</v>
      </c>
      <c r="J35" s="46">
        <f t="shared" si="5"/>
        <v>0</v>
      </c>
      <c r="K35" s="46">
        <f t="shared" si="5"/>
        <v>0</v>
      </c>
      <c r="L35" s="46">
        <f t="shared" si="5"/>
        <v>0</v>
      </c>
      <c r="M35" s="47">
        <f t="shared" si="5"/>
        <v>0</v>
      </c>
    </row>
    <row r="40" spans="1:13" ht="15.75" x14ac:dyDescent="0.25">
      <c r="A40" s="32" t="s">
        <v>0</v>
      </c>
      <c r="B40" s="32" t="s">
        <v>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 x14ac:dyDescent="0.2">
      <c r="A41" s="81"/>
      <c r="B41" s="82">
        <v>44197</v>
      </c>
      <c r="C41" s="82">
        <v>44228</v>
      </c>
      <c r="D41" s="82">
        <v>44256</v>
      </c>
      <c r="E41" s="82">
        <v>44287</v>
      </c>
      <c r="F41" s="82">
        <v>44317</v>
      </c>
      <c r="G41" s="82">
        <v>44348</v>
      </c>
      <c r="H41" s="82">
        <v>44378</v>
      </c>
      <c r="I41" s="82">
        <v>44409</v>
      </c>
      <c r="J41" s="82">
        <v>44440</v>
      </c>
      <c r="K41" s="82">
        <v>44470</v>
      </c>
      <c r="L41" s="82">
        <v>44501</v>
      </c>
      <c r="M41" s="82">
        <v>44531</v>
      </c>
    </row>
    <row r="42" spans="1:13" x14ac:dyDescent="0.2">
      <c r="A42" s="78" t="s">
        <v>110</v>
      </c>
      <c r="B42" s="42"/>
      <c r="C42" s="42">
        <f t="shared" ref="C42:M42" si="6">B53</f>
        <v>0</v>
      </c>
      <c r="D42" s="42">
        <f t="shared" si="6"/>
        <v>0</v>
      </c>
      <c r="E42" s="42">
        <f t="shared" si="6"/>
        <v>0</v>
      </c>
      <c r="F42" s="42">
        <f t="shared" si="6"/>
        <v>0</v>
      </c>
      <c r="G42" s="42">
        <f t="shared" si="6"/>
        <v>0</v>
      </c>
      <c r="H42" s="42">
        <f t="shared" si="6"/>
        <v>0</v>
      </c>
      <c r="I42" s="42">
        <f t="shared" si="6"/>
        <v>0</v>
      </c>
      <c r="J42" s="42">
        <f t="shared" si="6"/>
        <v>0</v>
      </c>
      <c r="K42" s="42">
        <f t="shared" si="6"/>
        <v>0</v>
      </c>
      <c r="L42" s="42">
        <f t="shared" si="6"/>
        <v>0</v>
      </c>
      <c r="M42" s="42">
        <f t="shared" si="6"/>
        <v>0</v>
      </c>
    </row>
    <row r="43" spans="1:13" x14ac:dyDescent="0.2">
      <c r="A43" s="78" t="s">
        <v>2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2">
      <c r="A44" s="78" t="s">
        <v>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">
      <c r="A45" s="78" t="s">
        <v>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9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73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74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75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5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6</v>
      </c>
      <c r="B51" s="43">
        <f>SUM(B42:B50)</f>
        <v>0</v>
      </c>
      <c r="C51" s="43">
        <f>SUM(C42:C50)</f>
        <v>0</v>
      </c>
      <c r="D51" s="43">
        <f t="shared" ref="D51:M51" si="7">SUM(D42:D50)</f>
        <v>0</v>
      </c>
      <c r="E51" s="43">
        <f t="shared" si="7"/>
        <v>0</v>
      </c>
      <c r="F51" s="43">
        <f t="shared" si="7"/>
        <v>0</v>
      </c>
      <c r="G51" s="43">
        <f t="shared" si="7"/>
        <v>0</v>
      </c>
      <c r="H51" s="43">
        <f t="shared" si="7"/>
        <v>0</v>
      </c>
      <c r="I51" s="43">
        <f t="shared" si="7"/>
        <v>0</v>
      </c>
      <c r="J51" s="43">
        <f t="shared" si="7"/>
        <v>0</v>
      </c>
      <c r="K51" s="43">
        <f t="shared" si="7"/>
        <v>0</v>
      </c>
      <c r="L51" s="43">
        <f t="shared" si="7"/>
        <v>0</v>
      </c>
      <c r="M51" s="43">
        <f t="shared" si="7"/>
        <v>0</v>
      </c>
    </row>
    <row r="52" spans="1:13" ht="13.5" thickBot="1" x14ac:dyDescent="0.25">
      <c r="A52" s="78" t="s">
        <v>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13.5" thickBot="1" x14ac:dyDescent="0.25">
      <c r="A53" s="78" t="s">
        <v>111</v>
      </c>
      <c r="B53" s="45">
        <f t="shared" ref="B53:M53" si="8">B51-B52</f>
        <v>0</v>
      </c>
      <c r="C53" s="46">
        <f t="shared" si="8"/>
        <v>0</v>
      </c>
      <c r="D53" s="46">
        <f t="shared" si="8"/>
        <v>0</v>
      </c>
      <c r="E53" s="46">
        <f t="shared" si="8"/>
        <v>0</v>
      </c>
      <c r="F53" s="46">
        <f t="shared" si="8"/>
        <v>0</v>
      </c>
      <c r="G53" s="46">
        <f t="shared" si="8"/>
        <v>0</v>
      </c>
      <c r="H53" s="46">
        <f t="shared" si="8"/>
        <v>0</v>
      </c>
      <c r="I53" s="46">
        <f t="shared" si="8"/>
        <v>0</v>
      </c>
      <c r="J53" s="46">
        <f t="shared" si="8"/>
        <v>0</v>
      </c>
      <c r="K53" s="46">
        <f t="shared" si="8"/>
        <v>0</v>
      </c>
      <c r="L53" s="46">
        <f t="shared" si="8"/>
        <v>0</v>
      </c>
      <c r="M53" s="47">
        <f t="shared" si="8"/>
        <v>0</v>
      </c>
    </row>
  </sheetData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7"/>
  <dimension ref="A3:M32"/>
  <sheetViews>
    <sheetView topLeftCell="A16" workbookViewId="0">
      <selection activeCell="F32" sqref="F32"/>
    </sheetView>
  </sheetViews>
  <sheetFormatPr baseColWidth="10" defaultRowHeight="12.75" x14ac:dyDescent="0.2"/>
  <cols>
    <col min="1" max="1" width="30" customWidth="1"/>
    <col min="4" max="4" width="12.140625" bestFit="1" customWidth="1"/>
    <col min="10" max="10" width="12.140625" bestFit="1" customWidth="1"/>
  </cols>
  <sheetData>
    <row r="3" spans="1:13" x14ac:dyDescent="0.2">
      <c r="A3" s="67" t="s">
        <v>0</v>
      </c>
      <c r="B3" s="67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x14ac:dyDescent="0.2">
      <c r="A4" s="65"/>
      <c r="B4" s="68">
        <v>45658</v>
      </c>
      <c r="C4" s="68">
        <v>45689</v>
      </c>
      <c r="D4" s="68">
        <v>45717</v>
      </c>
      <c r="E4" s="68">
        <v>45748</v>
      </c>
      <c r="F4" s="68">
        <v>45778</v>
      </c>
      <c r="G4" s="68">
        <v>45809</v>
      </c>
      <c r="H4" s="68">
        <v>45839</v>
      </c>
      <c r="I4" s="68">
        <v>45870</v>
      </c>
      <c r="J4" s="68">
        <v>45901</v>
      </c>
      <c r="K4" s="68">
        <v>45931</v>
      </c>
      <c r="L4" s="68">
        <v>45962</v>
      </c>
      <c r="M4" s="68">
        <v>45992</v>
      </c>
    </row>
    <row r="5" spans="1:13" x14ac:dyDescent="0.2">
      <c r="A5" s="65" t="s">
        <v>110</v>
      </c>
      <c r="B5" s="69"/>
      <c r="C5" s="69">
        <f t="shared" ref="C5:M5" si="0">B16</f>
        <v>0</v>
      </c>
      <c r="D5" s="69">
        <f t="shared" si="0"/>
        <v>0</v>
      </c>
      <c r="E5" s="69">
        <f t="shared" si="0"/>
        <v>188257</v>
      </c>
      <c r="F5" s="69">
        <f t="shared" si="0"/>
        <v>0</v>
      </c>
      <c r="G5" s="69">
        <f t="shared" si="0"/>
        <v>0</v>
      </c>
      <c r="H5" s="69">
        <f t="shared" si="0"/>
        <v>120000</v>
      </c>
      <c r="I5" s="69">
        <f t="shared" si="0"/>
        <v>0</v>
      </c>
      <c r="J5" s="69">
        <f t="shared" si="0"/>
        <v>0</v>
      </c>
      <c r="K5" s="69">
        <f t="shared" si="0"/>
        <v>0</v>
      </c>
      <c r="L5" s="69">
        <f t="shared" si="0"/>
        <v>0</v>
      </c>
      <c r="M5" s="69">
        <f t="shared" si="0"/>
        <v>0</v>
      </c>
    </row>
    <row r="6" spans="1:13" x14ac:dyDescent="0.2">
      <c r="A6" s="65" t="s">
        <v>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3</v>
      </c>
      <c r="B7" s="69">
        <v>17230</v>
      </c>
      <c r="C7" s="69">
        <v>32200</v>
      </c>
      <c r="D7" s="69">
        <v>78257</v>
      </c>
      <c r="E7" s="69">
        <v>67000</v>
      </c>
      <c r="F7" s="69">
        <v>42000</v>
      </c>
      <c r="G7" s="69"/>
      <c r="H7" s="69"/>
      <c r="I7" s="69"/>
      <c r="J7" s="69"/>
      <c r="K7" s="69">
        <v>25000</v>
      </c>
      <c r="L7" s="69"/>
      <c r="M7" s="69"/>
    </row>
    <row r="8" spans="1:13" x14ac:dyDescent="0.2">
      <c r="A8" s="65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74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75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5</v>
      </c>
      <c r="B13" s="69">
        <v>100000</v>
      </c>
      <c r="C13" s="69">
        <v>110000</v>
      </c>
      <c r="D13" s="69">
        <v>110000</v>
      </c>
      <c r="E13" s="69">
        <v>110000</v>
      </c>
      <c r="F13" s="69">
        <v>120000</v>
      </c>
      <c r="G13" s="69">
        <v>120000</v>
      </c>
      <c r="H13" s="69">
        <v>120000</v>
      </c>
      <c r="I13" s="69">
        <v>120000</v>
      </c>
      <c r="J13" s="69">
        <v>140000</v>
      </c>
      <c r="K13" s="69">
        <v>140000</v>
      </c>
      <c r="L13" s="69">
        <v>140000</v>
      </c>
      <c r="M13" s="69">
        <v>140000</v>
      </c>
    </row>
    <row r="14" spans="1:13" x14ac:dyDescent="0.2">
      <c r="A14" s="65" t="s">
        <v>6</v>
      </c>
      <c r="B14" s="70">
        <f>SUM(B5:B13)</f>
        <v>117230</v>
      </c>
      <c r="C14" s="70">
        <f t="shared" ref="C14:L14" si="1">SUM(C5:C13)</f>
        <v>142200</v>
      </c>
      <c r="D14" s="70">
        <f t="shared" si="1"/>
        <v>188257</v>
      </c>
      <c r="E14" s="70">
        <f t="shared" si="1"/>
        <v>365257</v>
      </c>
      <c r="F14" s="70">
        <f t="shared" si="1"/>
        <v>162000</v>
      </c>
      <c r="G14" s="70">
        <f t="shared" si="1"/>
        <v>120000</v>
      </c>
      <c r="H14" s="70">
        <f t="shared" si="1"/>
        <v>240000</v>
      </c>
      <c r="I14" s="70">
        <f t="shared" si="1"/>
        <v>120000</v>
      </c>
      <c r="J14" s="70">
        <f t="shared" si="1"/>
        <v>140000</v>
      </c>
      <c r="K14" s="70">
        <f t="shared" si="1"/>
        <v>165000</v>
      </c>
      <c r="L14" s="70">
        <f t="shared" si="1"/>
        <v>140000</v>
      </c>
      <c r="M14" s="70">
        <f>SUM(M5:M13)</f>
        <v>140000</v>
      </c>
    </row>
    <row r="15" spans="1:13" x14ac:dyDescent="0.2">
      <c r="A15" s="65" t="s">
        <v>7</v>
      </c>
      <c r="B15" s="71">
        <v>117230</v>
      </c>
      <c r="C15" s="71">
        <v>142200</v>
      </c>
      <c r="D15" s="71"/>
      <c r="E15" s="71">
        <v>365257</v>
      </c>
      <c r="F15" s="71">
        <v>162000</v>
      </c>
      <c r="G15" s="71"/>
      <c r="H15" s="71">
        <v>240000</v>
      </c>
      <c r="I15" s="71">
        <v>120000</v>
      </c>
      <c r="J15" s="71">
        <v>140000</v>
      </c>
      <c r="K15" s="71">
        <v>165000</v>
      </c>
      <c r="L15" s="71">
        <v>140000</v>
      </c>
      <c r="M15" s="71">
        <v>140000</v>
      </c>
    </row>
    <row r="16" spans="1:13" x14ac:dyDescent="0.2">
      <c r="A16" s="65" t="s">
        <v>111</v>
      </c>
      <c r="B16" s="70">
        <f>B14-B15</f>
        <v>0</v>
      </c>
      <c r="C16" s="70">
        <f>C14-C15</f>
        <v>0</v>
      </c>
      <c r="D16" s="70">
        <f t="shared" ref="D16:M16" si="2">D14-D15</f>
        <v>188257</v>
      </c>
      <c r="E16" s="70">
        <f t="shared" si="2"/>
        <v>0</v>
      </c>
      <c r="F16" s="70">
        <f t="shared" si="2"/>
        <v>0</v>
      </c>
      <c r="G16" s="70">
        <f t="shared" si="2"/>
        <v>120000</v>
      </c>
      <c r="H16" s="70">
        <f t="shared" si="2"/>
        <v>0</v>
      </c>
      <c r="I16" s="70">
        <f t="shared" si="2"/>
        <v>0</v>
      </c>
      <c r="J16" s="70">
        <f t="shared" si="2"/>
        <v>0</v>
      </c>
      <c r="K16" s="70">
        <f t="shared" si="2"/>
        <v>0</v>
      </c>
      <c r="L16" s="70">
        <f t="shared" si="2"/>
        <v>0</v>
      </c>
      <c r="M16" s="70">
        <f t="shared" si="2"/>
        <v>0</v>
      </c>
    </row>
    <row r="19" spans="1:13" x14ac:dyDescent="0.2">
      <c r="A19" s="67" t="s">
        <v>0</v>
      </c>
      <c r="B19" s="67" t="s">
        <v>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x14ac:dyDescent="0.2">
      <c r="A20" s="65"/>
      <c r="B20" s="68">
        <v>46023</v>
      </c>
      <c r="C20" s="68">
        <v>46054</v>
      </c>
      <c r="D20" s="68">
        <v>46082</v>
      </c>
      <c r="E20" s="68">
        <v>46113</v>
      </c>
      <c r="F20" s="68">
        <v>46143</v>
      </c>
      <c r="G20" s="68">
        <v>46174</v>
      </c>
      <c r="H20" s="68">
        <v>46204</v>
      </c>
      <c r="I20" s="68">
        <v>46235</v>
      </c>
      <c r="J20" s="68">
        <v>46266</v>
      </c>
      <c r="K20" s="68">
        <v>46296</v>
      </c>
      <c r="L20" s="68">
        <v>46327</v>
      </c>
      <c r="M20" s="68">
        <v>46357</v>
      </c>
    </row>
    <row r="21" spans="1:13" x14ac:dyDescent="0.2">
      <c r="A21" s="65" t="s">
        <v>110</v>
      </c>
      <c r="B21" s="69"/>
      <c r="C21" s="69">
        <f t="shared" ref="C21:M21" si="3">B32</f>
        <v>0</v>
      </c>
      <c r="D21" s="69">
        <f t="shared" si="3"/>
        <v>200000</v>
      </c>
      <c r="E21" s="69">
        <f t="shared" si="3"/>
        <v>0</v>
      </c>
      <c r="F21" s="69">
        <f t="shared" si="3"/>
        <v>200000</v>
      </c>
      <c r="G21" s="69">
        <f t="shared" si="3"/>
        <v>0</v>
      </c>
      <c r="H21" s="69">
        <f t="shared" si="3"/>
        <v>0</v>
      </c>
      <c r="I21" s="69">
        <f t="shared" si="3"/>
        <v>0</v>
      </c>
      <c r="J21" s="69">
        <f t="shared" si="3"/>
        <v>0</v>
      </c>
      <c r="K21" s="69">
        <f t="shared" si="3"/>
        <v>0</v>
      </c>
      <c r="L21" s="69">
        <f t="shared" si="3"/>
        <v>0</v>
      </c>
      <c r="M21" s="69">
        <f t="shared" si="3"/>
        <v>0</v>
      </c>
    </row>
    <row r="22" spans="1:13" x14ac:dyDescent="0.2">
      <c r="A22" s="65" t="s">
        <v>2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 x14ac:dyDescent="0.2">
      <c r="A23" s="65" t="s">
        <v>3</v>
      </c>
      <c r="B23" s="69"/>
      <c r="C23" s="69"/>
      <c r="D23" s="69">
        <v>52150</v>
      </c>
      <c r="E23" s="69" t="s">
        <v>789</v>
      </c>
      <c r="F23" s="69">
        <v>76100</v>
      </c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4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73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74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75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5</v>
      </c>
      <c r="B29" s="69">
        <v>160000</v>
      </c>
      <c r="C29" s="69">
        <v>200000</v>
      </c>
      <c r="D29" s="69">
        <v>200000</v>
      </c>
      <c r="E29" s="69">
        <v>200000</v>
      </c>
      <c r="F29" s="69">
        <v>200000</v>
      </c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6</v>
      </c>
      <c r="B30" s="70">
        <f>SUM(B21:B29)</f>
        <v>160000</v>
      </c>
      <c r="C30" s="70">
        <f t="shared" ref="C30:M30" si="4">SUM(C21:C29)</f>
        <v>200000</v>
      </c>
      <c r="D30" s="70">
        <f t="shared" si="4"/>
        <v>452150</v>
      </c>
      <c r="E30" s="70">
        <f t="shared" si="4"/>
        <v>200000</v>
      </c>
      <c r="F30" s="70">
        <f t="shared" si="4"/>
        <v>476100</v>
      </c>
      <c r="G30" s="70">
        <f t="shared" si="4"/>
        <v>0</v>
      </c>
      <c r="H30" s="70">
        <f t="shared" si="4"/>
        <v>0</v>
      </c>
      <c r="I30" s="70">
        <f t="shared" si="4"/>
        <v>0</v>
      </c>
      <c r="J30" s="70">
        <f t="shared" si="4"/>
        <v>0</v>
      </c>
      <c r="K30" s="70">
        <f t="shared" si="4"/>
        <v>0</v>
      </c>
      <c r="L30" s="70">
        <f t="shared" si="4"/>
        <v>0</v>
      </c>
      <c r="M30" s="70">
        <f t="shared" si="4"/>
        <v>0</v>
      </c>
    </row>
    <row r="31" spans="1:13" x14ac:dyDescent="0.2">
      <c r="A31" s="65" t="s">
        <v>7</v>
      </c>
      <c r="B31" s="71">
        <v>160000</v>
      </c>
      <c r="C31" s="71"/>
      <c r="D31" s="71">
        <v>452150</v>
      </c>
      <c r="E31" s="71"/>
      <c r="F31" s="71">
        <f>300000+176100</f>
        <v>476100</v>
      </c>
      <c r="G31" s="71"/>
      <c r="H31" s="71"/>
      <c r="I31" s="71"/>
      <c r="J31" s="71"/>
      <c r="K31" s="71"/>
      <c r="L31" s="71"/>
      <c r="M31" s="71"/>
    </row>
    <row r="32" spans="1:13" x14ac:dyDescent="0.2">
      <c r="A32" s="65" t="s">
        <v>111</v>
      </c>
      <c r="B32" s="70">
        <f>B30-B31</f>
        <v>0</v>
      </c>
      <c r="C32" s="70">
        <f>C30-C31</f>
        <v>200000</v>
      </c>
      <c r="D32" s="70">
        <f t="shared" ref="D32:M32" si="5">D30-D31</f>
        <v>0</v>
      </c>
      <c r="E32" s="70">
        <f t="shared" si="5"/>
        <v>200000</v>
      </c>
      <c r="F32" s="70">
        <f t="shared" si="5"/>
        <v>0</v>
      </c>
      <c r="G32" s="70">
        <f t="shared" si="5"/>
        <v>0</v>
      </c>
      <c r="H32" s="70">
        <f t="shared" si="5"/>
        <v>0</v>
      </c>
      <c r="I32" s="70">
        <f t="shared" si="5"/>
        <v>0</v>
      </c>
      <c r="J32" s="70">
        <f t="shared" si="5"/>
        <v>0</v>
      </c>
      <c r="K32" s="70">
        <f t="shared" si="5"/>
        <v>0</v>
      </c>
      <c r="L32" s="70">
        <f t="shared" si="5"/>
        <v>0</v>
      </c>
      <c r="M32" s="70">
        <f t="shared" si="5"/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8"/>
  <dimension ref="A3:M50"/>
  <sheetViews>
    <sheetView topLeftCell="A19" workbookViewId="0">
      <selection activeCell="I34" sqref="I34"/>
    </sheetView>
  </sheetViews>
  <sheetFormatPr baseColWidth="10" defaultRowHeight="12.75" x14ac:dyDescent="0.2"/>
  <cols>
    <col min="1" max="1" width="28.28515625" customWidth="1"/>
  </cols>
  <sheetData>
    <row r="3" spans="1:13" ht="20.25" x14ac:dyDescent="0.3">
      <c r="A3" s="11" t="s">
        <v>11</v>
      </c>
      <c r="B3" s="216" t="s">
        <v>471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67" t="s">
        <v>0</v>
      </c>
      <c r="B5" s="67" t="s">
        <v>1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13" x14ac:dyDescent="0.2">
      <c r="A6" s="65"/>
      <c r="B6" s="68">
        <v>43831</v>
      </c>
      <c r="C6" s="68">
        <v>43862</v>
      </c>
      <c r="D6" s="68">
        <v>43891</v>
      </c>
      <c r="E6" s="68">
        <v>43922</v>
      </c>
      <c r="F6" s="68">
        <v>43952</v>
      </c>
      <c r="G6" s="68">
        <v>43983</v>
      </c>
      <c r="H6" s="68">
        <v>44013</v>
      </c>
      <c r="I6" s="68">
        <v>44044</v>
      </c>
      <c r="J6" s="68">
        <v>44075</v>
      </c>
      <c r="K6" s="68">
        <v>44105</v>
      </c>
      <c r="L6" s="68">
        <v>44136</v>
      </c>
      <c r="M6" s="68">
        <v>44166</v>
      </c>
    </row>
    <row r="7" spans="1:13" x14ac:dyDescent="0.2">
      <c r="A7" s="65" t="s">
        <v>110</v>
      </c>
      <c r="B7" s="69"/>
      <c r="C7" s="69">
        <f>B18</f>
        <v>0</v>
      </c>
      <c r="D7" s="69">
        <f t="shared" ref="D7:M7" si="0">C18</f>
        <v>0</v>
      </c>
      <c r="E7" s="69">
        <f t="shared" si="0"/>
        <v>0</v>
      </c>
      <c r="F7" s="69">
        <f t="shared" si="0"/>
        <v>0</v>
      </c>
      <c r="G7" s="69">
        <f t="shared" si="0"/>
        <v>0</v>
      </c>
      <c r="H7" s="69">
        <f t="shared" si="0"/>
        <v>1750</v>
      </c>
      <c r="I7" s="69">
        <f t="shared" si="0"/>
        <v>0</v>
      </c>
      <c r="J7" s="69">
        <f t="shared" si="0"/>
        <v>1850</v>
      </c>
      <c r="K7" s="69">
        <f>J18</f>
        <v>0</v>
      </c>
      <c r="L7" s="69">
        <f t="shared" si="0"/>
        <v>2050</v>
      </c>
      <c r="M7" s="69">
        <f t="shared" si="0"/>
        <v>0</v>
      </c>
    </row>
    <row r="8" spans="1:13" x14ac:dyDescent="0.2">
      <c r="A8" s="65" t="s">
        <v>2</v>
      </c>
      <c r="B8" s="69"/>
      <c r="C8" s="69"/>
      <c r="D8" s="69"/>
      <c r="E8" s="69"/>
      <c r="F8" s="69"/>
      <c r="G8" s="69">
        <v>750</v>
      </c>
      <c r="H8" s="69">
        <v>750</v>
      </c>
      <c r="I8" s="69">
        <v>750</v>
      </c>
      <c r="J8" s="69">
        <v>750</v>
      </c>
      <c r="K8" s="69">
        <v>750</v>
      </c>
      <c r="L8" s="69">
        <v>750</v>
      </c>
      <c r="M8" s="69">
        <v>750</v>
      </c>
    </row>
    <row r="9" spans="1:13" x14ac:dyDescent="0.2">
      <c r="A9" s="65" t="s">
        <v>3</v>
      </c>
      <c r="B9" s="69"/>
      <c r="C9" s="69"/>
      <c r="D9" s="69"/>
      <c r="E9" s="69"/>
      <c r="F9" s="69"/>
      <c r="G9" s="69">
        <v>250</v>
      </c>
      <c r="H9" s="69">
        <v>250</v>
      </c>
      <c r="I9" s="69">
        <v>300</v>
      </c>
      <c r="J9" s="69">
        <v>300</v>
      </c>
      <c r="K9" s="69">
        <v>300</v>
      </c>
      <c r="L9" s="69">
        <v>300</v>
      </c>
      <c r="M9" s="69">
        <v>300</v>
      </c>
    </row>
    <row r="10" spans="1:13" x14ac:dyDescent="0.2">
      <c r="A10" s="65" t="s">
        <v>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74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75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5</v>
      </c>
      <c r="B15" s="69"/>
      <c r="C15" s="69"/>
      <c r="D15" s="69"/>
      <c r="E15" s="69"/>
      <c r="F15" s="69"/>
      <c r="G15" s="69">
        <v>750</v>
      </c>
      <c r="H15" s="69">
        <v>750</v>
      </c>
      <c r="I15" s="69">
        <v>800</v>
      </c>
      <c r="J15" s="69">
        <v>800</v>
      </c>
      <c r="K15" s="69">
        <v>1000</v>
      </c>
      <c r="L15" s="69">
        <v>1000</v>
      </c>
      <c r="M15" s="69">
        <v>1000</v>
      </c>
    </row>
    <row r="16" spans="1:13" x14ac:dyDescent="0.2">
      <c r="A16" s="65" t="s">
        <v>6</v>
      </c>
      <c r="B16" s="70">
        <f>SUM(B7:B15)</f>
        <v>0</v>
      </c>
      <c r="C16" s="70">
        <f t="shared" ref="C16:M16" si="1">SUM(C7:C15)</f>
        <v>0</v>
      </c>
      <c r="D16" s="70">
        <f t="shared" si="1"/>
        <v>0</v>
      </c>
      <c r="E16" s="70">
        <f t="shared" si="1"/>
        <v>0</v>
      </c>
      <c r="F16" s="70">
        <f t="shared" si="1"/>
        <v>0</v>
      </c>
      <c r="G16" s="70">
        <f t="shared" si="1"/>
        <v>1750</v>
      </c>
      <c r="H16" s="70">
        <f t="shared" si="1"/>
        <v>3500</v>
      </c>
      <c r="I16" s="70">
        <f t="shared" si="1"/>
        <v>1850</v>
      </c>
      <c r="J16" s="70">
        <f t="shared" si="1"/>
        <v>3700</v>
      </c>
      <c r="K16" s="70">
        <f t="shared" si="1"/>
        <v>2050</v>
      </c>
      <c r="L16" s="70">
        <f t="shared" si="1"/>
        <v>4100</v>
      </c>
      <c r="M16" s="70">
        <f t="shared" si="1"/>
        <v>2050</v>
      </c>
    </row>
    <row r="17" spans="1:13" x14ac:dyDescent="0.2">
      <c r="A17" s="65" t="s">
        <v>7</v>
      </c>
      <c r="B17" s="71"/>
      <c r="C17" s="71"/>
      <c r="D17" s="71"/>
      <c r="E17" s="71"/>
      <c r="F17" s="71"/>
      <c r="G17" s="71"/>
      <c r="H17" s="71">
        <v>3500</v>
      </c>
      <c r="I17" s="71"/>
      <c r="J17" s="71">
        <v>3700</v>
      </c>
      <c r="K17" s="71"/>
      <c r="L17" s="71">
        <v>4100</v>
      </c>
      <c r="M17" s="71"/>
    </row>
    <row r="18" spans="1:13" x14ac:dyDescent="0.2">
      <c r="A18" s="65" t="s">
        <v>111</v>
      </c>
      <c r="B18" s="70">
        <f>B16-B17</f>
        <v>0</v>
      </c>
      <c r="C18" s="70">
        <f>C16-C17</f>
        <v>0</v>
      </c>
      <c r="D18" s="70">
        <f t="shared" ref="D18:M18" si="2">D16-D17</f>
        <v>0</v>
      </c>
      <c r="E18" s="70">
        <f t="shared" si="2"/>
        <v>0</v>
      </c>
      <c r="F18" s="70">
        <f t="shared" si="2"/>
        <v>0</v>
      </c>
      <c r="G18" s="70">
        <f t="shared" si="2"/>
        <v>1750</v>
      </c>
      <c r="H18" s="70">
        <f t="shared" si="2"/>
        <v>0</v>
      </c>
      <c r="I18" s="70">
        <f t="shared" si="2"/>
        <v>1850</v>
      </c>
      <c r="J18" s="70">
        <f t="shared" si="2"/>
        <v>0</v>
      </c>
      <c r="K18" s="70">
        <f t="shared" si="2"/>
        <v>2050</v>
      </c>
      <c r="L18" s="70">
        <f t="shared" si="2"/>
        <v>0</v>
      </c>
      <c r="M18" s="70">
        <f t="shared" si="2"/>
        <v>2050</v>
      </c>
    </row>
    <row r="21" spans="1:13" x14ac:dyDescent="0.2">
      <c r="A21" s="67" t="s">
        <v>0</v>
      </c>
      <c r="B21" s="67" t="s">
        <v>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x14ac:dyDescent="0.2">
      <c r="A22" s="65"/>
      <c r="B22" s="68">
        <v>44197</v>
      </c>
      <c r="C22" s="68">
        <v>44228</v>
      </c>
      <c r="D22" s="68">
        <v>44256</v>
      </c>
      <c r="E22" s="68">
        <v>44287</v>
      </c>
      <c r="F22" s="68">
        <v>44317</v>
      </c>
      <c r="G22" s="68">
        <v>44348</v>
      </c>
      <c r="H22" s="68">
        <v>44378</v>
      </c>
      <c r="I22" s="68">
        <v>44409</v>
      </c>
      <c r="J22" s="68">
        <v>44440</v>
      </c>
      <c r="K22" s="68">
        <v>44470</v>
      </c>
      <c r="L22" s="68">
        <v>44501</v>
      </c>
      <c r="M22" s="68">
        <v>44531</v>
      </c>
    </row>
    <row r="23" spans="1:13" x14ac:dyDescent="0.2">
      <c r="A23" s="65" t="s">
        <v>110</v>
      </c>
      <c r="B23" s="69">
        <v>2050</v>
      </c>
      <c r="C23" s="69">
        <f t="shared" ref="C23:M23" si="3">B34</f>
        <v>0</v>
      </c>
      <c r="D23" s="69">
        <f t="shared" si="3"/>
        <v>2050</v>
      </c>
      <c r="E23" s="69">
        <f t="shared" si="3"/>
        <v>0</v>
      </c>
      <c r="F23" s="69">
        <f t="shared" si="3"/>
        <v>5</v>
      </c>
      <c r="G23" s="69">
        <f t="shared" si="3"/>
        <v>2055</v>
      </c>
      <c r="H23" s="69">
        <f t="shared" si="3"/>
        <v>4105</v>
      </c>
      <c r="I23" s="69">
        <f t="shared" si="3"/>
        <v>0</v>
      </c>
      <c r="J23" s="69">
        <f t="shared" si="3"/>
        <v>0</v>
      </c>
      <c r="K23" s="69">
        <f t="shared" si="3"/>
        <v>0</v>
      </c>
      <c r="L23" s="69">
        <f t="shared" si="3"/>
        <v>0</v>
      </c>
      <c r="M23" s="69">
        <f t="shared" si="3"/>
        <v>0</v>
      </c>
    </row>
    <row r="24" spans="1:13" x14ac:dyDescent="0.2">
      <c r="A24" s="65" t="s">
        <v>2</v>
      </c>
      <c r="B24" s="69">
        <v>750</v>
      </c>
      <c r="C24" s="69">
        <v>750</v>
      </c>
      <c r="D24" s="69">
        <v>750</v>
      </c>
      <c r="E24" s="69">
        <v>750</v>
      </c>
      <c r="F24" s="69">
        <v>750</v>
      </c>
      <c r="G24" s="69">
        <v>750</v>
      </c>
      <c r="H24" s="69">
        <v>1008.72</v>
      </c>
      <c r="I24" s="69">
        <v>1010</v>
      </c>
      <c r="J24" s="69"/>
      <c r="K24" s="69"/>
      <c r="L24" s="69"/>
      <c r="M24" s="69"/>
    </row>
    <row r="25" spans="1:13" x14ac:dyDescent="0.2">
      <c r="A25" s="65" t="s">
        <v>3</v>
      </c>
      <c r="B25" s="69">
        <v>300</v>
      </c>
      <c r="C25" s="69">
        <v>300</v>
      </c>
      <c r="D25" s="69">
        <v>300</v>
      </c>
      <c r="E25" s="69">
        <v>300</v>
      </c>
      <c r="F25" s="69">
        <v>300</v>
      </c>
      <c r="G25" s="69">
        <v>300</v>
      </c>
      <c r="H25" s="69">
        <v>200</v>
      </c>
      <c r="I25" s="69">
        <v>200</v>
      </c>
      <c r="J25" s="69"/>
      <c r="K25" s="69"/>
      <c r="L25" s="69"/>
      <c r="M25" s="69"/>
    </row>
    <row r="26" spans="1:13" x14ac:dyDescent="0.2">
      <c r="A26" s="65" t="s">
        <v>4</v>
      </c>
      <c r="B26" s="69"/>
      <c r="C26" s="69"/>
      <c r="D26" s="69"/>
      <c r="E26" s="69"/>
      <c r="F26" s="69"/>
      <c r="G26" s="69"/>
      <c r="H26" s="69"/>
      <c r="I26" s="69">
        <v>1410</v>
      </c>
      <c r="J26" s="69"/>
      <c r="K26" s="69"/>
      <c r="L26" s="69"/>
      <c r="M26" s="69"/>
    </row>
    <row r="27" spans="1:13" x14ac:dyDescent="0.2">
      <c r="A27" s="65" t="s">
        <v>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73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74</v>
      </c>
      <c r="B29" s="69"/>
      <c r="C29" s="69"/>
      <c r="D29" s="69"/>
      <c r="E29" s="69">
        <v>2355</v>
      </c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75</v>
      </c>
      <c r="B30" s="69"/>
      <c r="C30" s="69"/>
      <c r="D30" s="69"/>
      <c r="E30" s="69"/>
      <c r="F30" s="69"/>
      <c r="G30" s="69"/>
      <c r="H30" s="69">
        <v>-13.72</v>
      </c>
      <c r="I30" s="69"/>
      <c r="J30" s="69"/>
      <c r="K30" s="69"/>
      <c r="L30" s="69"/>
      <c r="M30" s="69"/>
    </row>
    <row r="31" spans="1:13" x14ac:dyDescent="0.2">
      <c r="A31" s="65" t="s">
        <v>5</v>
      </c>
      <c r="B31" s="69">
        <v>1000</v>
      </c>
      <c r="C31" s="69">
        <v>1000</v>
      </c>
      <c r="D31" s="69">
        <v>1000</v>
      </c>
      <c r="E31" s="69">
        <v>1000</v>
      </c>
      <c r="F31" s="69">
        <v>1000</v>
      </c>
      <c r="G31" s="69">
        <v>1000</v>
      </c>
      <c r="H31" s="69">
        <v>1000</v>
      </c>
      <c r="I31" s="69">
        <v>1000</v>
      </c>
      <c r="J31" s="69"/>
      <c r="K31" s="69"/>
      <c r="L31" s="69"/>
      <c r="M31" s="69"/>
    </row>
    <row r="32" spans="1:13" x14ac:dyDescent="0.2">
      <c r="A32" s="65" t="s">
        <v>6</v>
      </c>
      <c r="B32" s="70">
        <f>SUM(B23:B31)</f>
        <v>4100</v>
      </c>
      <c r="C32" s="70">
        <f t="shared" ref="C32:M32" si="4">SUM(C23:C31)</f>
        <v>2050</v>
      </c>
      <c r="D32" s="70">
        <f t="shared" si="4"/>
        <v>4100</v>
      </c>
      <c r="E32" s="70">
        <f t="shared" si="4"/>
        <v>4405</v>
      </c>
      <c r="F32" s="70">
        <f t="shared" si="4"/>
        <v>2055</v>
      </c>
      <c r="G32" s="70">
        <f t="shared" si="4"/>
        <v>4105</v>
      </c>
      <c r="H32" s="70">
        <f t="shared" si="4"/>
        <v>6300</v>
      </c>
      <c r="I32" s="70">
        <f t="shared" si="4"/>
        <v>3620</v>
      </c>
      <c r="J32" s="70">
        <f t="shared" si="4"/>
        <v>0</v>
      </c>
      <c r="K32" s="70">
        <f t="shared" si="4"/>
        <v>0</v>
      </c>
      <c r="L32" s="70">
        <f t="shared" si="4"/>
        <v>0</v>
      </c>
      <c r="M32" s="70">
        <f t="shared" si="4"/>
        <v>0</v>
      </c>
    </row>
    <row r="33" spans="1:13" x14ac:dyDescent="0.2">
      <c r="A33" s="65" t="s">
        <v>7</v>
      </c>
      <c r="B33" s="71">
        <v>4100</v>
      </c>
      <c r="C33" s="71"/>
      <c r="D33" s="71">
        <v>4100</v>
      </c>
      <c r="E33" s="71">
        <v>4400</v>
      </c>
      <c r="F33" s="71"/>
      <c r="G33" s="71"/>
      <c r="H33" s="71">
        <v>6300</v>
      </c>
      <c r="I33" s="71">
        <v>3620</v>
      </c>
      <c r="J33" s="71"/>
      <c r="K33" s="71"/>
      <c r="L33" s="71"/>
      <c r="M33" s="71"/>
    </row>
    <row r="34" spans="1:13" x14ac:dyDescent="0.2">
      <c r="A34" s="65" t="s">
        <v>111</v>
      </c>
      <c r="B34" s="70">
        <f>B32-B33</f>
        <v>0</v>
      </c>
      <c r="C34" s="70">
        <f>C32-C33</f>
        <v>2050</v>
      </c>
      <c r="D34" s="70">
        <f t="shared" ref="D34:M34" si="5">D32-D33</f>
        <v>0</v>
      </c>
      <c r="E34" s="70">
        <f t="shared" si="5"/>
        <v>5</v>
      </c>
      <c r="F34" s="70">
        <f t="shared" si="5"/>
        <v>2055</v>
      </c>
      <c r="G34" s="70">
        <f t="shared" si="5"/>
        <v>4105</v>
      </c>
      <c r="H34" s="70">
        <f t="shared" si="5"/>
        <v>0</v>
      </c>
      <c r="I34" s="70">
        <f t="shared" si="5"/>
        <v>0</v>
      </c>
      <c r="J34" s="70">
        <f t="shared" si="5"/>
        <v>0</v>
      </c>
      <c r="K34" s="70">
        <f t="shared" si="5"/>
        <v>0</v>
      </c>
      <c r="L34" s="70">
        <f t="shared" si="5"/>
        <v>0</v>
      </c>
      <c r="M34" s="70">
        <f t="shared" si="5"/>
        <v>0</v>
      </c>
    </row>
    <row r="37" spans="1:13" x14ac:dyDescent="0.2">
      <c r="A37" s="67" t="s">
        <v>0</v>
      </c>
      <c r="B37" s="67" t="s">
        <v>1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  <row r="38" spans="1:13" x14ac:dyDescent="0.2">
      <c r="A38" s="65"/>
      <c r="B38" s="68">
        <v>41640</v>
      </c>
      <c r="C38" s="68">
        <v>41671</v>
      </c>
      <c r="D38" s="68">
        <v>41699</v>
      </c>
      <c r="E38" s="68">
        <v>41730</v>
      </c>
      <c r="F38" s="68">
        <v>41760</v>
      </c>
      <c r="G38" s="68">
        <v>41791</v>
      </c>
      <c r="H38" s="68">
        <v>41821</v>
      </c>
      <c r="I38" s="68">
        <v>41852</v>
      </c>
      <c r="J38" s="68">
        <v>41883</v>
      </c>
      <c r="K38" s="68">
        <v>41913</v>
      </c>
      <c r="L38" s="68">
        <v>41944</v>
      </c>
      <c r="M38" s="68">
        <v>41974</v>
      </c>
    </row>
    <row r="39" spans="1:13" x14ac:dyDescent="0.2">
      <c r="A39" s="65" t="s">
        <v>110</v>
      </c>
      <c r="B39" s="69"/>
      <c r="C39" s="69">
        <f t="shared" ref="C39:M39" si="6">B50</f>
        <v>0</v>
      </c>
      <c r="D39" s="69">
        <f t="shared" si="6"/>
        <v>0</v>
      </c>
      <c r="E39" s="69">
        <f t="shared" si="6"/>
        <v>0</v>
      </c>
      <c r="F39" s="69">
        <f t="shared" si="6"/>
        <v>0</v>
      </c>
      <c r="G39" s="69">
        <f t="shared" si="6"/>
        <v>0</v>
      </c>
      <c r="H39" s="69">
        <f t="shared" si="6"/>
        <v>0</v>
      </c>
      <c r="I39" s="69">
        <f t="shared" si="6"/>
        <v>0</v>
      </c>
      <c r="J39" s="69">
        <f t="shared" si="6"/>
        <v>0</v>
      </c>
      <c r="K39" s="69">
        <f t="shared" si="6"/>
        <v>0</v>
      </c>
      <c r="L39" s="69">
        <f t="shared" si="6"/>
        <v>0</v>
      </c>
      <c r="M39" s="69">
        <f t="shared" si="6"/>
        <v>500</v>
      </c>
    </row>
    <row r="40" spans="1:13" x14ac:dyDescent="0.2">
      <c r="A40" s="65" t="s">
        <v>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 spans="1:13" x14ac:dyDescent="0.2">
      <c r="A41" s="65" t="s">
        <v>3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3" x14ac:dyDescent="0.2">
      <c r="A42" s="65" t="s">
        <v>4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1:13" x14ac:dyDescent="0.2">
      <c r="A43" s="65" t="s">
        <v>9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 spans="1:13" x14ac:dyDescent="0.2">
      <c r="A44" s="65" t="s">
        <v>73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spans="1:13" x14ac:dyDescent="0.2">
      <c r="A45" s="65" t="s">
        <v>74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spans="1:13" x14ac:dyDescent="0.2">
      <c r="A46" s="65" t="s">
        <v>75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 x14ac:dyDescent="0.2">
      <c r="A47" s="65" t="s">
        <v>5</v>
      </c>
      <c r="B47" s="69">
        <v>500</v>
      </c>
      <c r="C47" s="69">
        <v>500</v>
      </c>
      <c r="D47" s="69">
        <v>500</v>
      </c>
      <c r="E47" s="69">
        <v>500</v>
      </c>
      <c r="F47" s="69">
        <v>500</v>
      </c>
      <c r="G47" s="69">
        <v>500</v>
      </c>
      <c r="H47" s="69">
        <v>500</v>
      </c>
      <c r="I47" s="69">
        <v>500</v>
      </c>
      <c r="J47" s="69">
        <v>500</v>
      </c>
      <c r="K47" s="69">
        <v>500</v>
      </c>
      <c r="L47" s="69">
        <v>500</v>
      </c>
      <c r="M47" s="69">
        <v>500</v>
      </c>
    </row>
    <row r="48" spans="1:13" x14ac:dyDescent="0.2">
      <c r="A48" s="65" t="s">
        <v>6</v>
      </c>
      <c r="B48" s="70">
        <f>SUM(B39:B47)</f>
        <v>500</v>
      </c>
      <c r="C48" s="70">
        <f t="shared" ref="C48:M48" si="7">SUM(C39:C47)</f>
        <v>500</v>
      </c>
      <c r="D48" s="70">
        <f t="shared" si="7"/>
        <v>500</v>
      </c>
      <c r="E48" s="70">
        <f t="shared" si="7"/>
        <v>500</v>
      </c>
      <c r="F48" s="70">
        <f t="shared" si="7"/>
        <v>500</v>
      </c>
      <c r="G48" s="70">
        <f t="shared" si="7"/>
        <v>500</v>
      </c>
      <c r="H48" s="70">
        <f t="shared" si="7"/>
        <v>500</v>
      </c>
      <c r="I48" s="70">
        <f t="shared" si="7"/>
        <v>500</v>
      </c>
      <c r="J48" s="70">
        <f t="shared" si="7"/>
        <v>500</v>
      </c>
      <c r="K48" s="70">
        <f t="shared" si="7"/>
        <v>500</v>
      </c>
      <c r="L48" s="70">
        <f t="shared" si="7"/>
        <v>500</v>
      </c>
      <c r="M48" s="70">
        <f t="shared" si="7"/>
        <v>1000</v>
      </c>
    </row>
    <row r="49" spans="1:13" x14ac:dyDescent="0.2">
      <c r="A49" s="65" t="s">
        <v>7</v>
      </c>
      <c r="B49" s="71">
        <v>500</v>
      </c>
      <c r="C49" s="71">
        <v>500</v>
      </c>
      <c r="D49" s="71">
        <v>500</v>
      </c>
      <c r="E49" s="71">
        <v>500</v>
      </c>
      <c r="F49" s="71">
        <v>500</v>
      </c>
      <c r="G49" s="71">
        <v>500</v>
      </c>
      <c r="H49" s="71">
        <v>500</v>
      </c>
      <c r="I49" s="71">
        <v>500</v>
      </c>
      <c r="J49" s="71">
        <v>500</v>
      </c>
      <c r="K49" s="71">
        <v>500</v>
      </c>
      <c r="L49" s="71"/>
      <c r="M49" s="71">
        <v>1000</v>
      </c>
    </row>
    <row r="50" spans="1:13" x14ac:dyDescent="0.2">
      <c r="A50" s="65" t="s">
        <v>111</v>
      </c>
      <c r="B50" s="70">
        <f>B48-B49</f>
        <v>0</v>
      </c>
      <c r="C50" s="70">
        <f>C48-C49</f>
        <v>0</v>
      </c>
      <c r="D50" s="70">
        <f t="shared" ref="D50:M50" si="8">D48-D49</f>
        <v>0</v>
      </c>
      <c r="E50" s="70">
        <f t="shared" si="8"/>
        <v>0</v>
      </c>
      <c r="F50" s="70">
        <f t="shared" si="8"/>
        <v>0</v>
      </c>
      <c r="G50" s="70">
        <f t="shared" si="8"/>
        <v>0</v>
      </c>
      <c r="H50" s="70">
        <f t="shared" si="8"/>
        <v>0</v>
      </c>
      <c r="I50" s="70">
        <f t="shared" si="8"/>
        <v>0</v>
      </c>
      <c r="J50" s="70">
        <f t="shared" si="8"/>
        <v>0</v>
      </c>
      <c r="K50" s="70">
        <f t="shared" si="8"/>
        <v>0</v>
      </c>
      <c r="L50" s="70">
        <f t="shared" si="8"/>
        <v>500</v>
      </c>
      <c r="M50" s="70">
        <f t="shared" si="8"/>
        <v>0</v>
      </c>
    </row>
  </sheetData>
  <mergeCells count="1">
    <mergeCell ref="B3:G3"/>
  </mergeCells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9"/>
  <dimension ref="A5:M37"/>
  <sheetViews>
    <sheetView topLeftCell="A7" workbookViewId="0">
      <selection activeCell="F15" sqref="F15"/>
    </sheetView>
  </sheetViews>
  <sheetFormatPr baseColWidth="10" defaultRowHeight="12.75" x14ac:dyDescent="0.2"/>
  <cols>
    <col min="1" max="1" width="32.140625" customWidth="1"/>
  </cols>
  <sheetData>
    <row r="5" spans="1:13" x14ac:dyDescent="0.2">
      <c r="A5" s="67" t="s">
        <v>0</v>
      </c>
      <c r="B5" s="67" t="s">
        <v>1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13" x14ac:dyDescent="0.2">
      <c r="A6" s="65"/>
      <c r="B6" s="68">
        <v>46023</v>
      </c>
      <c r="C6" s="68">
        <v>46054</v>
      </c>
      <c r="D6" s="68">
        <v>46082</v>
      </c>
      <c r="E6" s="68">
        <v>46113</v>
      </c>
      <c r="F6" s="68">
        <v>46143</v>
      </c>
      <c r="G6" s="68">
        <v>46174</v>
      </c>
      <c r="H6" s="68">
        <v>46204</v>
      </c>
      <c r="I6" s="68">
        <v>46235</v>
      </c>
      <c r="J6" s="68">
        <v>46266</v>
      </c>
      <c r="K6" s="68">
        <v>46296</v>
      </c>
      <c r="L6" s="68">
        <v>46327</v>
      </c>
      <c r="M6" s="68">
        <v>46357</v>
      </c>
    </row>
    <row r="7" spans="1:13" x14ac:dyDescent="0.2">
      <c r="A7" s="65" t="s">
        <v>110</v>
      </c>
      <c r="B7">
        <v>50000</v>
      </c>
      <c r="C7" s="69">
        <f>B18</f>
        <v>0</v>
      </c>
      <c r="D7" s="69">
        <f t="shared" ref="D7:M7" si="0">C18</f>
        <v>50000</v>
      </c>
      <c r="E7" s="69">
        <f t="shared" si="0"/>
        <v>100000</v>
      </c>
      <c r="F7" s="69">
        <f t="shared" si="0"/>
        <v>0</v>
      </c>
      <c r="G7" s="69">
        <f t="shared" si="0"/>
        <v>70000</v>
      </c>
      <c r="H7" s="69">
        <f t="shared" si="0"/>
        <v>70000</v>
      </c>
      <c r="I7" s="69">
        <f t="shared" si="0"/>
        <v>70000</v>
      </c>
      <c r="J7" s="69">
        <f t="shared" si="0"/>
        <v>70000</v>
      </c>
      <c r="K7" s="69">
        <f>J18</f>
        <v>70000</v>
      </c>
      <c r="L7" s="69">
        <f t="shared" si="0"/>
        <v>70000</v>
      </c>
      <c r="M7" s="69">
        <f t="shared" si="0"/>
        <v>70000</v>
      </c>
    </row>
    <row r="8" spans="1:13" x14ac:dyDescent="0.2">
      <c r="A8" s="65" t="s">
        <v>2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406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2">
      <c r="A12" s="65" t="s">
        <v>73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2">
      <c r="A13" s="65" t="s">
        <v>74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2">
      <c r="A14" s="65" t="s">
        <v>75</v>
      </c>
      <c r="B14" s="69"/>
      <c r="C14" s="69"/>
      <c r="D14" s="69"/>
      <c r="E14" s="69"/>
      <c r="F14" s="69">
        <v>10000</v>
      </c>
      <c r="G14" s="69"/>
      <c r="H14" s="69"/>
      <c r="I14" s="69"/>
      <c r="J14" s="69"/>
      <c r="K14" s="69"/>
      <c r="L14" s="69"/>
      <c r="M14" s="69"/>
    </row>
    <row r="15" spans="1:13" x14ac:dyDescent="0.2">
      <c r="A15" s="65" t="s">
        <v>5</v>
      </c>
      <c r="B15" s="69">
        <v>50000</v>
      </c>
      <c r="C15" s="69">
        <v>50000</v>
      </c>
      <c r="D15" s="69">
        <v>50000</v>
      </c>
      <c r="E15" s="69">
        <v>50000</v>
      </c>
      <c r="F15" s="69">
        <v>60000</v>
      </c>
      <c r="G15" s="69"/>
      <c r="H15" s="69"/>
      <c r="I15" s="69"/>
      <c r="J15" s="69"/>
      <c r="K15" s="69"/>
      <c r="L15" s="69"/>
      <c r="M15" s="69"/>
    </row>
    <row r="16" spans="1:13" x14ac:dyDescent="0.2">
      <c r="A16" s="65" t="s">
        <v>6</v>
      </c>
      <c r="B16" s="70">
        <f>SUM(B7:B15)</f>
        <v>100000</v>
      </c>
      <c r="C16" s="70">
        <f t="shared" ref="C16:M16" si="1">SUM(C7:C15)</f>
        <v>50000</v>
      </c>
      <c r="D16" s="70">
        <f t="shared" si="1"/>
        <v>100000</v>
      </c>
      <c r="E16" s="70">
        <f t="shared" si="1"/>
        <v>150000</v>
      </c>
      <c r="F16" s="70">
        <f t="shared" si="1"/>
        <v>70000</v>
      </c>
      <c r="G16" s="70">
        <f t="shared" si="1"/>
        <v>70000</v>
      </c>
      <c r="H16" s="70">
        <f t="shared" si="1"/>
        <v>70000</v>
      </c>
      <c r="I16" s="70">
        <f t="shared" si="1"/>
        <v>70000</v>
      </c>
      <c r="J16" s="70">
        <f t="shared" si="1"/>
        <v>70000</v>
      </c>
      <c r="K16" s="70">
        <f t="shared" si="1"/>
        <v>70000</v>
      </c>
      <c r="L16" s="70">
        <f t="shared" si="1"/>
        <v>70000</v>
      </c>
      <c r="M16" s="70">
        <f t="shared" si="1"/>
        <v>70000</v>
      </c>
    </row>
    <row r="17" spans="1:13" x14ac:dyDescent="0.2">
      <c r="A17" s="65" t="s">
        <v>7</v>
      </c>
      <c r="B17" s="71">
        <v>100000</v>
      </c>
      <c r="C17" s="71"/>
      <c r="D17" s="71"/>
      <c r="E17" s="71">
        <v>150000</v>
      </c>
      <c r="F17" s="71"/>
      <c r="G17" s="71"/>
      <c r="H17" s="71"/>
      <c r="I17" s="71"/>
      <c r="J17" s="71"/>
      <c r="K17" s="71"/>
      <c r="L17" s="71"/>
      <c r="M17" s="71"/>
    </row>
    <row r="18" spans="1:13" x14ac:dyDescent="0.2">
      <c r="A18" s="65" t="s">
        <v>111</v>
      </c>
      <c r="B18" s="70">
        <f>B16-B17</f>
        <v>0</v>
      </c>
      <c r="C18" s="70">
        <f>C16-C17</f>
        <v>50000</v>
      </c>
      <c r="D18" s="70">
        <f t="shared" ref="D18:M18" si="2">D16-D17</f>
        <v>100000</v>
      </c>
      <c r="E18" s="70">
        <f t="shared" si="2"/>
        <v>0</v>
      </c>
      <c r="F18" s="70">
        <f t="shared" si="2"/>
        <v>70000</v>
      </c>
      <c r="G18" s="70">
        <f t="shared" si="2"/>
        <v>70000</v>
      </c>
      <c r="H18" s="70">
        <f t="shared" si="2"/>
        <v>70000</v>
      </c>
      <c r="I18" s="70">
        <f t="shared" si="2"/>
        <v>70000</v>
      </c>
      <c r="J18" s="70">
        <f t="shared" si="2"/>
        <v>70000</v>
      </c>
      <c r="K18" s="70">
        <f t="shared" si="2"/>
        <v>70000</v>
      </c>
      <c r="L18" s="70">
        <f t="shared" si="2"/>
        <v>70000</v>
      </c>
      <c r="M18" s="70">
        <f t="shared" si="2"/>
        <v>70000</v>
      </c>
    </row>
    <row r="22" spans="1:13" x14ac:dyDescent="0.2">
      <c r="A22" s="67" t="s">
        <v>0</v>
      </c>
      <c r="B22" s="67" t="s">
        <v>1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1:13" x14ac:dyDescent="0.2">
      <c r="A23" s="65"/>
      <c r="B23" s="68">
        <v>45658</v>
      </c>
      <c r="C23" s="68">
        <v>45689</v>
      </c>
      <c r="D23" s="68">
        <v>45717</v>
      </c>
      <c r="E23" s="68">
        <v>45748</v>
      </c>
      <c r="F23" s="68">
        <v>45778</v>
      </c>
      <c r="G23" s="68">
        <v>45809</v>
      </c>
      <c r="H23" s="68">
        <v>45839</v>
      </c>
      <c r="I23" s="68">
        <v>45870</v>
      </c>
      <c r="J23" s="68">
        <v>45901</v>
      </c>
      <c r="K23" s="68">
        <v>45931</v>
      </c>
      <c r="L23" s="68">
        <v>45962</v>
      </c>
      <c r="M23" s="68">
        <v>45992</v>
      </c>
    </row>
    <row r="24" spans="1:13" x14ac:dyDescent="0.2">
      <c r="A24" s="65" t="s">
        <v>110</v>
      </c>
      <c r="B24" s="69"/>
      <c r="C24" s="69">
        <f t="shared" ref="C24:M24" si="3">B35</f>
        <v>0</v>
      </c>
      <c r="D24" s="69">
        <f t="shared" si="3"/>
        <v>30000</v>
      </c>
      <c r="E24" s="69">
        <f t="shared" si="3"/>
        <v>0</v>
      </c>
      <c r="F24" s="69">
        <f t="shared" si="3"/>
        <v>30000</v>
      </c>
      <c r="G24" s="69">
        <f t="shared" si="3"/>
        <v>60000</v>
      </c>
      <c r="H24" s="69">
        <f t="shared" si="3"/>
        <v>0</v>
      </c>
      <c r="I24" s="69">
        <f t="shared" si="3"/>
        <v>0</v>
      </c>
      <c r="J24" s="69">
        <f t="shared" si="3"/>
        <v>0</v>
      </c>
      <c r="K24" s="69">
        <f t="shared" si="3"/>
        <v>50000</v>
      </c>
      <c r="L24" s="69">
        <f t="shared" si="3"/>
        <v>100000</v>
      </c>
      <c r="M24" s="69">
        <f t="shared" si="3"/>
        <v>0</v>
      </c>
    </row>
    <row r="25" spans="1:13" x14ac:dyDescent="0.2">
      <c r="A25" s="65" t="s">
        <v>2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9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73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</row>
    <row r="30" spans="1:13" x14ac:dyDescent="0.2">
      <c r="A30" s="65" t="s">
        <v>74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75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x14ac:dyDescent="0.2">
      <c r="A32" s="65" t="s">
        <v>5</v>
      </c>
      <c r="B32" s="69">
        <v>30000</v>
      </c>
      <c r="C32" s="69">
        <v>30000</v>
      </c>
      <c r="D32" s="69">
        <v>30000</v>
      </c>
      <c r="E32" s="69">
        <v>30000</v>
      </c>
      <c r="F32" s="69">
        <v>30000</v>
      </c>
      <c r="G32" s="69">
        <v>30000</v>
      </c>
      <c r="H32" s="69">
        <v>30000</v>
      </c>
      <c r="I32" s="69">
        <v>30000</v>
      </c>
      <c r="J32" s="69">
        <v>50000</v>
      </c>
      <c r="K32" s="69">
        <v>50000</v>
      </c>
      <c r="L32" s="69">
        <v>50000</v>
      </c>
      <c r="M32" s="69">
        <v>50000</v>
      </c>
    </row>
    <row r="33" spans="1:13" x14ac:dyDescent="0.2">
      <c r="A33" s="65" t="s">
        <v>6</v>
      </c>
      <c r="B33" s="70">
        <f>SUM(B24:B32)</f>
        <v>30000</v>
      </c>
      <c r="C33" s="70">
        <f t="shared" ref="C33:M33" si="4">SUM(C24:C32)</f>
        <v>30000</v>
      </c>
      <c r="D33" s="70">
        <f t="shared" si="4"/>
        <v>60000</v>
      </c>
      <c r="E33" s="70">
        <f t="shared" si="4"/>
        <v>30000</v>
      </c>
      <c r="F33" s="70">
        <f t="shared" si="4"/>
        <v>60000</v>
      </c>
      <c r="G33" s="70">
        <f t="shared" si="4"/>
        <v>90000</v>
      </c>
      <c r="H33" s="70">
        <f t="shared" si="4"/>
        <v>30000</v>
      </c>
      <c r="I33" s="70">
        <f t="shared" si="4"/>
        <v>30000</v>
      </c>
      <c r="J33" s="70">
        <f>SUM(J24:J32)</f>
        <v>50000</v>
      </c>
      <c r="K33" s="70">
        <f t="shared" si="4"/>
        <v>100000</v>
      </c>
      <c r="L33" s="70">
        <f t="shared" si="4"/>
        <v>150000</v>
      </c>
      <c r="M33" s="70">
        <f t="shared" si="4"/>
        <v>50000</v>
      </c>
    </row>
    <row r="34" spans="1:13" x14ac:dyDescent="0.2">
      <c r="A34" s="65" t="s">
        <v>7</v>
      </c>
      <c r="B34" s="71">
        <v>30000</v>
      </c>
      <c r="C34" s="71"/>
      <c r="D34" s="71">
        <v>60000</v>
      </c>
      <c r="E34" s="71"/>
      <c r="F34" s="71"/>
      <c r="G34" s="71">
        <v>90000</v>
      </c>
      <c r="H34" s="71">
        <v>30000</v>
      </c>
      <c r="I34" s="71">
        <v>30000</v>
      </c>
      <c r="J34" s="71"/>
      <c r="K34" s="71"/>
      <c r="L34" s="71">
        <v>150000</v>
      </c>
      <c r="M34" s="71"/>
    </row>
    <row r="35" spans="1:13" x14ac:dyDescent="0.2">
      <c r="A35" s="65" t="s">
        <v>111</v>
      </c>
      <c r="B35" s="70">
        <f>B33-B34</f>
        <v>0</v>
      </c>
      <c r="C35" s="70">
        <f>C33-C34</f>
        <v>30000</v>
      </c>
      <c r="D35" s="70">
        <f t="shared" ref="D35:M35" si="5">D33-D34</f>
        <v>0</v>
      </c>
      <c r="E35" s="70">
        <f t="shared" si="5"/>
        <v>30000</v>
      </c>
      <c r="F35" s="70">
        <f t="shared" si="5"/>
        <v>60000</v>
      </c>
      <c r="G35" s="70">
        <f t="shared" si="5"/>
        <v>0</v>
      </c>
      <c r="H35" s="70">
        <f>H33-H34</f>
        <v>0</v>
      </c>
      <c r="I35" s="70">
        <f t="shared" si="5"/>
        <v>0</v>
      </c>
      <c r="J35" s="70">
        <f t="shared" si="5"/>
        <v>50000</v>
      </c>
      <c r="K35" s="70">
        <f t="shared" si="5"/>
        <v>100000</v>
      </c>
      <c r="L35" s="70">
        <f t="shared" si="5"/>
        <v>0</v>
      </c>
      <c r="M35" s="70">
        <f t="shared" si="5"/>
        <v>50000</v>
      </c>
    </row>
    <row r="36" spans="1:13" x14ac:dyDescent="0.2">
      <c r="D36" s="128">
        <v>44293</v>
      </c>
      <c r="E36" s="128"/>
    </row>
    <row r="37" spans="1:13" x14ac:dyDescent="0.2">
      <c r="D37" s="128"/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0"/>
  <dimension ref="A2:N34"/>
  <sheetViews>
    <sheetView topLeftCell="A10" workbookViewId="0">
      <selection activeCell="F9" sqref="F9"/>
    </sheetView>
  </sheetViews>
  <sheetFormatPr baseColWidth="10" defaultRowHeight="12.75" x14ac:dyDescent="0.2"/>
  <cols>
    <col min="1" max="1" width="31.140625" customWidth="1"/>
  </cols>
  <sheetData>
    <row r="2" spans="1:14" x14ac:dyDescent="0.2">
      <c r="M2" t="s">
        <v>324</v>
      </c>
    </row>
    <row r="4" spans="1:14" x14ac:dyDescent="0.2">
      <c r="A4" s="67" t="s">
        <v>0</v>
      </c>
      <c r="B4" s="67" t="s">
        <v>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4" x14ac:dyDescent="0.2">
      <c r="A5" s="65"/>
      <c r="B5" s="68">
        <v>43831</v>
      </c>
      <c r="C5" s="68">
        <v>43862</v>
      </c>
      <c r="D5" s="68">
        <v>43891</v>
      </c>
      <c r="E5" s="68">
        <v>43922</v>
      </c>
      <c r="F5" s="68">
        <v>43952</v>
      </c>
      <c r="G5" s="68">
        <v>43983</v>
      </c>
      <c r="H5" s="68">
        <v>44013</v>
      </c>
      <c r="I5" s="68">
        <v>44044</v>
      </c>
      <c r="J5" s="68">
        <v>44075</v>
      </c>
      <c r="K5" s="68">
        <v>44105</v>
      </c>
      <c r="L5" s="68">
        <v>44136</v>
      </c>
      <c r="M5" s="68">
        <v>44166</v>
      </c>
      <c r="N5" s="68"/>
    </row>
    <row r="6" spans="1:14" x14ac:dyDescent="0.2">
      <c r="A6" s="65" t="s">
        <v>110</v>
      </c>
      <c r="B6" s="69"/>
      <c r="C6" s="69">
        <f>B17</f>
        <v>0</v>
      </c>
      <c r="D6" s="69">
        <f t="shared" ref="D6:M6" si="0">C17</f>
        <v>5861</v>
      </c>
      <c r="E6" s="69">
        <f t="shared" si="0"/>
        <v>11722</v>
      </c>
      <c r="F6" s="69">
        <f t="shared" si="0"/>
        <v>17889</v>
      </c>
      <c r="G6" s="69">
        <f t="shared" si="0"/>
        <v>21306</v>
      </c>
      <c r="H6" s="69">
        <f t="shared" si="0"/>
        <v>28227</v>
      </c>
      <c r="I6" s="69">
        <f t="shared" si="0"/>
        <v>34294</v>
      </c>
      <c r="J6" s="69">
        <f t="shared" si="0"/>
        <v>40361</v>
      </c>
      <c r="K6" s="69">
        <f>J17</f>
        <v>46428</v>
      </c>
      <c r="L6" s="69">
        <f t="shared" si="0"/>
        <v>48700</v>
      </c>
      <c r="M6" s="69">
        <f t="shared" si="0"/>
        <v>50900</v>
      </c>
    </row>
    <row r="7" spans="1:14" x14ac:dyDescent="0.2">
      <c r="A7" s="65" t="s">
        <v>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4" x14ac:dyDescent="0.2">
      <c r="A8" s="65" t="s">
        <v>3</v>
      </c>
      <c r="B8" s="69">
        <v>504</v>
      </c>
      <c r="C8" s="69">
        <v>504</v>
      </c>
      <c r="D8" s="69">
        <v>504</v>
      </c>
      <c r="E8" s="69">
        <v>610</v>
      </c>
      <c r="F8" s="69">
        <v>610</v>
      </c>
      <c r="G8" s="69">
        <v>1057</v>
      </c>
      <c r="H8" s="69">
        <v>1057</v>
      </c>
      <c r="I8" s="69">
        <v>1057</v>
      </c>
      <c r="J8" s="69">
        <v>1057</v>
      </c>
      <c r="K8" s="69"/>
      <c r="L8" s="69"/>
      <c r="M8" s="69"/>
    </row>
    <row r="9" spans="1:14" x14ac:dyDescent="0.2">
      <c r="A9" s="65" t="s">
        <v>4</v>
      </c>
      <c r="B9" s="69">
        <v>1600</v>
      </c>
      <c r="C9" s="69">
        <v>1700</v>
      </c>
      <c r="D9" s="69">
        <v>1700</v>
      </c>
      <c r="E9" s="69">
        <v>1900</v>
      </c>
      <c r="F9" s="69"/>
      <c r="G9" s="69">
        <v>1704</v>
      </c>
      <c r="H9" s="69">
        <v>850</v>
      </c>
      <c r="I9" s="69">
        <v>850</v>
      </c>
      <c r="J9" s="69">
        <v>850</v>
      </c>
      <c r="K9" s="69">
        <v>850</v>
      </c>
      <c r="L9" s="69">
        <v>850</v>
      </c>
      <c r="M9" s="69">
        <v>850</v>
      </c>
    </row>
    <row r="10" spans="1:14" x14ac:dyDescent="0.2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4" x14ac:dyDescent="0.2">
      <c r="A11" s="65" t="s">
        <v>407</v>
      </c>
      <c r="B11" s="69">
        <v>-1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4" x14ac:dyDescent="0.2">
      <c r="A12" s="65" t="s">
        <v>394</v>
      </c>
      <c r="B12" s="69">
        <v>1007</v>
      </c>
      <c r="C12" s="69">
        <v>1007</v>
      </c>
      <c r="D12" s="69">
        <v>1007</v>
      </c>
      <c r="E12" s="69">
        <v>1007</v>
      </c>
      <c r="F12" s="69">
        <v>1007</v>
      </c>
      <c r="G12" s="69">
        <v>1510</v>
      </c>
      <c r="H12" s="69">
        <v>1510</v>
      </c>
      <c r="I12" s="69">
        <v>1510</v>
      </c>
      <c r="J12" s="69">
        <v>1510</v>
      </c>
      <c r="K12" s="69"/>
      <c r="L12" s="69"/>
      <c r="M12" s="69"/>
    </row>
    <row r="13" spans="1:14" x14ac:dyDescent="0.2">
      <c r="A13" s="65" t="s">
        <v>377</v>
      </c>
      <c r="B13" s="69">
        <v>800</v>
      </c>
      <c r="C13" s="69">
        <v>850</v>
      </c>
      <c r="D13" s="69">
        <v>850</v>
      </c>
      <c r="E13" s="69">
        <v>850</v>
      </c>
      <c r="F13" s="69"/>
      <c r="G13" s="69">
        <v>850</v>
      </c>
      <c r="H13" s="69">
        <v>850</v>
      </c>
      <c r="I13" s="69">
        <v>850</v>
      </c>
      <c r="J13" s="69">
        <v>850</v>
      </c>
      <c r="K13" s="69">
        <v>850</v>
      </c>
      <c r="L13" s="69">
        <v>850</v>
      </c>
      <c r="M13" s="69">
        <v>850</v>
      </c>
    </row>
    <row r="14" spans="1:14" x14ac:dyDescent="0.2">
      <c r="A14" s="65" t="s">
        <v>5</v>
      </c>
      <c r="B14" s="69">
        <v>1700</v>
      </c>
      <c r="C14" s="69">
        <v>1800</v>
      </c>
      <c r="D14" s="69">
        <v>1800</v>
      </c>
      <c r="E14" s="69">
        <v>1800</v>
      </c>
      <c r="F14" s="69">
        <v>1800</v>
      </c>
      <c r="G14" s="69">
        <v>1800</v>
      </c>
      <c r="H14" s="69">
        <v>1800</v>
      </c>
      <c r="I14" s="69">
        <v>1800</v>
      </c>
      <c r="J14" s="69">
        <v>1800</v>
      </c>
      <c r="K14" s="69">
        <f>500+72</f>
        <v>572</v>
      </c>
      <c r="L14" s="69">
        <v>500</v>
      </c>
      <c r="M14" s="69">
        <v>500</v>
      </c>
    </row>
    <row r="15" spans="1:14" x14ac:dyDescent="0.2">
      <c r="A15" s="65" t="s">
        <v>6</v>
      </c>
      <c r="B15" s="70">
        <f>SUM(B6:B14)</f>
        <v>5610</v>
      </c>
      <c r="C15" s="70">
        <f t="shared" ref="C15:M15" si="1">SUM(C6:C14)</f>
        <v>5861</v>
      </c>
      <c r="D15" s="70">
        <f t="shared" si="1"/>
        <v>11722</v>
      </c>
      <c r="E15" s="70">
        <f t="shared" si="1"/>
        <v>17889</v>
      </c>
      <c r="F15" s="70">
        <f t="shared" si="1"/>
        <v>21306</v>
      </c>
      <c r="G15" s="70">
        <f t="shared" si="1"/>
        <v>28227</v>
      </c>
      <c r="H15" s="70">
        <f t="shared" si="1"/>
        <v>34294</v>
      </c>
      <c r="I15" s="70">
        <f t="shared" si="1"/>
        <v>40361</v>
      </c>
      <c r="J15" s="70">
        <f t="shared" si="1"/>
        <v>46428</v>
      </c>
      <c r="K15" s="70">
        <f t="shared" si="1"/>
        <v>48700</v>
      </c>
      <c r="L15" s="70">
        <f t="shared" si="1"/>
        <v>50900</v>
      </c>
      <c r="M15" s="70">
        <f t="shared" si="1"/>
        <v>53100</v>
      </c>
    </row>
    <row r="16" spans="1:14" x14ac:dyDescent="0.2">
      <c r="A16" s="65" t="s">
        <v>7</v>
      </c>
      <c r="B16" s="71">
        <v>5610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1:13" x14ac:dyDescent="0.2">
      <c r="A17" s="65" t="s">
        <v>111</v>
      </c>
      <c r="B17" s="70">
        <f>B15-B16</f>
        <v>0</v>
      </c>
      <c r="C17" s="70">
        <f>C15-C16</f>
        <v>5861</v>
      </c>
      <c r="D17" s="70">
        <f t="shared" ref="D17:M17" si="2">D15-D16</f>
        <v>11722</v>
      </c>
      <c r="E17" s="70">
        <f t="shared" si="2"/>
        <v>17889</v>
      </c>
      <c r="F17" s="70">
        <f t="shared" si="2"/>
        <v>21306</v>
      </c>
      <c r="G17" s="70">
        <f t="shared" si="2"/>
        <v>28227</v>
      </c>
      <c r="H17" s="70">
        <f t="shared" si="2"/>
        <v>34294</v>
      </c>
      <c r="I17" s="70">
        <f t="shared" si="2"/>
        <v>40361</v>
      </c>
      <c r="J17" s="70">
        <f t="shared" si="2"/>
        <v>46428</v>
      </c>
      <c r="K17" s="70">
        <f t="shared" si="2"/>
        <v>48700</v>
      </c>
      <c r="L17" s="70">
        <f t="shared" si="2"/>
        <v>50900</v>
      </c>
      <c r="M17" s="70">
        <f t="shared" si="2"/>
        <v>53100</v>
      </c>
    </row>
    <row r="18" spans="1:13" x14ac:dyDescent="0.2">
      <c r="B18" s="78" t="s">
        <v>181</v>
      </c>
    </row>
    <row r="21" spans="1:13" x14ac:dyDescent="0.2">
      <c r="A21" s="67" t="s">
        <v>0</v>
      </c>
      <c r="B21" s="67" t="s">
        <v>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x14ac:dyDescent="0.2">
      <c r="A22" s="65"/>
      <c r="B22" s="68">
        <v>44197</v>
      </c>
      <c r="C22" s="68">
        <v>44228</v>
      </c>
      <c r="D22" s="68">
        <v>44256</v>
      </c>
      <c r="E22" s="68">
        <v>44287</v>
      </c>
      <c r="F22" s="68">
        <v>44317</v>
      </c>
      <c r="G22" s="68">
        <v>44348</v>
      </c>
      <c r="H22" s="68">
        <v>44378</v>
      </c>
      <c r="I22" s="68">
        <v>44409</v>
      </c>
      <c r="J22" s="68">
        <v>44440</v>
      </c>
      <c r="K22" s="68">
        <v>44470</v>
      </c>
      <c r="L22" s="68">
        <v>44501</v>
      </c>
      <c r="M22" s="68">
        <v>44531</v>
      </c>
    </row>
    <row r="23" spans="1:13" x14ac:dyDescent="0.2">
      <c r="A23" s="65" t="s">
        <v>110</v>
      </c>
      <c r="B23" s="69">
        <v>53100</v>
      </c>
      <c r="C23" s="69">
        <f t="shared" ref="C23:M23" si="3">B34</f>
        <v>55800</v>
      </c>
      <c r="D23" s="69">
        <f t="shared" si="3"/>
        <v>55800</v>
      </c>
      <c r="E23" s="69">
        <f t="shared" si="3"/>
        <v>55800</v>
      </c>
      <c r="F23" s="69">
        <f t="shared" si="3"/>
        <v>55800</v>
      </c>
      <c r="G23" s="69">
        <f t="shared" si="3"/>
        <v>55800</v>
      </c>
      <c r="H23" s="69">
        <f t="shared" si="3"/>
        <v>55800</v>
      </c>
      <c r="I23" s="69">
        <f t="shared" si="3"/>
        <v>55800</v>
      </c>
      <c r="J23" s="69">
        <f t="shared" si="3"/>
        <v>55800</v>
      </c>
      <c r="K23" s="69">
        <f t="shared" si="3"/>
        <v>55800</v>
      </c>
      <c r="L23" s="69">
        <f t="shared" si="3"/>
        <v>55800</v>
      </c>
      <c r="M23" s="69">
        <f t="shared" si="3"/>
        <v>55800</v>
      </c>
    </row>
    <row r="24" spans="1:13" x14ac:dyDescent="0.2">
      <c r="A24" s="65" t="s">
        <v>2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4</v>
      </c>
      <c r="B26" s="69">
        <v>850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357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2">
      <c r="A29" s="65" t="s">
        <v>358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157"/>
      <c r="M29" s="69"/>
    </row>
    <row r="30" spans="1:13" x14ac:dyDescent="0.2">
      <c r="A30" s="65" t="s">
        <v>377</v>
      </c>
      <c r="B30" s="69">
        <v>850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 x14ac:dyDescent="0.2">
      <c r="A31" s="65" t="s">
        <v>5</v>
      </c>
      <c r="B31" s="69">
        <v>1000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x14ac:dyDescent="0.2">
      <c r="A32" s="65" t="s">
        <v>6</v>
      </c>
      <c r="B32" s="70">
        <f>SUM(B23:B31)</f>
        <v>55800</v>
      </c>
      <c r="C32" s="70">
        <f t="shared" ref="C32:M32" si="4">SUM(C23:C31)</f>
        <v>55800</v>
      </c>
      <c r="D32" s="70">
        <f t="shared" si="4"/>
        <v>55800</v>
      </c>
      <c r="E32" s="70">
        <f t="shared" si="4"/>
        <v>55800</v>
      </c>
      <c r="F32" s="70">
        <f t="shared" si="4"/>
        <v>55800</v>
      </c>
      <c r="G32" s="70">
        <f t="shared" si="4"/>
        <v>55800</v>
      </c>
      <c r="H32" s="70">
        <f t="shared" si="4"/>
        <v>55800</v>
      </c>
      <c r="I32" s="70">
        <f t="shared" si="4"/>
        <v>55800</v>
      </c>
      <c r="J32" s="70">
        <f>SUM(J23:J31)</f>
        <v>55800</v>
      </c>
      <c r="K32" s="70">
        <f t="shared" si="4"/>
        <v>55800</v>
      </c>
      <c r="L32" s="70">
        <f t="shared" si="4"/>
        <v>55800</v>
      </c>
      <c r="M32" s="70">
        <f t="shared" si="4"/>
        <v>55800</v>
      </c>
    </row>
    <row r="33" spans="1:13" x14ac:dyDescent="0.2">
      <c r="A33" s="65" t="s">
        <v>7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</row>
    <row r="34" spans="1:13" x14ac:dyDescent="0.2">
      <c r="A34" s="65" t="s">
        <v>111</v>
      </c>
      <c r="B34" s="70">
        <f>B32-B33</f>
        <v>55800</v>
      </c>
      <c r="C34" s="70">
        <f>C32-C33</f>
        <v>55800</v>
      </c>
      <c r="D34" s="70">
        <f t="shared" ref="D34:M34" si="5">D32-D33</f>
        <v>55800</v>
      </c>
      <c r="E34" s="70">
        <f t="shared" si="5"/>
        <v>55800</v>
      </c>
      <c r="F34" s="70">
        <f t="shared" si="5"/>
        <v>55800</v>
      </c>
      <c r="G34" s="70">
        <f t="shared" si="5"/>
        <v>55800</v>
      </c>
      <c r="H34" s="70">
        <f t="shared" si="5"/>
        <v>55800</v>
      </c>
      <c r="I34" s="70">
        <f t="shared" si="5"/>
        <v>55800</v>
      </c>
      <c r="J34" s="70">
        <f t="shared" si="5"/>
        <v>55800</v>
      </c>
      <c r="K34" s="70">
        <f t="shared" si="5"/>
        <v>55800</v>
      </c>
      <c r="L34" s="70">
        <f t="shared" si="5"/>
        <v>55800</v>
      </c>
      <c r="M34" s="70">
        <f t="shared" si="5"/>
        <v>55800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1"/>
  <dimension ref="A3:M29"/>
  <sheetViews>
    <sheetView topLeftCell="A7" workbookViewId="0">
      <selection activeCell="B26" sqref="B26:E26"/>
    </sheetView>
  </sheetViews>
  <sheetFormatPr baseColWidth="10" defaultRowHeight="12.75" x14ac:dyDescent="0.2"/>
  <cols>
    <col min="1" max="1" width="28.5703125" customWidth="1"/>
    <col min="9" max="9" width="11.85546875" bestFit="1" customWidth="1"/>
  </cols>
  <sheetData>
    <row r="3" spans="1:13" x14ac:dyDescent="0.2">
      <c r="A3" s="78"/>
      <c r="B3" s="79">
        <v>45658</v>
      </c>
      <c r="C3" s="79">
        <v>45689</v>
      </c>
      <c r="D3" s="79">
        <v>45717</v>
      </c>
      <c r="E3" s="79">
        <v>45748</v>
      </c>
      <c r="F3" s="79">
        <v>45778</v>
      </c>
      <c r="G3" s="79">
        <v>45809</v>
      </c>
      <c r="H3" s="79">
        <v>45839</v>
      </c>
      <c r="I3" s="79">
        <v>45870</v>
      </c>
      <c r="J3" s="79">
        <v>45901</v>
      </c>
      <c r="K3" s="79">
        <v>45931</v>
      </c>
      <c r="L3" s="79">
        <v>45962</v>
      </c>
      <c r="M3" s="79">
        <v>45992</v>
      </c>
    </row>
    <row r="4" spans="1:13" x14ac:dyDescent="0.2">
      <c r="A4" s="78" t="s">
        <v>110</v>
      </c>
      <c r="B4" s="42"/>
      <c r="C4" s="42">
        <f t="shared" ref="C4:M4" si="0">B15</f>
        <v>0</v>
      </c>
      <c r="D4" s="42">
        <f t="shared" si="0"/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24450</v>
      </c>
      <c r="I4" s="42">
        <f t="shared" si="0"/>
        <v>48900</v>
      </c>
      <c r="J4" s="42">
        <f t="shared" si="0"/>
        <v>140</v>
      </c>
      <c r="K4" s="42">
        <f t="shared" si="0"/>
        <v>26380</v>
      </c>
      <c r="L4" s="42">
        <f t="shared" si="0"/>
        <v>52620</v>
      </c>
      <c r="M4" s="42">
        <f t="shared" si="0"/>
        <v>78860</v>
      </c>
    </row>
    <row r="5" spans="1:13" x14ac:dyDescent="0.2">
      <c r="A5" s="78" t="s">
        <v>2</v>
      </c>
      <c r="B5" s="42"/>
      <c r="C5" s="42"/>
      <c r="D5" s="42"/>
      <c r="E5" s="42"/>
      <c r="F5" s="42"/>
      <c r="G5" s="42">
        <v>11880</v>
      </c>
      <c r="H5" s="42">
        <v>11880</v>
      </c>
      <c r="I5" s="42">
        <v>13670</v>
      </c>
      <c r="J5" s="42">
        <v>13670</v>
      </c>
      <c r="K5" s="42">
        <v>13670</v>
      </c>
      <c r="L5" s="42">
        <v>13670</v>
      </c>
      <c r="M5" s="42">
        <v>13670</v>
      </c>
    </row>
    <row r="6" spans="1:13" x14ac:dyDescent="0.2">
      <c r="A6" s="78" t="s">
        <v>3</v>
      </c>
      <c r="B6" s="42"/>
      <c r="C6" s="42"/>
      <c r="D6" s="42"/>
      <c r="E6" s="42"/>
      <c r="F6" s="42"/>
      <c r="G6" s="42">
        <v>2570</v>
      </c>
      <c r="H6" s="42">
        <v>2570</v>
      </c>
      <c r="I6" s="42">
        <v>2570</v>
      </c>
      <c r="J6" s="42">
        <v>2570</v>
      </c>
      <c r="K6" s="42">
        <v>2570</v>
      </c>
      <c r="L6" s="42">
        <v>2570</v>
      </c>
      <c r="M6" s="42">
        <v>2570</v>
      </c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5</v>
      </c>
      <c r="B12" s="42"/>
      <c r="C12" s="42"/>
      <c r="D12" s="42"/>
      <c r="E12" s="42"/>
      <c r="F12" s="42"/>
      <c r="G12" s="42">
        <v>10000</v>
      </c>
      <c r="H12" s="42">
        <v>10000</v>
      </c>
      <c r="I12" s="42">
        <v>10000</v>
      </c>
      <c r="J12" s="42">
        <v>10000</v>
      </c>
      <c r="K12" s="42">
        <v>10000</v>
      </c>
      <c r="L12" s="42">
        <v>10000</v>
      </c>
      <c r="M12" s="42">
        <v>10000</v>
      </c>
    </row>
    <row r="13" spans="1:13" x14ac:dyDescent="0.2">
      <c r="A13" s="78" t="s">
        <v>6</v>
      </c>
      <c r="B13" s="43">
        <f t="shared" ref="B13:M13" si="1">SUM(B4:B12)</f>
        <v>0</v>
      </c>
      <c r="C13" s="43">
        <f t="shared" si="1"/>
        <v>0</v>
      </c>
      <c r="D13" s="43">
        <f t="shared" si="1"/>
        <v>0</v>
      </c>
      <c r="E13" s="43">
        <f t="shared" si="1"/>
        <v>0</v>
      </c>
      <c r="F13" s="43">
        <f t="shared" si="1"/>
        <v>0</v>
      </c>
      <c r="G13" s="43">
        <f t="shared" si="1"/>
        <v>24450</v>
      </c>
      <c r="H13" s="43">
        <f t="shared" si="1"/>
        <v>48900</v>
      </c>
      <c r="I13" s="43">
        <f t="shared" si="1"/>
        <v>75140</v>
      </c>
      <c r="J13" s="43">
        <f t="shared" si="1"/>
        <v>26380</v>
      </c>
      <c r="K13" s="43">
        <f t="shared" si="1"/>
        <v>52620</v>
      </c>
      <c r="L13" s="43">
        <f t="shared" si="1"/>
        <v>78860</v>
      </c>
      <c r="M13" s="43">
        <f t="shared" si="1"/>
        <v>105100</v>
      </c>
    </row>
    <row r="14" spans="1:13" x14ac:dyDescent="0.2">
      <c r="A14" s="78" t="s">
        <v>7</v>
      </c>
      <c r="B14" s="44"/>
      <c r="C14" s="44"/>
      <c r="D14" s="44"/>
      <c r="E14" s="44"/>
      <c r="F14" s="44"/>
      <c r="G14" s="44"/>
      <c r="H14" s="44"/>
      <c r="I14" s="44">
        <f>25000+50000</f>
        <v>75000</v>
      </c>
      <c r="J14" s="44"/>
      <c r="K14" s="44"/>
      <c r="L14" s="44"/>
      <c r="M14" s="44"/>
    </row>
    <row r="15" spans="1:13" x14ac:dyDescent="0.2">
      <c r="A15" s="78" t="s">
        <v>111</v>
      </c>
      <c r="B15" s="43">
        <f t="shared" ref="B15:K15" si="2">B13-B14</f>
        <v>0</v>
      </c>
      <c r="C15" s="43">
        <f t="shared" si="2"/>
        <v>0</v>
      </c>
      <c r="D15" s="43">
        <f t="shared" si="2"/>
        <v>0</v>
      </c>
      <c r="E15" s="43">
        <f t="shared" si="2"/>
        <v>0</v>
      </c>
      <c r="F15" s="43">
        <f t="shared" si="2"/>
        <v>0</v>
      </c>
      <c r="G15" s="43">
        <f t="shared" si="2"/>
        <v>24450</v>
      </c>
      <c r="H15" s="43">
        <f t="shared" si="2"/>
        <v>48900</v>
      </c>
      <c r="I15" s="43">
        <f t="shared" si="2"/>
        <v>140</v>
      </c>
      <c r="J15" s="43">
        <f t="shared" si="2"/>
        <v>26380</v>
      </c>
      <c r="K15" s="43">
        <f t="shared" si="2"/>
        <v>52620</v>
      </c>
      <c r="L15" s="43">
        <f>L13-L14</f>
        <v>78860</v>
      </c>
      <c r="M15" s="43">
        <f>M13-M14</f>
        <v>105100</v>
      </c>
    </row>
    <row r="16" spans="1:13" x14ac:dyDescent="0.2">
      <c r="I16" s="174"/>
    </row>
    <row r="17" spans="1:13" x14ac:dyDescent="0.2">
      <c r="A17" s="78"/>
      <c r="B17" s="79">
        <v>46023</v>
      </c>
      <c r="C17" s="79">
        <v>46054</v>
      </c>
      <c r="D17" s="79">
        <v>46082</v>
      </c>
      <c r="E17" s="79">
        <v>46113</v>
      </c>
      <c r="F17" s="79">
        <v>46143</v>
      </c>
      <c r="G17" s="79">
        <v>46174</v>
      </c>
      <c r="H17" s="79">
        <v>46204</v>
      </c>
      <c r="I17" s="79">
        <v>46235</v>
      </c>
      <c r="J17" s="79">
        <v>46266</v>
      </c>
      <c r="K17" s="79">
        <v>46296</v>
      </c>
      <c r="L17" s="79">
        <v>46327</v>
      </c>
      <c r="M17" s="79">
        <v>46357</v>
      </c>
    </row>
    <row r="18" spans="1:13" x14ac:dyDescent="0.2">
      <c r="A18" s="78" t="s">
        <v>110</v>
      </c>
      <c r="B18" s="42">
        <v>105100</v>
      </c>
      <c r="C18" s="42">
        <f t="shared" ref="C18:M18" si="3">B29</f>
        <v>10100</v>
      </c>
      <c r="D18" s="42">
        <f t="shared" si="3"/>
        <v>50100</v>
      </c>
      <c r="E18" s="42">
        <f t="shared" si="3"/>
        <v>90100</v>
      </c>
      <c r="F18" s="42">
        <f t="shared" si="3"/>
        <v>130100</v>
      </c>
      <c r="G18" s="42">
        <f t="shared" si="3"/>
        <v>130100</v>
      </c>
      <c r="H18" s="42">
        <f t="shared" si="3"/>
        <v>130100</v>
      </c>
      <c r="I18" s="42">
        <f t="shared" si="3"/>
        <v>130100</v>
      </c>
      <c r="J18" s="42">
        <f t="shared" si="3"/>
        <v>130100</v>
      </c>
      <c r="K18" s="42">
        <f t="shared" si="3"/>
        <v>130100</v>
      </c>
      <c r="L18" s="42">
        <f t="shared" si="3"/>
        <v>130100</v>
      </c>
      <c r="M18" s="42">
        <f t="shared" si="3"/>
        <v>130100</v>
      </c>
    </row>
    <row r="19" spans="1:13" x14ac:dyDescent="0.2">
      <c r="A19" s="78" t="s">
        <v>2</v>
      </c>
      <c r="B19" s="42">
        <v>16288</v>
      </c>
      <c r="C19" s="42">
        <v>16288</v>
      </c>
      <c r="D19" s="42">
        <v>16288</v>
      </c>
      <c r="E19" s="42">
        <v>16288</v>
      </c>
      <c r="F19" s="42"/>
      <c r="G19" s="42"/>
      <c r="H19" s="42"/>
      <c r="I19" s="42"/>
      <c r="J19" s="42"/>
      <c r="K19" s="42"/>
      <c r="L19" s="42"/>
      <c r="M19" s="42"/>
    </row>
    <row r="20" spans="1:13" x14ac:dyDescent="0.2">
      <c r="A20" s="78" t="s">
        <v>3</v>
      </c>
      <c r="B20" s="42">
        <v>3712</v>
      </c>
      <c r="C20" s="42">
        <v>3712</v>
      </c>
      <c r="D20" s="42">
        <v>3712</v>
      </c>
      <c r="E20" s="42">
        <v>3712</v>
      </c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9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73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74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5</v>
      </c>
      <c r="B26" s="42">
        <v>20000</v>
      </c>
      <c r="C26" s="42">
        <v>20000</v>
      </c>
      <c r="D26" s="42">
        <v>20000</v>
      </c>
      <c r="E26" s="42">
        <v>20000</v>
      </c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6</v>
      </c>
      <c r="B27" s="43">
        <f t="shared" ref="B27:M27" si="4">SUM(B18:B26)</f>
        <v>145100</v>
      </c>
      <c r="C27" s="43">
        <f t="shared" si="4"/>
        <v>50100</v>
      </c>
      <c r="D27" s="43">
        <f t="shared" si="4"/>
        <v>90100</v>
      </c>
      <c r="E27" s="43">
        <f t="shared" si="4"/>
        <v>130100</v>
      </c>
      <c r="F27" s="43">
        <f t="shared" si="4"/>
        <v>130100</v>
      </c>
      <c r="G27" s="43">
        <f t="shared" si="4"/>
        <v>130100</v>
      </c>
      <c r="H27" s="43">
        <f t="shared" si="4"/>
        <v>130100</v>
      </c>
      <c r="I27" s="43">
        <f t="shared" si="4"/>
        <v>130100</v>
      </c>
      <c r="J27" s="43">
        <f t="shared" si="4"/>
        <v>130100</v>
      </c>
      <c r="K27" s="43">
        <f t="shared" si="4"/>
        <v>130100</v>
      </c>
      <c r="L27" s="43">
        <f t="shared" si="4"/>
        <v>130100</v>
      </c>
      <c r="M27" s="43">
        <f t="shared" si="4"/>
        <v>130100</v>
      </c>
    </row>
    <row r="28" spans="1:13" x14ac:dyDescent="0.2">
      <c r="A28" s="78" t="s">
        <v>7</v>
      </c>
      <c r="B28" s="44">
        <v>135000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x14ac:dyDescent="0.2">
      <c r="A29" s="78" t="s">
        <v>111</v>
      </c>
      <c r="B29" s="43">
        <f t="shared" ref="B29:K29" si="5">B27-B28</f>
        <v>10100</v>
      </c>
      <c r="C29" s="43">
        <f t="shared" si="5"/>
        <v>50100</v>
      </c>
      <c r="D29" s="43">
        <f t="shared" si="5"/>
        <v>90100</v>
      </c>
      <c r="E29" s="43">
        <f t="shared" si="5"/>
        <v>130100</v>
      </c>
      <c r="F29" s="43">
        <f t="shared" si="5"/>
        <v>130100</v>
      </c>
      <c r="G29" s="43">
        <f t="shared" si="5"/>
        <v>130100</v>
      </c>
      <c r="H29" s="43">
        <f t="shared" si="5"/>
        <v>130100</v>
      </c>
      <c r="I29" s="43">
        <f t="shared" si="5"/>
        <v>130100</v>
      </c>
      <c r="J29" s="43">
        <f t="shared" si="5"/>
        <v>130100</v>
      </c>
      <c r="K29" s="43">
        <f t="shared" si="5"/>
        <v>130100</v>
      </c>
      <c r="L29" s="43">
        <f>L27-L28</f>
        <v>130100</v>
      </c>
      <c r="M29" s="43">
        <f>M27-M28</f>
        <v>130100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2"/>
  <dimension ref="A4:M31"/>
  <sheetViews>
    <sheetView topLeftCell="A10" workbookViewId="0">
      <selection activeCell="C28" sqref="C28"/>
    </sheetView>
  </sheetViews>
  <sheetFormatPr baseColWidth="10" defaultRowHeight="12.75" x14ac:dyDescent="0.2"/>
  <cols>
    <col min="1" max="1" width="25.42578125" customWidth="1"/>
  </cols>
  <sheetData>
    <row r="4" spans="1:13" x14ac:dyDescent="0.2">
      <c r="A4" s="78"/>
      <c r="B4" s="79">
        <v>44562</v>
      </c>
      <c r="C4" s="79">
        <v>44593</v>
      </c>
      <c r="D4" s="79">
        <v>44621</v>
      </c>
      <c r="E4" s="79">
        <v>44652</v>
      </c>
      <c r="F4" s="79">
        <v>44682</v>
      </c>
      <c r="G4" s="79">
        <v>44713</v>
      </c>
      <c r="H4" s="79">
        <v>44743</v>
      </c>
      <c r="I4" s="79">
        <v>44774</v>
      </c>
      <c r="J4" s="79">
        <v>44805</v>
      </c>
      <c r="K4" s="79">
        <v>44835</v>
      </c>
      <c r="L4" s="79">
        <v>44866</v>
      </c>
      <c r="M4" s="79">
        <v>44896</v>
      </c>
    </row>
    <row r="5" spans="1:13" x14ac:dyDescent="0.2">
      <c r="A5" s="78" t="s">
        <v>110</v>
      </c>
      <c r="B5" s="42"/>
      <c r="C5" s="42">
        <f t="shared" ref="C5:M5" si="0">B16</f>
        <v>2270</v>
      </c>
      <c r="D5" s="42">
        <f t="shared" si="0"/>
        <v>0</v>
      </c>
      <c r="E5" s="42">
        <f t="shared" si="0"/>
        <v>2270</v>
      </c>
      <c r="F5" s="42">
        <f t="shared" si="0"/>
        <v>4540</v>
      </c>
      <c r="G5" s="42">
        <f t="shared" si="0"/>
        <v>6522</v>
      </c>
      <c r="H5" s="42">
        <f t="shared" si="0"/>
        <v>0</v>
      </c>
      <c r="I5" s="42">
        <f t="shared" si="0"/>
        <v>0</v>
      </c>
      <c r="J5" s="42">
        <f t="shared" si="0"/>
        <v>1980</v>
      </c>
      <c r="K5" s="42">
        <f t="shared" si="0"/>
        <v>3960</v>
      </c>
      <c r="L5" s="42">
        <f t="shared" si="0"/>
        <v>6228</v>
      </c>
      <c r="M5" s="42">
        <f t="shared" si="0"/>
        <v>1776</v>
      </c>
    </row>
    <row r="6" spans="1:13" x14ac:dyDescent="0.2">
      <c r="A6" s="78" t="s">
        <v>2</v>
      </c>
      <c r="B6" s="42">
        <v>288.07</v>
      </c>
      <c r="C6" s="42">
        <v>288.07</v>
      </c>
      <c r="D6" s="42">
        <v>288</v>
      </c>
      <c r="E6" s="42">
        <v>288</v>
      </c>
      <c r="F6" s="42"/>
      <c r="G6" s="42"/>
      <c r="H6" s="42"/>
      <c r="I6" s="42"/>
      <c r="J6" s="42"/>
      <c r="K6" s="42">
        <v>288</v>
      </c>
      <c r="L6" s="42">
        <v>288</v>
      </c>
      <c r="M6" s="42">
        <v>288</v>
      </c>
    </row>
    <row r="7" spans="1:13" x14ac:dyDescent="0.2">
      <c r="A7" s="78" t="s">
        <v>3</v>
      </c>
      <c r="B7" s="42">
        <v>780</v>
      </c>
      <c r="C7" s="42">
        <v>780</v>
      </c>
      <c r="D7" s="42">
        <v>780</v>
      </c>
      <c r="E7" s="42">
        <v>780</v>
      </c>
      <c r="F7" s="42">
        <v>780</v>
      </c>
      <c r="G7" s="42">
        <v>780</v>
      </c>
      <c r="H7" s="42">
        <v>780</v>
      </c>
      <c r="I7" s="42">
        <v>780</v>
      </c>
      <c r="J7" s="42">
        <v>780</v>
      </c>
      <c r="K7" s="42">
        <v>780</v>
      </c>
      <c r="L7" s="42">
        <v>780</v>
      </c>
      <c r="M7" s="42">
        <v>780</v>
      </c>
    </row>
    <row r="8" spans="1:13" x14ac:dyDescent="0.2">
      <c r="A8" s="78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75</v>
      </c>
      <c r="B12" s="42">
        <v>1.93</v>
      </c>
      <c r="C12" s="42">
        <v>1.93</v>
      </c>
      <c r="D12" s="42">
        <v>2</v>
      </c>
      <c r="E12" s="42">
        <v>2</v>
      </c>
      <c r="F12" s="42">
        <v>2</v>
      </c>
      <c r="G12" s="42">
        <v>2</v>
      </c>
      <c r="H12" s="42"/>
      <c r="I12" s="42"/>
      <c r="J12" s="42"/>
      <c r="K12" s="42"/>
      <c r="L12" s="42"/>
      <c r="M12" s="42"/>
    </row>
    <row r="13" spans="1:13" x14ac:dyDescent="0.2">
      <c r="A13" s="78" t="s">
        <v>5</v>
      </c>
      <c r="B13" s="42">
        <v>1200</v>
      </c>
      <c r="C13" s="42">
        <v>1200</v>
      </c>
      <c r="D13" s="42">
        <v>1200</v>
      </c>
      <c r="E13" s="42">
        <v>1200</v>
      </c>
      <c r="F13" s="42">
        <v>1200</v>
      </c>
      <c r="G13" s="42">
        <v>1200</v>
      </c>
      <c r="H13" s="42">
        <v>1200</v>
      </c>
      <c r="I13" s="42">
        <v>1200</v>
      </c>
      <c r="J13" s="42">
        <v>1200</v>
      </c>
      <c r="K13" s="42">
        <v>1200</v>
      </c>
      <c r="L13" s="42">
        <v>1200</v>
      </c>
      <c r="M13" s="42">
        <f>1200-84</f>
        <v>1116</v>
      </c>
    </row>
    <row r="14" spans="1:13" x14ac:dyDescent="0.2">
      <c r="A14" s="78" t="s">
        <v>6</v>
      </c>
      <c r="B14" s="43">
        <f t="shared" ref="B14:M14" si="1">SUM(B5:B13)</f>
        <v>2270</v>
      </c>
      <c r="C14" s="43">
        <f t="shared" si="1"/>
        <v>4540</v>
      </c>
      <c r="D14" s="43">
        <f t="shared" si="1"/>
        <v>2270</v>
      </c>
      <c r="E14" s="43">
        <f t="shared" si="1"/>
        <v>4540</v>
      </c>
      <c r="F14" s="43">
        <f t="shared" si="1"/>
        <v>6522</v>
      </c>
      <c r="G14" s="43">
        <f t="shared" si="1"/>
        <v>8504</v>
      </c>
      <c r="H14" s="43">
        <f t="shared" si="1"/>
        <v>1980</v>
      </c>
      <c r="I14" s="43">
        <f t="shared" si="1"/>
        <v>1980</v>
      </c>
      <c r="J14" s="43">
        <f t="shared" si="1"/>
        <v>3960</v>
      </c>
      <c r="K14" s="43">
        <f t="shared" si="1"/>
        <v>6228</v>
      </c>
      <c r="L14" s="43">
        <f t="shared" si="1"/>
        <v>8496</v>
      </c>
      <c r="M14" s="43">
        <f t="shared" si="1"/>
        <v>3960</v>
      </c>
    </row>
    <row r="15" spans="1:13" x14ac:dyDescent="0.2">
      <c r="A15" s="78" t="s">
        <v>7</v>
      </c>
      <c r="B15" s="44"/>
      <c r="C15" s="44">
        <v>4540</v>
      </c>
      <c r="D15" s="44"/>
      <c r="E15" s="44"/>
      <c r="F15" s="44"/>
      <c r="G15" s="44">
        <v>8504</v>
      </c>
      <c r="H15" s="44">
        <v>1980</v>
      </c>
      <c r="I15" s="44"/>
      <c r="J15" s="44"/>
      <c r="K15" s="44">
        <v>0</v>
      </c>
      <c r="L15" s="44">
        <v>6720</v>
      </c>
      <c r="M15" s="44">
        <v>3960</v>
      </c>
    </row>
    <row r="16" spans="1:13" x14ac:dyDescent="0.2">
      <c r="A16" s="78" t="s">
        <v>111</v>
      </c>
      <c r="B16" s="43">
        <f t="shared" ref="B16:K16" si="2">B14-B15</f>
        <v>2270</v>
      </c>
      <c r="C16" s="43">
        <f t="shared" si="2"/>
        <v>0</v>
      </c>
      <c r="D16" s="43">
        <f t="shared" si="2"/>
        <v>2270</v>
      </c>
      <c r="E16" s="43">
        <f t="shared" si="2"/>
        <v>4540</v>
      </c>
      <c r="F16" s="43">
        <f t="shared" si="2"/>
        <v>6522</v>
      </c>
      <c r="G16" s="43">
        <f t="shared" si="2"/>
        <v>0</v>
      </c>
      <c r="H16" s="43">
        <f t="shared" si="2"/>
        <v>0</v>
      </c>
      <c r="I16" s="43">
        <f t="shared" si="2"/>
        <v>1980</v>
      </c>
      <c r="J16" s="43">
        <f t="shared" si="2"/>
        <v>3960</v>
      </c>
      <c r="K16" s="43">
        <f t="shared" si="2"/>
        <v>6228</v>
      </c>
      <c r="L16" s="43">
        <f>L14-L15</f>
        <v>1776</v>
      </c>
      <c r="M16" s="43">
        <f>M14-M15</f>
        <v>0</v>
      </c>
    </row>
    <row r="19" spans="1:13" x14ac:dyDescent="0.2">
      <c r="A19" s="78"/>
      <c r="B19" s="79">
        <v>44927</v>
      </c>
      <c r="C19" s="79">
        <v>44958</v>
      </c>
      <c r="D19" s="79">
        <v>44986</v>
      </c>
      <c r="E19" s="79">
        <v>45017</v>
      </c>
      <c r="F19" s="79">
        <v>45047</v>
      </c>
      <c r="G19" s="79">
        <v>45078</v>
      </c>
      <c r="H19" s="79">
        <v>45108</v>
      </c>
      <c r="I19" s="79">
        <v>45139</v>
      </c>
      <c r="J19" s="79">
        <v>45170</v>
      </c>
      <c r="K19" s="79">
        <v>45200</v>
      </c>
      <c r="L19" s="79">
        <v>45231</v>
      </c>
      <c r="M19" s="79">
        <v>45261</v>
      </c>
    </row>
    <row r="20" spans="1:13" x14ac:dyDescent="0.2">
      <c r="A20" s="78" t="s">
        <v>110</v>
      </c>
      <c r="B20" s="42"/>
      <c r="C20" s="42">
        <f t="shared" ref="C20:M20" si="3">B31</f>
        <v>0</v>
      </c>
      <c r="D20" s="42">
        <f t="shared" si="3"/>
        <v>0</v>
      </c>
      <c r="E20" s="42">
        <f t="shared" si="3"/>
        <v>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42">
        <f t="shared" si="3"/>
        <v>0</v>
      </c>
      <c r="L20" s="42">
        <f t="shared" si="3"/>
        <v>0</v>
      </c>
      <c r="M20" s="42">
        <f t="shared" si="3"/>
        <v>0</v>
      </c>
    </row>
    <row r="21" spans="1:13" x14ac:dyDescent="0.2">
      <c r="A21" s="78" t="s">
        <v>2</v>
      </c>
      <c r="B21" s="42">
        <v>1276</v>
      </c>
      <c r="C21" s="42">
        <v>1276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75</v>
      </c>
      <c r="B27" s="42">
        <v>4</v>
      </c>
      <c r="C27" s="42">
        <v>24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5</v>
      </c>
      <c r="B28" s="42">
        <v>1500</v>
      </c>
      <c r="C28" s="42">
        <v>1500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6</v>
      </c>
      <c r="B29" s="43">
        <f t="shared" ref="B29:M29" si="4">SUM(B20:B28)</f>
        <v>2780</v>
      </c>
      <c r="C29" s="43">
        <f t="shared" si="4"/>
        <v>2800</v>
      </c>
      <c r="D29" s="43">
        <f t="shared" si="4"/>
        <v>0</v>
      </c>
      <c r="E29" s="43">
        <f t="shared" si="4"/>
        <v>0</v>
      </c>
      <c r="F29" s="43">
        <f t="shared" si="4"/>
        <v>0</v>
      </c>
      <c r="G29" s="43">
        <f t="shared" si="4"/>
        <v>0</v>
      </c>
      <c r="H29" s="43">
        <f t="shared" si="4"/>
        <v>0</v>
      </c>
      <c r="I29" s="43">
        <f t="shared" si="4"/>
        <v>0</v>
      </c>
      <c r="J29" s="43">
        <f t="shared" si="4"/>
        <v>0</v>
      </c>
      <c r="K29" s="43">
        <f t="shared" si="4"/>
        <v>0</v>
      </c>
      <c r="L29" s="43">
        <f t="shared" si="4"/>
        <v>0</v>
      </c>
      <c r="M29" s="43">
        <f t="shared" si="4"/>
        <v>0</v>
      </c>
    </row>
    <row r="30" spans="1:13" x14ac:dyDescent="0.2">
      <c r="A30" s="78" t="s">
        <v>7</v>
      </c>
      <c r="B30" s="44">
        <v>2780</v>
      </c>
      <c r="C30" s="44">
        <v>2800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x14ac:dyDescent="0.2">
      <c r="A31" s="78" t="s">
        <v>111</v>
      </c>
      <c r="B31" s="43">
        <f t="shared" ref="B31:K31" si="5">B29-B30</f>
        <v>0</v>
      </c>
      <c r="C31" s="43">
        <f t="shared" si="5"/>
        <v>0</v>
      </c>
      <c r="D31" s="43">
        <f t="shared" si="5"/>
        <v>0</v>
      </c>
      <c r="E31" s="43">
        <f t="shared" si="5"/>
        <v>0</v>
      </c>
      <c r="F31" s="43">
        <f t="shared" si="5"/>
        <v>0</v>
      </c>
      <c r="G31" s="43">
        <f t="shared" si="5"/>
        <v>0</v>
      </c>
      <c r="H31" s="43">
        <f t="shared" si="5"/>
        <v>0</v>
      </c>
      <c r="I31" s="43">
        <f t="shared" si="5"/>
        <v>0</v>
      </c>
      <c r="J31" s="43">
        <f t="shared" si="5"/>
        <v>0</v>
      </c>
      <c r="K31" s="43">
        <f t="shared" si="5"/>
        <v>0</v>
      </c>
      <c r="L31" s="43">
        <f>L29-L30</f>
        <v>0</v>
      </c>
      <c r="M31" s="43">
        <f>M29-M30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3"/>
  <dimension ref="A2:N34"/>
  <sheetViews>
    <sheetView workbookViewId="0">
      <selection activeCell="E27" sqref="E27"/>
    </sheetView>
  </sheetViews>
  <sheetFormatPr baseColWidth="10" defaultRowHeight="12.75" x14ac:dyDescent="0.2"/>
  <cols>
    <col min="1" max="1" width="29.140625" customWidth="1"/>
    <col min="12" max="13" width="12" bestFit="1" customWidth="1"/>
  </cols>
  <sheetData>
    <row r="2" spans="1:14" x14ac:dyDescent="0.2">
      <c r="A2" s="78"/>
      <c r="B2" s="79">
        <v>43101</v>
      </c>
      <c r="C2" s="79">
        <v>43132</v>
      </c>
      <c r="D2" s="79">
        <v>43160</v>
      </c>
      <c r="E2" s="79">
        <v>43191</v>
      </c>
      <c r="F2" s="79">
        <v>43221</v>
      </c>
      <c r="G2" s="79">
        <v>43252</v>
      </c>
      <c r="H2" s="79">
        <v>43282</v>
      </c>
      <c r="I2" s="79">
        <v>43313</v>
      </c>
      <c r="J2" s="79">
        <v>43344</v>
      </c>
      <c r="K2" s="79">
        <v>43374</v>
      </c>
      <c r="L2" s="79">
        <v>43405</v>
      </c>
      <c r="M2" s="79">
        <v>43435</v>
      </c>
    </row>
    <row r="3" spans="1:14" x14ac:dyDescent="0.2">
      <c r="A3" s="78" t="s">
        <v>110</v>
      </c>
      <c r="B3" s="42"/>
      <c r="C3" s="42">
        <f t="shared" ref="C3:M3" si="0">B14</f>
        <v>0</v>
      </c>
      <c r="D3" s="42">
        <f t="shared" si="0"/>
        <v>0</v>
      </c>
      <c r="E3" s="42">
        <f t="shared" si="0"/>
        <v>0</v>
      </c>
      <c r="F3" s="42">
        <f t="shared" si="0"/>
        <v>0</v>
      </c>
      <c r="G3" s="42">
        <f t="shared" si="0"/>
        <v>0</v>
      </c>
      <c r="H3" s="42">
        <f t="shared" si="0"/>
        <v>0</v>
      </c>
      <c r="I3" s="42">
        <f t="shared" si="0"/>
        <v>0</v>
      </c>
      <c r="J3" s="42">
        <f t="shared" si="0"/>
        <v>0</v>
      </c>
      <c r="K3" s="42">
        <f t="shared" si="0"/>
        <v>0</v>
      </c>
      <c r="L3" s="42">
        <f t="shared" si="0"/>
        <v>0</v>
      </c>
      <c r="M3" s="42">
        <f t="shared" si="0"/>
        <v>0</v>
      </c>
    </row>
    <row r="4" spans="1:14" x14ac:dyDescent="0.2">
      <c r="A4" s="78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4" x14ac:dyDescent="0.2">
      <c r="A5" s="78" t="s">
        <v>3</v>
      </c>
      <c r="B5" s="42"/>
      <c r="C5" s="42"/>
      <c r="D5" s="42">
        <v>490</v>
      </c>
      <c r="E5" s="42">
        <v>490</v>
      </c>
      <c r="F5" s="42">
        <v>490</v>
      </c>
      <c r="G5" s="42">
        <v>550</v>
      </c>
      <c r="H5" s="42">
        <v>550</v>
      </c>
      <c r="I5" s="42">
        <v>550</v>
      </c>
      <c r="J5" s="42">
        <v>550</v>
      </c>
      <c r="K5" s="42">
        <v>550</v>
      </c>
      <c r="L5" s="42">
        <v>550</v>
      </c>
      <c r="M5" s="42">
        <v>550</v>
      </c>
    </row>
    <row r="6" spans="1:14" x14ac:dyDescent="0.2">
      <c r="A6" s="78" t="s">
        <v>4</v>
      </c>
      <c r="B6" s="42"/>
      <c r="C6" s="42"/>
      <c r="D6" s="42">
        <v>350</v>
      </c>
      <c r="E6" s="42">
        <v>350</v>
      </c>
      <c r="F6" s="42">
        <v>350</v>
      </c>
      <c r="G6" s="42">
        <v>350</v>
      </c>
      <c r="H6" s="42">
        <v>350</v>
      </c>
      <c r="I6" s="42">
        <v>350</v>
      </c>
      <c r="J6" s="42">
        <v>400</v>
      </c>
      <c r="K6" s="42">
        <v>400</v>
      </c>
      <c r="L6" s="42">
        <v>400</v>
      </c>
      <c r="M6" s="42">
        <v>400</v>
      </c>
    </row>
    <row r="7" spans="1:14" x14ac:dyDescent="0.2">
      <c r="A7" s="78" t="s">
        <v>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4" x14ac:dyDescent="0.2">
      <c r="A8" s="78" t="s">
        <v>73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4" x14ac:dyDescent="0.2">
      <c r="A9" s="78" t="s">
        <v>74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4" x14ac:dyDescent="0.2">
      <c r="A10" s="78" t="s">
        <v>75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4" x14ac:dyDescent="0.2">
      <c r="A11" s="78" t="s">
        <v>5</v>
      </c>
      <c r="B11" s="42"/>
      <c r="C11" s="42"/>
      <c r="D11" s="42">
        <v>800</v>
      </c>
      <c r="E11" s="42">
        <v>800</v>
      </c>
      <c r="F11" s="42">
        <v>800</v>
      </c>
      <c r="G11" s="42">
        <v>800</v>
      </c>
      <c r="H11" s="42">
        <v>800</v>
      </c>
      <c r="I11" s="42">
        <v>800</v>
      </c>
      <c r="J11" s="42">
        <v>800</v>
      </c>
      <c r="K11" s="42">
        <v>800</v>
      </c>
      <c r="L11" s="42">
        <v>800</v>
      </c>
      <c r="M11" s="42">
        <v>800</v>
      </c>
    </row>
    <row r="12" spans="1:14" x14ac:dyDescent="0.2">
      <c r="A12" s="78" t="s">
        <v>6</v>
      </c>
      <c r="B12" s="43">
        <f t="shared" ref="B12:M12" si="1">SUM(B3:B11)</f>
        <v>0</v>
      </c>
      <c r="C12" s="43">
        <f t="shared" si="1"/>
        <v>0</v>
      </c>
      <c r="D12" s="43">
        <f t="shared" si="1"/>
        <v>1640</v>
      </c>
      <c r="E12" s="43">
        <f t="shared" si="1"/>
        <v>1640</v>
      </c>
      <c r="F12" s="43">
        <f t="shared" si="1"/>
        <v>1640</v>
      </c>
      <c r="G12" s="43">
        <f t="shared" si="1"/>
        <v>1700</v>
      </c>
      <c r="H12" s="43">
        <f t="shared" si="1"/>
        <v>1700</v>
      </c>
      <c r="I12" s="43">
        <f t="shared" si="1"/>
        <v>1700</v>
      </c>
      <c r="J12" s="43">
        <f t="shared" si="1"/>
        <v>1750</v>
      </c>
      <c r="K12" s="43">
        <f t="shared" si="1"/>
        <v>1750</v>
      </c>
      <c r="L12" s="43">
        <f t="shared" si="1"/>
        <v>1750</v>
      </c>
      <c r="M12" s="43">
        <f t="shared" si="1"/>
        <v>1750</v>
      </c>
    </row>
    <row r="13" spans="1:14" x14ac:dyDescent="0.2">
      <c r="A13" s="78" t="s">
        <v>7</v>
      </c>
      <c r="B13" s="44"/>
      <c r="C13" s="44"/>
      <c r="D13" s="44">
        <v>1640</v>
      </c>
      <c r="E13" s="44">
        <v>1640</v>
      </c>
      <c r="F13" s="44">
        <v>1640</v>
      </c>
      <c r="G13" s="44">
        <v>1700</v>
      </c>
      <c r="H13" s="44">
        <v>1700</v>
      </c>
      <c r="I13" s="44">
        <v>1700</v>
      </c>
      <c r="J13" s="44">
        <v>1750</v>
      </c>
      <c r="K13" s="44">
        <v>1750</v>
      </c>
      <c r="L13" s="44">
        <v>1750</v>
      </c>
      <c r="M13" s="44">
        <v>1750</v>
      </c>
      <c r="N13" t="s">
        <v>410</v>
      </c>
    </row>
    <row r="14" spans="1:14" x14ac:dyDescent="0.2">
      <c r="A14" s="78" t="s">
        <v>111</v>
      </c>
      <c r="B14" s="43">
        <f t="shared" ref="B14:K14" si="2">B12-B13</f>
        <v>0</v>
      </c>
      <c r="C14" s="43">
        <f t="shared" si="2"/>
        <v>0</v>
      </c>
      <c r="D14" s="43">
        <f t="shared" si="2"/>
        <v>0</v>
      </c>
      <c r="E14" s="43">
        <f t="shared" si="2"/>
        <v>0</v>
      </c>
      <c r="F14" s="43">
        <f t="shared" si="2"/>
        <v>0</v>
      </c>
      <c r="G14" s="43">
        <f t="shared" si="2"/>
        <v>0</v>
      </c>
      <c r="H14" s="43">
        <f t="shared" si="2"/>
        <v>0</v>
      </c>
      <c r="I14" s="43">
        <f t="shared" si="2"/>
        <v>0</v>
      </c>
      <c r="J14" s="43">
        <f t="shared" si="2"/>
        <v>0</v>
      </c>
      <c r="K14" s="43">
        <f t="shared" si="2"/>
        <v>0</v>
      </c>
      <c r="L14" s="43">
        <f>L12-L13</f>
        <v>0</v>
      </c>
      <c r="M14" s="43">
        <f>M12-M13</f>
        <v>0</v>
      </c>
    </row>
    <row r="16" spans="1:14" x14ac:dyDescent="0.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</row>
    <row r="19" spans="1:13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</row>
    <row r="20" spans="1:13" x14ac:dyDescent="0.2">
      <c r="A20" s="78"/>
      <c r="B20" s="79">
        <v>43466</v>
      </c>
      <c r="C20" s="79">
        <v>43497</v>
      </c>
      <c r="D20" s="79">
        <v>43525</v>
      </c>
      <c r="E20" s="79">
        <v>43556</v>
      </c>
      <c r="F20" s="79">
        <v>43586</v>
      </c>
      <c r="G20" s="79">
        <v>43617</v>
      </c>
      <c r="H20" s="79">
        <v>43647</v>
      </c>
      <c r="I20" s="79">
        <v>43678</v>
      </c>
      <c r="J20" s="79">
        <v>43709</v>
      </c>
      <c r="K20" s="79">
        <v>43739</v>
      </c>
      <c r="L20" s="79">
        <v>43770</v>
      </c>
      <c r="M20" s="79">
        <v>43800</v>
      </c>
    </row>
    <row r="21" spans="1:13" x14ac:dyDescent="0.2">
      <c r="A21" s="7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10</v>
      </c>
      <c r="F21" s="42">
        <f t="shared" si="3"/>
        <v>10</v>
      </c>
      <c r="G21" s="42">
        <f t="shared" si="3"/>
        <v>10</v>
      </c>
      <c r="H21" s="42">
        <f t="shared" si="3"/>
        <v>10</v>
      </c>
      <c r="I21" s="42">
        <f t="shared" si="3"/>
        <v>10</v>
      </c>
      <c r="J21" s="42">
        <f t="shared" si="3"/>
        <v>10</v>
      </c>
      <c r="K21" s="42">
        <f>J32</f>
        <v>10</v>
      </c>
      <c r="L21" s="42">
        <f t="shared" si="3"/>
        <v>10</v>
      </c>
      <c r="M21" s="42">
        <f t="shared" si="3"/>
        <v>10</v>
      </c>
    </row>
    <row r="22" spans="1:13" x14ac:dyDescent="0.2">
      <c r="A22" s="7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</v>
      </c>
      <c r="B23" s="42">
        <v>550</v>
      </c>
      <c r="C23" s="42">
        <v>705</v>
      </c>
      <c r="D23" s="42">
        <v>705</v>
      </c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4</v>
      </c>
      <c r="B24" s="42">
        <v>400</v>
      </c>
      <c r="C24" s="42">
        <v>505</v>
      </c>
      <c r="D24" s="42">
        <v>505</v>
      </c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5</v>
      </c>
      <c r="B29" s="42">
        <v>800</v>
      </c>
      <c r="C29" s="42">
        <v>1000</v>
      </c>
      <c r="D29" s="42">
        <v>1000</v>
      </c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6</v>
      </c>
      <c r="B30" s="43">
        <f t="shared" ref="B30:M30" si="4">SUM(B21:B29)</f>
        <v>1750</v>
      </c>
      <c r="C30" s="43">
        <f t="shared" si="4"/>
        <v>2210</v>
      </c>
      <c r="D30" s="43">
        <f t="shared" si="4"/>
        <v>2210</v>
      </c>
      <c r="E30" s="43">
        <f t="shared" si="4"/>
        <v>10</v>
      </c>
      <c r="F30" s="43">
        <f t="shared" si="4"/>
        <v>10</v>
      </c>
      <c r="G30" s="43">
        <f t="shared" si="4"/>
        <v>10</v>
      </c>
      <c r="H30" s="43">
        <f t="shared" si="4"/>
        <v>10</v>
      </c>
      <c r="I30" s="43">
        <f t="shared" si="4"/>
        <v>10</v>
      </c>
      <c r="J30" s="43">
        <f t="shared" si="4"/>
        <v>10</v>
      </c>
      <c r="K30" s="43">
        <f t="shared" si="4"/>
        <v>10</v>
      </c>
      <c r="L30" s="43">
        <f t="shared" si="4"/>
        <v>10</v>
      </c>
      <c r="M30" s="43">
        <f t="shared" si="4"/>
        <v>10</v>
      </c>
    </row>
    <row r="31" spans="1:13" x14ac:dyDescent="0.2">
      <c r="A31" s="78" t="s">
        <v>7</v>
      </c>
      <c r="B31" s="44">
        <v>1750</v>
      </c>
      <c r="C31" s="44">
        <v>2210</v>
      </c>
      <c r="D31" s="44">
        <v>2200</v>
      </c>
      <c r="E31" s="44"/>
      <c r="F31" s="44"/>
      <c r="G31" s="44"/>
      <c r="H31" s="44"/>
      <c r="I31" s="44"/>
      <c r="J31" s="44"/>
      <c r="K31" s="44"/>
      <c r="L31" s="44"/>
      <c r="M31" s="44"/>
    </row>
    <row r="32" spans="1:13" x14ac:dyDescent="0.2">
      <c r="A32" s="78" t="s">
        <v>111</v>
      </c>
      <c r="B32" s="43">
        <f t="shared" ref="B32:K32" si="5">B30-B31</f>
        <v>0</v>
      </c>
      <c r="C32" s="43"/>
      <c r="D32" s="43">
        <f t="shared" si="5"/>
        <v>10</v>
      </c>
      <c r="E32" s="43">
        <f t="shared" si="5"/>
        <v>10</v>
      </c>
      <c r="F32" s="43">
        <f t="shared" si="5"/>
        <v>10</v>
      </c>
      <c r="G32" s="43">
        <f t="shared" si="5"/>
        <v>10</v>
      </c>
      <c r="H32" s="43">
        <f t="shared" si="5"/>
        <v>10</v>
      </c>
      <c r="I32" s="43">
        <f t="shared" si="5"/>
        <v>10</v>
      </c>
      <c r="J32" s="43">
        <f t="shared" si="5"/>
        <v>10</v>
      </c>
      <c r="K32" s="43">
        <f t="shared" si="5"/>
        <v>10</v>
      </c>
      <c r="L32" s="43">
        <f>L30-L31</f>
        <v>10</v>
      </c>
      <c r="M32" s="43">
        <f>M30-M31</f>
        <v>10</v>
      </c>
    </row>
    <row r="33" spans="1:13" x14ac:dyDescent="0.2">
      <c r="A33" s="78"/>
      <c r="B33" s="78"/>
      <c r="C33" s="78"/>
      <c r="D33" s="149">
        <v>43532</v>
      </c>
      <c r="E33" s="149">
        <v>42860</v>
      </c>
      <c r="F33" s="78"/>
      <c r="G33" s="78"/>
      <c r="H33" s="78"/>
      <c r="I33" s="78"/>
      <c r="J33" s="78"/>
      <c r="K33" s="149">
        <v>43048</v>
      </c>
      <c r="L33" s="78"/>
      <c r="M33" s="78"/>
    </row>
    <row r="34" spans="1:13" x14ac:dyDescent="0.2">
      <c r="E34">
        <v>1500</v>
      </c>
    </row>
  </sheetData>
  <pageMargins left="0.7" right="0.7" top="0.75" bottom="0.75" header="0.3" footer="0.3"/>
  <pageSetup paperSize="9"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4"/>
  <dimension ref="A1:N61"/>
  <sheetViews>
    <sheetView showGridLines="0" topLeftCell="A21" workbookViewId="0">
      <selection activeCell="F32" sqref="F32"/>
    </sheetView>
  </sheetViews>
  <sheetFormatPr baseColWidth="10" defaultRowHeight="20.25" x14ac:dyDescent="0.3"/>
  <cols>
    <col min="1" max="1" width="31.28515625" style="2" customWidth="1"/>
    <col min="2" max="2" width="12.140625" style="2" customWidth="1"/>
    <col min="3" max="3" width="12" style="2" customWidth="1"/>
    <col min="4" max="4" width="11" style="2" bestFit="1" customWidth="1"/>
    <col min="5" max="5" width="10.85546875" style="2" bestFit="1" customWidth="1"/>
    <col min="6" max="6" width="11.42578125" style="2"/>
    <col min="7" max="7" width="11.140625" style="2" bestFit="1" customWidth="1"/>
    <col min="8" max="8" width="10.28515625" style="2" bestFit="1" customWidth="1"/>
    <col min="9" max="9" width="11.5703125" style="2" bestFit="1" customWidth="1"/>
    <col min="10" max="10" width="11.28515625" style="2" bestFit="1" customWidth="1"/>
    <col min="11" max="12" width="11.42578125" style="2"/>
    <col min="13" max="13" width="12.5703125" style="2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77</v>
      </c>
      <c r="C2" s="216"/>
      <c r="D2" s="216"/>
      <c r="E2" s="216"/>
      <c r="F2" s="216"/>
      <c r="G2" s="216"/>
    </row>
    <row r="6" spans="1:13" x14ac:dyDescent="0.3">
      <c r="A6" s="81"/>
      <c r="B6" s="82">
        <v>45658</v>
      </c>
      <c r="C6" s="82">
        <v>45689</v>
      </c>
      <c r="D6" s="82">
        <v>45717</v>
      </c>
      <c r="E6" s="82">
        <v>45748</v>
      </c>
      <c r="F6" s="82">
        <v>45778</v>
      </c>
      <c r="G6" s="82">
        <v>45809</v>
      </c>
      <c r="H6" s="82">
        <v>45839</v>
      </c>
      <c r="I6" s="82">
        <v>45870</v>
      </c>
      <c r="J6" s="82">
        <v>45901</v>
      </c>
      <c r="K6" s="82">
        <v>45931</v>
      </c>
      <c r="L6" s="82">
        <v>45962</v>
      </c>
      <c r="M6" s="82">
        <v>45992</v>
      </c>
    </row>
    <row r="7" spans="1:13" x14ac:dyDescent="0.3">
      <c r="A7" s="78" t="s">
        <v>110</v>
      </c>
      <c r="B7" s="42"/>
      <c r="C7" s="42">
        <f t="shared" ref="C7:M7" si="0">B18</f>
        <v>0</v>
      </c>
      <c r="D7" s="42">
        <f t="shared" si="0"/>
        <v>5500</v>
      </c>
      <c r="E7" s="42">
        <f t="shared" si="0"/>
        <v>0</v>
      </c>
      <c r="F7" s="42">
        <f t="shared" si="0"/>
        <v>5500</v>
      </c>
      <c r="G7" s="42">
        <f t="shared" si="0"/>
        <v>12000</v>
      </c>
      <c r="H7" s="42">
        <f t="shared" si="0"/>
        <v>0</v>
      </c>
      <c r="I7" s="42">
        <f t="shared" si="0"/>
        <v>0</v>
      </c>
      <c r="J7" s="42">
        <f t="shared" si="0"/>
        <v>6000</v>
      </c>
      <c r="K7" s="42">
        <f t="shared" si="0"/>
        <v>3000</v>
      </c>
      <c r="L7" s="42">
        <f t="shared" si="0"/>
        <v>0</v>
      </c>
      <c r="M7" s="42">
        <f t="shared" si="0"/>
        <v>0</v>
      </c>
    </row>
    <row r="8" spans="1:13" x14ac:dyDescent="0.3">
      <c r="A8" s="78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78" t="s">
        <v>3</v>
      </c>
      <c r="B9" s="42">
        <v>2500</v>
      </c>
      <c r="C9" s="42">
        <v>2500</v>
      </c>
      <c r="D9" s="42">
        <v>2500</v>
      </c>
      <c r="E9" s="42">
        <v>2500</v>
      </c>
      <c r="F9" s="42">
        <v>3500</v>
      </c>
      <c r="G9" s="42">
        <v>3500</v>
      </c>
      <c r="H9" s="42">
        <v>6500</v>
      </c>
      <c r="I9" s="42">
        <v>3000</v>
      </c>
      <c r="J9" s="42">
        <v>6000</v>
      </c>
      <c r="K9" s="42">
        <v>6000</v>
      </c>
      <c r="L9" s="42">
        <v>6000</v>
      </c>
      <c r="M9" s="42">
        <v>6000</v>
      </c>
    </row>
    <row r="10" spans="1:13" x14ac:dyDescent="0.3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78" t="s">
        <v>338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78" t="s">
        <v>337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78" t="s">
        <v>74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78" t="s">
        <v>75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78" t="s">
        <v>5</v>
      </c>
      <c r="B15" s="42">
        <v>3000</v>
      </c>
      <c r="C15" s="42">
        <v>3000</v>
      </c>
      <c r="D15" s="42">
        <v>3000</v>
      </c>
      <c r="E15" s="42">
        <v>3000</v>
      </c>
      <c r="F15" s="42">
        <v>3000</v>
      </c>
      <c r="G15" s="42">
        <v>3000</v>
      </c>
      <c r="H15" s="42">
        <v>3000</v>
      </c>
      <c r="I15" s="42">
        <v>3000</v>
      </c>
      <c r="J15" s="42">
        <v>3000</v>
      </c>
      <c r="K15" s="42">
        <v>3000</v>
      </c>
      <c r="L15" s="42">
        <v>6000</v>
      </c>
      <c r="M15" s="42">
        <v>6000</v>
      </c>
    </row>
    <row r="16" spans="1:13" x14ac:dyDescent="0.3">
      <c r="A16" s="78" t="s">
        <v>6</v>
      </c>
      <c r="B16" s="43">
        <f t="shared" ref="B16:M16" si="1">SUM(B7:B15)</f>
        <v>5500</v>
      </c>
      <c r="C16" s="43">
        <f t="shared" si="1"/>
        <v>5500</v>
      </c>
      <c r="D16" s="43">
        <f t="shared" si="1"/>
        <v>11000</v>
      </c>
      <c r="E16" s="43">
        <f t="shared" si="1"/>
        <v>5500</v>
      </c>
      <c r="F16" s="43">
        <f t="shared" si="1"/>
        <v>12000</v>
      </c>
      <c r="G16" s="43">
        <f t="shared" si="1"/>
        <v>18500</v>
      </c>
      <c r="H16" s="43">
        <f t="shared" si="1"/>
        <v>9500</v>
      </c>
      <c r="I16" s="43">
        <f t="shared" si="1"/>
        <v>6000</v>
      </c>
      <c r="J16" s="43">
        <f t="shared" si="1"/>
        <v>15000</v>
      </c>
      <c r="K16" s="43">
        <f t="shared" si="1"/>
        <v>12000</v>
      </c>
      <c r="L16" s="43">
        <f t="shared" si="1"/>
        <v>12000</v>
      </c>
      <c r="M16" s="43">
        <f t="shared" si="1"/>
        <v>12000</v>
      </c>
    </row>
    <row r="17" spans="1:14" ht="21" thickBot="1" x14ac:dyDescent="0.35">
      <c r="A17" s="78"/>
      <c r="B17" s="44">
        <v>5500</v>
      </c>
      <c r="C17" s="44"/>
      <c r="D17" s="44">
        <v>11000</v>
      </c>
      <c r="E17" s="44"/>
      <c r="F17" s="44"/>
      <c r="G17" s="44">
        <v>18500</v>
      </c>
      <c r="H17" s="44">
        <v>9500</v>
      </c>
      <c r="I17" s="44"/>
      <c r="J17" s="44">
        <v>12000</v>
      </c>
      <c r="K17" s="44">
        <v>12000</v>
      </c>
      <c r="L17" s="44">
        <v>12000</v>
      </c>
      <c r="M17" s="44"/>
    </row>
    <row r="18" spans="1:14" ht="21" thickBot="1" x14ac:dyDescent="0.35">
      <c r="A18" s="78" t="s">
        <v>111</v>
      </c>
      <c r="B18" s="45">
        <f t="shared" ref="B18:M18" si="2">B16-B17</f>
        <v>0</v>
      </c>
      <c r="C18" s="46">
        <f t="shared" si="2"/>
        <v>5500</v>
      </c>
      <c r="D18" s="46">
        <f t="shared" si="2"/>
        <v>0</v>
      </c>
      <c r="E18" s="46">
        <f t="shared" si="2"/>
        <v>5500</v>
      </c>
      <c r="F18" s="46">
        <f t="shared" si="2"/>
        <v>12000</v>
      </c>
      <c r="G18" s="46">
        <f t="shared" si="2"/>
        <v>0</v>
      </c>
      <c r="H18" s="46">
        <f t="shared" si="2"/>
        <v>0</v>
      </c>
      <c r="I18" s="46">
        <f t="shared" si="2"/>
        <v>6000</v>
      </c>
      <c r="J18" s="46">
        <f t="shared" si="2"/>
        <v>3000</v>
      </c>
      <c r="K18" s="46">
        <f t="shared" si="2"/>
        <v>0</v>
      </c>
      <c r="L18" s="46">
        <f t="shared" si="2"/>
        <v>0</v>
      </c>
      <c r="M18" s="47">
        <f t="shared" si="2"/>
        <v>12000</v>
      </c>
    </row>
    <row r="19" spans="1:14" x14ac:dyDescent="0.3">
      <c r="C19" s="125">
        <v>44259</v>
      </c>
    </row>
    <row r="22" spans="1:14" x14ac:dyDescent="0.3">
      <c r="A22" s="81"/>
      <c r="B22" s="82">
        <v>46023</v>
      </c>
      <c r="C22" s="82">
        <v>46054</v>
      </c>
      <c r="D22" s="82">
        <v>46082</v>
      </c>
      <c r="E22" s="82">
        <v>46113</v>
      </c>
      <c r="F22" s="82">
        <v>46143</v>
      </c>
      <c r="G22" s="82">
        <v>46174</v>
      </c>
      <c r="H22" s="82">
        <v>46204</v>
      </c>
      <c r="I22" s="82">
        <v>46235</v>
      </c>
      <c r="J22" s="82">
        <v>46266</v>
      </c>
      <c r="K22" s="82">
        <v>46296</v>
      </c>
      <c r="L22" s="82">
        <v>46327</v>
      </c>
      <c r="M22" s="82">
        <v>46357</v>
      </c>
    </row>
    <row r="23" spans="1:14" x14ac:dyDescent="0.3">
      <c r="A23" s="78" t="s">
        <v>110</v>
      </c>
      <c r="B23" s="42">
        <v>12000</v>
      </c>
      <c r="C23" s="42">
        <f t="shared" ref="C23:M23" si="3">B34</f>
        <v>0</v>
      </c>
      <c r="D23" s="42">
        <f t="shared" si="3"/>
        <v>0</v>
      </c>
      <c r="E23" s="42">
        <f t="shared" si="3"/>
        <v>0</v>
      </c>
      <c r="F23" s="42">
        <f t="shared" si="3"/>
        <v>0</v>
      </c>
      <c r="G23" s="42">
        <f t="shared" si="3"/>
        <v>22000</v>
      </c>
      <c r="H23" s="42">
        <f t="shared" si="3"/>
        <v>22000</v>
      </c>
      <c r="I23" s="42">
        <f t="shared" si="3"/>
        <v>22000</v>
      </c>
      <c r="J23" s="42">
        <f t="shared" si="3"/>
        <v>22000</v>
      </c>
      <c r="K23" s="42">
        <f t="shared" si="3"/>
        <v>22000</v>
      </c>
      <c r="L23" s="42">
        <f t="shared" si="3"/>
        <v>22000</v>
      </c>
      <c r="M23" s="42">
        <f t="shared" si="3"/>
        <v>22000</v>
      </c>
    </row>
    <row r="24" spans="1:14" x14ac:dyDescent="0.3">
      <c r="A24" s="78" t="s">
        <v>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4" x14ac:dyDescent="0.3">
      <c r="A25" s="78" t="s">
        <v>3</v>
      </c>
      <c r="B25" s="42">
        <v>6000</v>
      </c>
      <c r="C25" s="42">
        <v>7350</v>
      </c>
      <c r="D25" s="42">
        <v>7530</v>
      </c>
      <c r="E25" s="42">
        <v>7530</v>
      </c>
      <c r="F25" s="42">
        <v>7000</v>
      </c>
      <c r="G25" s="42"/>
      <c r="H25" s="42"/>
      <c r="I25" s="42"/>
      <c r="J25" s="42"/>
      <c r="K25" s="42"/>
      <c r="L25" s="42"/>
      <c r="M25" s="42"/>
    </row>
    <row r="26" spans="1:14" x14ac:dyDescent="0.3">
      <c r="A26" s="78" t="s">
        <v>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x14ac:dyDescent="0.3">
      <c r="A27" s="78" t="s">
        <v>332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4" x14ac:dyDescent="0.3">
      <c r="A28" s="78" t="s">
        <v>778</v>
      </c>
      <c r="B28" s="42">
        <v>5000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4" x14ac:dyDescent="0.3">
      <c r="A29" s="78" t="s">
        <v>74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4" x14ac:dyDescent="0.3">
      <c r="A30" s="78" t="s">
        <v>455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4" x14ac:dyDescent="0.3">
      <c r="A31" s="78" t="s">
        <v>5</v>
      </c>
      <c r="B31" s="42">
        <v>10000</v>
      </c>
      <c r="C31" s="42">
        <v>10000</v>
      </c>
      <c r="D31" s="42">
        <v>15000</v>
      </c>
      <c r="E31" s="42">
        <v>15000</v>
      </c>
      <c r="F31" s="42">
        <v>15000</v>
      </c>
      <c r="G31" s="42"/>
      <c r="H31" s="42"/>
      <c r="I31" s="42"/>
      <c r="J31" s="42"/>
      <c r="K31" s="42"/>
      <c r="L31" s="42"/>
      <c r="M31" s="42"/>
    </row>
    <row r="32" spans="1:14" x14ac:dyDescent="0.3">
      <c r="A32" s="78" t="s">
        <v>6</v>
      </c>
      <c r="B32" s="43">
        <f t="shared" ref="B32:M32" si="4">SUM(B23:B31)</f>
        <v>33000</v>
      </c>
      <c r="C32" s="43">
        <f t="shared" si="4"/>
        <v>17350</v>
      </c>
      <c r="D32" s="43">
        <f t="shared" si="4"/>
        <v>22530</v>
      </c>
      <c r="E32" s="43">
        <f t="shared" si="4"/>
        <v>22530</v>
      </c>
      <c r="F32" s="43">
        <f t="shared" si="4"/>
        <v>22000</v>
      </c>
      <c r="G32" s="43">
        <f t="shared" si="4"/>
        <v>22000</v>
      </c>
      <c r="H32" s="43">
        <f t="shared" si="4"/>
        <v>22000</v>
      </c>
      <c r="I32" s="43">
        <f t="shared" si="4"/>
        <v>22000</v>
      </c>
      <c r="J32" s="43">
        <f t="shared" si="4"/>
        <v>22000</v>
      </c>
      <c r="K32" s="43">
        <f t="shared" si="4"/>
        <v>22000</v>
      </c>
      <c r="L32" s="43">
        <f t="shared" si="4"/>
        <v>22000</v>
      </c>
      <c r="M32" s="43">
        <f t="shared" si="4"/>
        <v>22000</v>
      </c>
      <c r="N32" s="43"/>
    </row>
    <row r="33" spans="1:13" ht="21" thickBot="1" x14ac:dyDescent="0.35">
      <c r="A33" s="78" t="s">
        <v>7</v>
      </c>
      <c r="B33" s="44">
        <v>33000</v>
      </c>
      <c r="C33" s="44">
        <v>17350</v>
      </c>
      <c r="D33" s="44">
        <v>22530</v>
      </c>
      <c r="E33" s="44">
        <v>22530</v>
      </c>
      <c r="F33" s="44"/>
      <c r="G33" s="44"/>
      <c r="H33" s="44"/>
      <c r="I33" s="44"/>
      <c r="J33" s="44"/>
      <c r="K33" s="44"/>
      <c r="L33" s="44"/>
      <c r="M33" s="44"/>
    </row>
    <row r="34" spans="1:13" ht="21" thickBot="1" x14ac:dyDescent="0.35">
      <c r="A34" s="78" t="s">
        <v>111</v>
      </c>
      <c r="B34" s="45">
        <f t="shared" ref="B34:M34" si="5">B32-B33</f>
        <v>0</v>
      </c>
      <c r="C34" s="46">
        <f t="shared" si="5"/>
        <v>0</v>
      </c>
      <c r="D34" s="46">
        <f t="shared" si="5"/>
        <v>0</v>
      </c>
      <c r="E34" s="46">
        <f t="shared" si="5"/>
        <v>0</v>
      </c>
      <c r="F34" s="46">
        <f t="shared" si="5"/>
        <v>22000</v>
      </c>
      <c r="G34" s="46">
        <f t="shared" si="5"/>
        <v>22000</v>
      </c>
      <c r="H34" s="46">
        <f t="shared" si="5"/>
        <v>22000</v>
      </c>
      <c r="I34" s="46">
        <f t="shared" si="5"/>
        <v>22000</v>
      </c>
      <c r="J34" s="46">
        <f t="shared" si="5"/>
        <v>22000</v>
      </c>
      <c r="K34" s="46">
        <f t="shared" si="5"/>
        <v>22000</v>
      </c>
      <c r="L34" s="46">
        <f t="shared" si="5"/>
        <v>22000</v>
      </c>
      <c r="M34" s="47">
        <f t="shared" si="5"/>
        <v>22000</v>
      </c>
    </row>
    <row r="35" spans="1:13" x14ac:dyDescent="0.3">
      <c r="B35" s="125">
        <v>46051</v>
      </c>
    </row>
    <row r="40" spans="1:13" x14ac:dyDescent="0.3">
      <c r="A40" s="33"/>
      <c r="B40" s="34">
        <v>43101</v>
      </c>
      <c r="C40" s="34">
        <v>43132</v>
      </c>
      <c r="D40" s="34">
        <v>43160</v>
      </c>
      <c r="E40" s="34">
        <v>43191</v>
      </c>
      <c r="F40" s="34">
        <v>43221</v>
      </c>
      <c r="G40" s="34">
        <v>43252</v>
      </c>
      <c r="H40" s="34">
        <v>43282</v>
      </c>
      <c r="I40" s="34">
        <v>43313</v>
      </c>
      <c r="J40" s="34">
        <v>43344</v>
      </c>
      <c r="K40" s="34">
        <v>43374</v>
      </c>
      <c r="L40" s="34">
        <v>43405</v>
      </c>
      <c r="M40" s="34">
        <v>43435</v>
      </c>
    </row>
    <row r="41" spans="1:13" x14ac:dyDescent="0.3">
      <c r="A41" s="8" t="s">
        <v>110</v>
      </c>
      <c r="B41" s="42"/>
      <c r="C41" s="42">
        <f t="shared" ref="C41:M41" si="6">B52</f>
        <v>432</v>
      </c>
      <c r="D41" s="42">
        <f t="shared" si="6"/>
        <v>0</v>
      </c>
      <c r="E41" s="42">
        <f t="shared" si="6"/>
        <v>0</v>
      </c>
      <c r="F41" s="42">
        <f t="shared" si="6"/>
        <v>10</v>
      </c>
      <c r="G41" s="42">
        <f t="shared" si="6"/>
        <v>0</v>
      </c>
      <c r="H41" s="42">
        <f t="shared" si="6"/>
        <v>0</v>
      </c>
      <c r="I41" s="42">
        <f t="shared" si="6"/>
        <v>0</v>
      </c>
      <c r="J41" s="42">
        <f t="shared" si="6"/>
        <v>-100</v>
      </c>
      <c r="K41" s="42">
        <f t="shared" si="6"/>
        <v>-180</v>
      </c>
      <c r="L41" s="42">
        <f t="shared" si="6"/>
        <v>0</v>
      </c>
      <c r="M41" s="42">
        <f t="shared" si="6"/>
        <v>180</v>
      </c>
    </row>
    <row r="42" spans="1:13" x14ac:dyDescent="0.3">
      <c r="A42" s="8" t="s">
        <v>2</v>
      </c>
      <c r="B42" s="42">
        <v>432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8" t="s">
        <v>3</v>
      </c>
      <c r="B43" s="42">
        <v>308</v>
      </c>
      <c r="C43" s="42">
        <v>308</v>
      </c>
      <c r="D43" s="42">
        <v>308</v>
      </c>
      <c r="E43" s="42">
        <v>310</v>
      </c>
      <c r="F43" s="42">
        <v>290</v>
      </c>
      <c r="G43" s="42"/>
      <c r="H43" s="42"/>
      <c r="I43" s="42"/>
      <c r="J43" s="42"/>
      <c r="K43" s="42"/>
      <c r="L43" s="42"/>
      <c r="M43" s="42"/>
    </row>
    <row r="44" spans="1:13" x14ac:dyDescent="0.3">
      <c r="A44" s="8" t="s">
        <v>4</v>
      </c>
      <c r="B44" s="42"/>
      <c r="C44" s="42"/>
      <c r="D44" s="42"/>
      <c r="E44" s="42"/>
      <c r="F44" s="42"/>
      <c r="G44" s="42"/>
      <c r="H44" s="42"/>
      <c r="I44" s="42">
        <v>350</v>
      </c>
      <c r="J44" s="42">
        <v>370</v>
      </c>
      <c r="K44" s="42">
        <v>380</v>
      </c>
      <c r="L44" s="42">
        <v>380</v>
      </c>
      <c r="M44" s="42">
        <v>380</v>
      </c>
    </row>
    <row r="45" spans="1:13" x14ac:dyDescent="0.3">
      <c r="A45" s="8" t="s">
        <v>338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8" t="s">
        <v>337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3">
      <c r="A47" s="8" t="s">
        <v>74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3">
      <c r="A48" s="8" t="s">
        <v>75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3">
      <c r="A49" s="8" t="s">
        <v>5</v>
      </c>
      <c r="B49" s="42">
        <v>500</v>
      </c>
      <c r="C49" s="42">
        <v>500</v>
      </c>
      <c r="D49" s="42">
        <v>500</v>
      </c>
      <c r="E49" s="42">
        <v>500</v>
      </c>
      <c r="F49" s="42">
        <v>500</v>
      </c>
      <c r="G49" s="42">
        <v>500</v>
      </c>
      <c r="H49" s="42">
        <v>500</v>
      </c>
      <c r="I49" s="42">
        <v>400</v>
      </c>
      <c r="J49" s="42">
        <v>400</v>
      </c>
      <c r="K49" s="42">
        <v>500</v>
      </c>
      <c r="L49" s="42">
        <v>500</v>
      </c>
      <c r="M49" s="42">
        <v>500</v>
      </c>
    </row>
    <row r="50" spans="1:13" x14ac:dyDescent="0.3">
      <c r="A50" s="8" t="s">
        <v>6</v>
      </c>
      <c r="B50" s="43">
        <f>SUM(B41:B49)</f>
        <v>1240</v>
      </c>
      <c r="C50" s="43">
        <f>SUM(C41:C49)</f>
        <v>1240</v>
      </c>
      <c r="D50" s="43">
        <f>SUM(D41:D49)</f>
        <v>808</v>
      </c>
      <c r="E50" s="43">
        <f>SUM(E41:E49)</f>
        <v>810</v>
      </c>
      <c r="F50" s="43">
        <f t="shared" ref="F50:M50" si="7">SUM(F41:F49)</f>
        <v>800</v>
      </c>
      <c r="G50" s="43">
        <f t="shared" si="7"/>
        <v>500</v>
      </c>
      <c r="H50" s="43">
        <f t="shared" si="7"/>
        <v>500</v>
      </c>
      <c r="I50" s="43">
        <f t="shared" si="7"/>
        <v>750</v>
      </c>
      <c r="J50" s="43">
        <f t="shared" si="7"/>
        <v>670</v>
      </c>
      <c r="K50" s="43">
        <f t="shared" si="7"/>
        <v>700</v>
      </c>
      <c r="L50" s="43">
        <f t="shared" si="7"/>
        <v>880</v>
      </c>
      <c r="M50" s="43">
        <f t="shared" si="7"/>
        <v>1060</v>
      </c>
    </row>
    <row r="51" spans="1:13" ht="21" thickBot="1" x14ac:dyDescent="0.35">
      <c r="A51" s="8" t="s">
        <v>7</v>
      </c>
      <c r="B51" s="44">
        <v>808</v>
      </c>
      <c r="C51" s="44">
        <v>1240</v>
      </c>
      <c r="D51" s="44">
        <v>808</v>
      </c>
      <c r="E51" s="44">
        <v>800</v>
      </c>
      <c r="F51" s="44">
        <v>800</v>
      </c>
      <c r="G51" s="44">
        <v>500</v>
      </c>
      <c r="H51" s="44">
        <v>500</v>
      </c>
      <c r="I51" s="44">
        <v>850</v>
      </c>
      <c r="J51" s="44">
        <v>850</v>
      </c>
      <c r="K51" s="44">
        <v>700</v>
      </c>
      <c r="L51" s="44">
        <v>700</v>
      </c>
      <c r="M51" s="44">
        <v>1060</v>
      </c>
    </row>
    <row r="52" spans="1:13" ht="21" thickBot="1" x14ac:dyDescent="0.35">
      <c r="A52" s="8" t="s">
        <v>111</v>
      </c>
      <c r="B52" s="45">
        <f t="shared" ref="B52:M52" si="8">B50-B51</f>
        <v>432</v>
      </c>
      <c r="C52" s="46">
        <f t="shared" si="8"/>
        <v>0</v>
      </c>
      <c r="D52" s="46">
        <f t="shared" si="8"/>
        <v>0</v>
      </c>
      <c r="E52" s="46">
        <f t="shared" si="8"/>
        <v>10</v>
      </c>
      <c r="F52" s="46">
        <f t="shared" si="8"/>
        <v>0</v>
      </c>
      <c r="G52" s="46">
        <f t="shared" si="8"/>
        <v>0</v>
      </c>
      <c r="H52" s="46">
        <f t="shared" si="8"/>
        <v>0</v>
      </c>
      <c r="I52" s="46">
        <f t="shared" si="8"/>
        <v>-100</v>
      </c>
      <c r="J52" s="46">
        <f t="shared" si="8"/>
        <v>-180</v>
      </c>
      <c r="K52" s="46">
        <f t="shared" si="8"/>
        <v>0</v>
      </c>
      <c r="L52" s="46">
        <f t="shared" si="8"/>
        <v>180</v>
      </c>
      <c r="M52" s="47">
        <f t="shared" si="8"/>
        <v>0</v>
      </c>
    </row>
    <row r="61" spans="1:13" x14ac:dyDescent="0.3">
      <c r="A61" s="2" t="s">
        <v>434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5"/>
  <dimension ref="A3:M30"/>
  <sheetViews>
    <sheetView topLeftCell="A7" workbookViewId="0">
      <selection activeCell="E30" sqref="E30"/>
    </sheetView>
  </sheetViews>
  <sheetFormatPr baseColWidth="10" defaultRowHeight="12.75" x14ac:dyDescent="0.2"/>
  <cols>
    <col min="1" max="1" width="33" customWidth="1"/>
  </cols>
  <sheetData>
    <row r="3" spans="1:13" x14ac:dyDescent="0.2">
      <c r="A3" s="81"/>
      <c r="B3" s="82">
        <v>44197</v>
      </c>
      <c r="C3" s="82">
        <v>44228</v>
      </c>
      <c r="D3" s="82">
        <v>44256</v>
      </c>
      <c r="E3" s="82">
        <v>44287</v>
      </c>
      <c r="F3" s="82">
        <v>44317</v>
      </c>
      <c r="G3" s="82">
        <v>44348</v>
      </c>
      <c r="H3" s="82">
        <v>44378</v>
      </c>
      <c r="I3" s="82">
        <v>44409</v>
      </c>
      <c r="J3" s="82">
        <v>44440</v>
      </c>
      <c r="K3" s="82">
        <v>44470</v>
      </c>
      <c r="L3" s="82">
        <v>44501</v>
      </c>
      <c r="M3" s="82">
        <v>44531</v>
      </c>
    </row>
    <row r="4" spans="1:13" x14ac:dyDescent="0.2">
      <c r="A4" s="78" t="s">
        <v>110</v>
      </c>
      <c r="B4" s="42"/>
      <c r="C4" s="42">
        <f t="shared" ref="C4:M4" si="0">B15</f>
        <v>1268</v>
      </c>
      <c r="D4" s="42">
        <f t="shared" si="0"/>
        <v>0</v>
      </c>
      <c r="E4" s="42">
        <f t="shared" si="0"/>
        <v>0</v>
      </c>
      <c r="F4" s="42">
        <f t="shared" si="0"/>
        <v>1270</v>
      </c>
      <c r="G4" s="42">
        <f t="shared" si="0"/>
        <v>0</v>
      </c>
      <c r="H4" s="42">
        <f t="shared" si="0"/>
        <v>0</v>
      </c>
      <c r="I4" s="42">
        <f t="shared" si="0"/>
        <v>0</v>
      </c>
      <c r="J4" s="42">
        <f t="shared" si="0"/>
        <v>0</v>
      </c>
      <c r="K4" s="42">
        <f t="shared" si="0"/>
        <v>0</v>
      </c>
      <c r="L4" s="42">
        <f t="shared" si="0"/>
        <v>0</v>
      </c>
      <c r="M4" s="42">
        <f t="shared" si="0"/>
        <v>0</v>
      </c>
    </row>
    <row r="5" spans="1:13" x14ac:dyDescent="0.2">
      <c r="A5" s="78" t="s">
        <v>2</v>
      </c>
      <c r="B5" s="42">
        <v>168</v>
      </c>
      <c r="C5" s="42">
        <v>168</v>
      </c>
      <c r="D5" s="42">
        <v>168</v>
      </c>
      <c r="E5" s="42">
        <v>168</v>
      </c>
      <c r="F5" s="42">
        <v>168</v>
      </c>
      <c r="G5" s="42"/>
      <c r="H5" s="42"/>
      <c r="I5" s="42"/>
      <c r="J5" s="42"/>
      <c r="K5" s="42"/>
      <c r="L5" s="42">
        <v>830</v>
      </c>
      <c r="M5" s="42">
        <v>830</v>
      </c>
    </row>
    <row r="6" spans="1:13" x14ac:dyDescent="0.2">
      <c r="A6" s="78" t="s">
        <v>3</v>
      </c>
      <c r="B6" s="42">
        <v>600</v>
      </c>
      <c r="C6" s="42">
        <v>600</v>
      </c>
      <c r="D6" s="42">
        <v>600</v>
      </c>
      <c r="E6" s="42">
        <v>600</v>
      </c>
      <c r="F6" s="42">
        <v>600</v>
      </c>
      <c r="G6" s="42"/>
      <c r="H6" s="42"/>
      <c r="I6" s="42"/>
      <c r="J6" s="42"/>
      <c r="K6" s="42"/>
      <c r="L6" s="42"/>
      <c r="M6" s="42"/>
    </row>
    <row r="7" spans="1:13" x14ac:dyDescent="0.2">
      <c r="A7" s="7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328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329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>
        <v>40</v>
      </c>
      <c r="M11" s="42">
        <v>40</v>
      </c>
    </row>
    <row r="12" spans="1:13" x14ac:dyDescent="0.2">
      <c r="A12" s="78" t="s">
        <v>5</v>
      </c>
      <c r="B12" s="42">
        <v>500</v>
      </c>
      <c r="C12" s="42">
        <v>500</v>
      </c>
      <c r="D12" s="42">
        <v>502</v>
      </c>
      <c r="E12" s="42">
        <v>502</v>
      </c>
      <c r="F12" s="42">
        <v>502</v>
      </c>
      <c r="G12" s="42"/>
      <c r="H12" s="42"/>
      <c r="I12" s="42"/>
      <c r="J12" s="42"/>
      <c r="K12" s="42"/>
      <c r="L12" s="42">
        <v>1000</v>
      </c>
      <c r="M12" s="42">
        <v>1000</v>
      </c>
    </row>
    <row r="13" spans="1:13" x14ac:dyDescent="0.2">
      <c r="A13" s="78" t="s">
        <v>6</v>
      </c>
      <c r="B13" s="43">
        <f t="shared" ref="B13:M13" si="1">SUM(B4:B12)</f>
        <v>1268</v>
      </c>
      <c r="C13" s="43">
        <f t="shared" si="1"/>
        <v>2536</v>
      </c>
      <c r="D13" s="43">
        <f t="shared" si="1"/>
        <v>1270</v>
      </c>
      <c r="E13" s="43">
        <f t="shared" si="1"/>
        <v>1270</v>
      </c>
      <c r="F13" s="43">
        <f t="shared" si="1"/>
        <v>2540</v>
      </c>
      <c r="G13" s="43">
        <f t="shared" si="1"/>
        <v>0</v>
      </c>
      <c r="H13" s="43">
        <f t="shared" si="1"/>
        <v>0</v>
      </c>
      <c r="I13" s="43">
        <f t="shared" si="1"/>
        <v>0</v>
      </c>
      <c r="J13" s="43">
        <f t="shared" si="1"/>
        <v>0</v>
      </c>
      <c r="K13" s="43">
        <f t="shared" si="1"/>
        <v>0</v>
      </c>
      <c r="L13" s="43">
        <f t="shared" si="1"/>
        <v>1870</v>
      </c>
      <c r="M13" s="43">
        <f t="shared" si="1"/>
        <v>1870</v>
      </c>
    </row>
    <row r="14" spans="1:13" ht="13.5" thickBot="1" x14ac:dyDescent="0.25">
      <c r="A14" s="78" t="s">
        <v>7</v>
      </c>
      <c r="B14" s="44"/>
      <c r="C14" s="44">
        <v>2536</v>
      </c>
      <c r="D14" s="44">
        <v>1270</v>
      </c>
      <c r="E14" s="44"/>
      <c r="F14" s="44">
        <v>2540</v>
      </c>
      <c r="G14" s="44"/>
      <c r="H14" s="44"/>
      <c r="I14" s="44"/>
      <c r="J14" s="44"/>
      <c r="K14" s="44"/>
      <c r="L14" s="44">
        <v>1870</v>
      </c>
      <c r="M14" s="44"/>
    </row>
    <row r="15" spans="1:13" ht="13.5" thickBot="1" x14ac:dyDescent="0.25">
      <c r="A15" s="78" t="s">
        <v>111</v>
      </c>
      <c r="B15" s="45">
        <f t="shared" ref="B15:M15" si="2">B13-B14</f>
        <v>1268</v>
      </c>
      <c r="C15" s="46">
        <f t="shared" si="2"/>
        <v>0</v>
      </c>
      <c r="D15" s="46">
        <f t="shared" si="2"/>
        <v>0</v>
      </c>
      <c r="E15" s="46">
        <f t="shared" si="2"/>
        <v>1270</v>
      </c>
      <c r="F15" s="46">
        <f t="shared" si="2"/>
        <v>0</v>
      </c>
      <c r="G15" s="46">
        <f t="shared" si="2"/>
        <v>0</v>
      </c>
      <c r="H15" s="46">
        <f t="shared" si="2"/>
        <v>0</v>
      </c>
      <c r="I15" s="46">
        <f t="shared" si="2"/>
        <v>0</v>
      </c>
      <c r="J15" s="46">
        <f t="shared" si="2"/>
        <v>0</v>
      </c>
      <c r="K15" s="46">
        <f t="shared" si="2"/>
        <v>0</v>
      </c>
      <c r="L15" s="46">
        <f t="shared" si="2"/>
        <v>0</v>
      </c>
      <c r="M15" s="47">
        <f t="shared" si="2"/>
        <v>1870</v>
      </c>
    </row>
    <row r="16" spans="1:13" x14ac:dyDescent="0.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</row>
    <row r="17" spans="1:13" x14ac:dyDescent="0.2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x14ac:dyDescent="0.2">
      <c r="A18" s="81"/>
      <c r="B18" s="82">
        <v>44562</v>
      </c>
      <c r="C18" s="82">
        <v>44593</v>
      </c>
      <c r="D18" s="82">
        <v>44621</v>
      </c>
      <c r="E18" s="82">
        <v>44652</v>
      </c>
      <c r="F18" s="82">
        <v>44682</v>
      </c>
      <c r="G18" s="82">
        <v>44713</v>
      </c>
      <c r="H18" s="82">
        <v>44743</v>
      </c>
      <c r="I18" s="82">
        <v>44774</v>
      </c>
      <c r="J18" s="82">
        <v>44805</v>
      </c>
      <c r="K18" s="82">
        <v>44835</v>
      </c>
      <c r="L18" s="82">
        <v>44866</v>
      </c>
      <c r="M18" s="82">
        <v>44896</v>
      </c>
    </row>
    <row r="19" spans="1:13" x14ac:dyDescent="0.2">
      <c r="A19" s="78" t="s">
        <v>110</v>
      </c>
      <c r="B19" s="42">
        <v>1870</v>
      </c>
      <c r="C19" s="42">
        <f t="shared" ref="C19:M19" si="3">B30</f>
        <v>0</v>
      </c>
      <c r="D19" s="42">
        <f t="shared" si="3"/>
        <v>2130</v>
      </c>
      <c r="E19" s="42">
        <f t="shared" si="3"/>
        <v>4260</v>
      </c>
      <c r="F19" s="42">
        <f t="shared" si="3"/>
        <v>0</v>
      </c>
      <c r="G19" s="42">
        <f t="shared" si="3"/>
        <v>0</v>
      </c>
      <c r="H19" s="42">
        <f t="shared" si="3"/>
        <v>0</v>
      </c>
      <c r="I19" s="42">
        <f t="shared" si="3"/>
        <v>0</v>
      </c>
      <c r="J19" s="42">
        <f t="shared" si="3"/>
        <v>0</v>
      </c>
      <c r="K19" s="42">
        <f t="shared" si="3"/>
        <v>0</v>
      </c>
      <c r="L19" s="42">
        <f t="shared" si="3"/>
        <v>0</v>
      </c>
      <c r="M19" s="42">
        <f t="shared" si="3"/>
        <v>0</v>
      </c>
    </row>
    <row r="20" spans="1:13" x14ac:dyDescent="0.2">
      <c r="A20" s="78" t="s">
        <v>2</v>
      </c>
      <c r="B20" s="42">
        <v>1070</v>
      </c>
      <c r="C20" s="42">
        <v>1070</v>
      </c>
      <c r="D20" s="42">
        <v>1070</v>
      </c>
      <c r="E20" s="42">
        <v>1070</v>
      </c>
      <c r="F20" s="42"/>
      <c r="G20" s="42"/>
      <c r="H20" s="42"/>
      <c r="I20" s="42"/>
      <c r="J20" s="42"/>
      <c r="K20" s="42"/>
      <c r="L20" s="42"/>
      <c r="M20" s="42"/>
    </row>
    <row r="21" spans="1:13" x14ac:dyDescent="0.2">
      <c r="A21" s="78" t="s">
        <v>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2">
      <c r="A22" s="78" t="s">
        <v>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2">
      <c r="A23" s="78" t="s">
        <v>328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2">
      <c r="A24" s="78" t="s">
        <v>329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2">
      <c r="A25" s="78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2">
      <c r="A26" s="78" t="s">
        <v>75</v>
      </c>
      <c r="B26" s="42"/>
      <c r="C26" s="42"/>
      <c r="D26" s="42"/>
      <c r="E26" s="42">
        <v>10</v>
      </c>
      <c r="F26" s="42"/>
      <c r="G26" s="42"/>
      <c r="H26" s="42"/>
      <c r="I26" s="42"/>
      <c r="J26" s="42"/>
      <c r="K26" s="42"/>
      <c r="L26" s="42"/>
      <c r="M26" s="42"/>
    </row>
    <row r="27" spans="1:13" x14ac:dyDescent="0.2">
      <c r="A27" s="78" t="s">
        <v>5</v>
      </c>
      <c r="B27" s="42">
        <v>1030</v>
      </c>
      <c r="C27" s="42">
        <v>1060</v>
      </c>
      <c r="D27" s="42">
        <v>1060</v>
      </c>
      <c r="E27" s="42">
        <v>1060</v>
      </c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6</v>
      </c>
      <c r="B28" s="43">
        <f t="shared" ref="B28:M28" si="4">SUM(B19:B27)</f>
        <v>3970</v>
      </c>
      <c r="C28" s="43">
        <f t="shared" si="4"/>
        <v>2130</v>
      </c>
      <c r="D28" s="43">
        <f t="shared" si="4"/>
        <v>4260</v>
      </c>
      <c r="E28" s="43">
        <f t="shared" si="4"/>
        <v>6400</v>
      </c>
      <c r="F28" s="43">
        <f t="shared" si="4"/>
        <v>0</v>
      </c>
      <c r="G28" s="43">
        <f t="shared" si="4"/>
        <v>0</v>
      </c>
      <c r="H28" s="43">
        <f t="shared" si="4"/>
        <v>0</v>
      </c>
      <c r="I28" s="43">
        <f t="shared" si="4"/>
        <v>0</v>
      </c>
      <c r="J28" s="43">
        <f t="shared" si="4"/>
        <v>0</v>
      </c>
      <c r="K28" s="43">
        <f t="shared" si="4"/>
        <v>0</v>
      </c>
      <c r="L28" s="43">
        <f t="shared" si="4"/>
        <v>0</v>
      </c>
      <c r="M28" s="43">
        <f t="shared" si="4"/>
        <v>0</v>
      </c>
    </row>
    <row r="29" spans="1:13" ht="13.5" thickBot="1" x14ac:dyDescent="0.25">
      <c r="A29" s="78" t="s">
        <v>7</v>
      </c>
      <c r="B29" s="44">
        <v>3970</v>
      </c>
      <c r="C29" s="44"/>
      <c r="D29" s="44"/>
      <c r="E29" s="44">
        <v>6400</v>
      </c>
      <c r="F29" s="44"/>
      <c r="G29" s="44"/>
      <c r="H29" s="44"/>
      <c r="I29" s="44"/>
      <c r="J29" s="44"/>
      <c r="K29" s="44"/>
      <c r="L29" s="44"/>
      <c r="M29" s="44"/>
    </row>
    <row r="30" spans="1:13" ht="13.5" thickBot="1" x14ac:dyDescent="0.25">
      <c r="A30" s="78" t="s">
        <v>111</v>
      </c>
      <c r="B30" s="45">
        <f t="shared" ref="B30:M30" si="5">B28-B29</f>
        <v>0</v>
      </c>
      <c r="C30" s="46">
        <f t="shared" si="5"/>
        <v>2130</v>
      </c>
      <c r="D30" s="46">
        <f t="shared" si="5"/>
        <v>4260</v>
      </c>
      <c r="E30" s="46">
        <f t="shared" si="5"/>
        <v>0</v>
      </c>
      <c r="F30" s="46">
        <f t="shared" si="5"/>
        <v>0</v>
      </c>
      <c r="G30" s="46">
        <f t="shared" si="5"/>
        <v>0</v>
      </c>
      <c r="H30" s="46">
        <f t="shared" si="5"/>
        <v>0</v>
      </c>
      <c r="I30" s="46">
        <f t="shared" si="5"/>
        <v>0</v>
      </c>
      <c r="J30" s="46">
        <f t="shared" si="5"/>
        <v>0</v>
      </c>
      <c r="K30" s="46">
        <f t="shared" si="5"/>
        <v>0</v>
      </c>
      <c r="L30" s="46">
        <f t="shared" si="5"/>
        <v>0</v>
      </c>
      <c r="M30" s="47">
        <f t="shared" si="5"/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6"/>
  <dimension ref="A3:M48"/>
  <sheetViews>
    <sheetView workbookViewId="0"/>
  </sheetViews>
  <sheetFormatPr baseColWidth="10" defaultRowHeight="12.75" x14ac:dyDescent="0.2"/>
  <cols>
    <col min="1" max="1" width="33.5703125" customWidth="1"/>
    <col min="2" max="2" width="12.85546875" bestFit="1" customWidth="1"/>
    <col min="3" max="4" width="13.5703125" customWidth="1"/>
    <col min="5" max="5" width="13.140625" customWidth="1"/>
    <col min="6" max="6" width="13.5703125" customWidth="1"/>
    <col min="7" max="7" width="13.42578125" customWidth="1"/>
    <col min="8" max="8" width="13.5703125" customWidth="1"/>
  </cols>
  <sheetData>
    <row r="3" spans="1:13" ht="15.75" x14ac:dyDescent="0.25">
      <c r="A3" s="31" t="s">
        <v>0</v>
      </c>
      <c r="B3" s="31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x14ac:dyDescent="0.2">
      <c r="A4" s="8"/>
      <c r="B4" s="79">
        <v>45292</v>
      </c>
      <c r="C4" s="79">
        <v>45323</v>
      </c>
      <c r="D4" s="79">
        <v>45352</v>
      </c>
      <c r="E4" s="79">
        <v>45383</v>
      </c>
      <c r="F4" s="79">
        <v>45413</v>
      </c>
      <c r="G4" s="79">
        <v>45444</v>
      </c>
      <c r="H4" s="79">
        <v>45474</v>
      </c>
      <c r="I4" s="79">
        <v>45505</v>
      </c>
      <c r="J4" s="79">
        <v>45536</v>
      </c>
      <c r="K4" s="79">
        <v>45566</v>
      </c>
      <c r="L4" s="79">
        <v>45597</v>
      </c>
      <c r="M4" s="79">
        <v>45627</v>
      </c>
    </row>
    <row r="5" spans="1:13" ht="15" x14ac:dyDescent="0.2">
      <c r="A5" s="8" t="s">
        <v>110</v>
      </c>
      <c r="B5" s="42">
        <v>318800</v>
      </c>
      <c r="C5" s="42">
        <f>B16</f>
        <v>506800</v>
      </c>
      <c r="D5" s="42">
        <f t="shared" ref="D5:M5" si="0">C16</f>
        <v>567100</v>
      </c>
      <c r="E5" s="42">
        <f t="shared" si="0"/>
        <v>0</v>
      </c>
      <c r="F5" s="42">
        <f t="shared" si="0"/>
        <v>143950</v>
      </c>
      <c r="G5" s="42">
        <f t="shared" si="0"/>
        <v>0</v>
      </c>
      <c r="H5" s="42">
        <f t="shared" si="0"/>
        <v>141000</v>
      </c>
      <c r="I5" s="42">
        <f t="shared" si="0"/>
        <v>0</v>
      </c>
      <c r="J5" s="42">
        <f t="shared" si="0"/>
        <v>145000</v>
      </c>
      <c r="K5" s="42">
        <f t="shared" si="0"/>
        <v>320100</v>
      </c>
      <c r="L5" s="42">
        <f t="shared" si="0"/>
        <v>433300</v>
      </c>
      <c r="M5" s="42">
        <f t="shared" si="0"/>
        <v>536300</v>
      </c>
    </row>
    <row r="6" spans="1:13" ht="15" x14ac:dyDescent="0.2">
      <c r="A6" s="8" t="s">
        <v>308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>
        <v>340000</v>
      </c>
    </row>
    <row r="7" spans="1:13" ht="15" x14ac:dyDescent="0.2">
      <c r="A7" s="8" t="s">
        <v>3</v>
      </c>
      <c r="B7" s="42">
        <v>10000</v>
      </c>
      <c r="C7" s="42">
        <v>2300</v>
      </c>
      <c r="D7" s="42">
        <v>1350</v>
      </c>
      <c r="E7" s="42">
        <v>28950</v>
      </c>
      <c r="F7" s="42">
        <v>120000</v>
      </c>
      <c r="G7" s="42">
        <v>43000</v>
      </c>
      <c r="H7" s="42">
        <v>98000</v>
      </c>
      <c r="I7" s="42">
        <v>50000</v>
      </c>
      <c r="J7" s="42">
        <v>87100</v>
      </c>
      <c r="K7" s="42">
        <v>15200</v>
      </c>
      <c r="L7" s="42">
        <v>5000</v>
      </c>
      <c r="M7" s="42"/>
    </row>
    <row r="8" spans="1:13" ht="15" x14ac:dyDescent="0.2">
      <c r="A8" s="8" t="s">
        <v>4</v>
      </c>
      <c r="B8" s="42">
        <v>8000</v>
      </c>
      <c r="C8" s="42">
        <v>8000</v>
      </c>
      <c r="D8" s="42">
        <v>8000</v>
      </c>
      <c r="E8" s="42">
        <v>35000</v>
      </c>
      <c r="F8" s="42">
        <v>30000</v>
      </c>
      <c r="G8" s="42">
        <v>18000</v>
      </c>
      <c r="H8" s="42">
        <v>16000</v>
      </c>
      <c r="I8" s="42">
        <v>15000</v>
      </c>
      <c r="J8" s="42">
        <v>8000</v>
      </c>
      <c r="K8" s="42">
        <v>8000</v>
      </c>
      <c r="L8" s="42">
        <v>8000</v>
      </c>
      <c r="M8" s="42">
        <v>13400</v>
      </c>
    </row>
    <row r="9" spans="1:13" ht="15" x14ac:dyDescent="0.2">
      <c r="A9" s="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75</v>
      </c>
      <c r="B12" s="42">
        <v>120000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5</v>
      </c>
      <c r="B13" s="42">
        <v>50000</v>
      </c>
      <c r="C13" s="42">
        <v>50000</v>
      </c>
      <c r="D13" s="42">
        <v>60000</v>
      </c>
      <c r="E13" s="42">
        <v>80000</v>
      </c>
      <c r="F13" s="42">
        <v>80000</v>
      </c>
      <c r="G13" s="42">
        <v>80000</v>
      </c>
      <c r="H13" s="42">
        <v>80000</v>
      </c>
      <c r="I13" s="42">
        <v>80000</v>
      </c>
      <c r="J13" s="42">
        <v>80000</v>
      </c>
      <c r="K13" s="42">
        <v>90000</v>
      </c>
      <c r="L13" s="42">
        <v>90000</v>
      </c>
      <c r="M13" s="42">
        <v>90000</v>
      </c>
    </row>
    <row r="14" spans="1:13" ht="15" x14ac:dyDescent="0.2">
      <c r="A14" s="8" t="s">
        <v>6</v>
      </c>
      <c r="B14" s="43">
        <f>SUM(B5:B13)</f>
        <v>506800</v>
      </c>
      <c r="C14" s="43">
        <f t="shared" ref="C14:M14" si="1">SUM(C5:C13)</f>
        <v>567100</v>
      </c>
      <c r="D14" s="43">
        <f t="shared" si="1"/>
        <v>636450</v>
      </c>
      <c r="E14" s="43">
        <f t="shared" si="1"/>
        <v>143950</v>
      </c>
      <c r="F14" s="43">
        <f>SUM(F5:F13)</f>
        <v>373950</v>
      </c>
      <c r="G14" s="43">
        <f t="shared" si="1"/>
        <v>141000</v>
      </c>
      <c r="H14" s="43">
        <f t="shared" si="1"/>
        <v>335000</v>
      </c>
      <c r="I14" s="43">
        <f>SUM(I5:I13)</f>
        <v>145000</v>
      </c>
      <c r="J14" s="43">
        <f>SUM(J5:J13)</f>
        <v>320100</v>
      </c>
      <c r="K14" s="43">
        <f>SUM(K5:K13)</f>
        <v>433300</v>
      </c>
      <c r="L14" s="43">
        <f t="shared" si="1"/>
        <v>536300</v>
      </c>
      <c r="M14" s="43">
        <f t="shared" si="1"/>
        <v>979700</v>
      </c>
    </row>
    <row r="15" spans="1:13" ht="15" x14ac:dyDescent="0.2">
      <c r="A15" s="8" t="s">
        <v>7</v>
      </c>
      <c r="B15" s="44"/>
      <c r="C15" s="44"/>
      <c r="D15" s="44">
        <v>636450</v>
      </c>
      <c r="E15" s="44"/>
      <c r="F15" s="44">
        <v>373950</v>
      </c>
      <c r="G15" s="44"/>
      <c r="H15" s="44">
        <v>335000</v>
      </c>
      <c r="I15" s="44"/>
      <c r="J15" s="44"/>
      <c r="K15" s="44"/>
      <c r="L15" s="44"/>
      <c r="M15" s="44"/>
    </row>
    <row r="16" spans="1:13" ht="15" x14ac:dyDescent="0.2">
      <c r="A16" s="8" t="s">
        <v>111</v>
      </c>
      <c r="B16" s="43">
        <f>B14-B15</f>
        <v>506800</v>
      </c>
      <c r="C16" s="43">
        <f>C14-C15</f>
        <v>567100</v>
      </c>
      <c r="D16" s="43">
        <f t="shared" ref="D16:M16" si="2">D14-D15</f>
        <v>0</v>
      </c>
      <c r="E16" s="43">
        <f t="shared" si="2"/>
        <v>143950</v>
      </c>
      <c r="F16" s="43">
        <f t="shared" si="2"/>
        <v>0</v>
      </c>
      <c r="G16" s="43">
        <f t="shared" si="2"/>
        <v>141000</v>
      </c>
      <c r="H16" s="43">
        <f t="shared" si="2"/>
        <v>0</v>
      </c>
      <c r="I16" s="43">
        <f t="shared" si="2"/>
        <v>145000</v>
      </c>
      <c r="J16" s="43">
        <f t="shared" si="2"/>
        <v>320100</v>
      </c>
      <c r="K16" s="43">
        <f t="shared" si="2"/>
        <v>433300</v>
      </c>
      <c r="L16" s="43">
        <f t="shared" si="2"/>
        <v>536300</v>
      </c>
      <c r="M16" s="43">
        <f t="shared" si="2"/>
        <v>979700</v>
      </c>
    </row>
    <row r="21" spans="1:13" ht="15" x14ac:dyDescent="0.2">
      <c r="A21" s="8"/>
      <c r="B21" s="79">
        <v>45658</v>
      </c>
      <c r="C21" s="79">
        <v>45689</v>
      </c>
      <c r="D21" s="79">
        <v>45717</v>
      </c>
      <c r="E21" s="79">
        <v>45748</v>
      </c>
      <c r="F21" s="79">
        <v>45778</v>
      </c>
      <c r="G21" s="79">
        <v>45809</v>
      </c>
      <c r="H21" s="79">
        <v>45839</v>
      </c>
      <c r="I21" s="79">
        <v>45870</v>
      </c>
      <c r="J21" s="79">
        <v>45901</v>
      </c>
      <c r="K21" s="79">
        <v>45931</v>
      </c>
      <c r="L21" s="79">
        <v>45962</v>
      </c>
      <c r="M21" s="79">
        <v>45992</v>
      </c>
    </row>
    <row r="22" spans="1:13" ht="15" x14ac:dyDescent="0.2">
      <c r="A22" s="8" t="s">
        <v>110</v>
      </c>
      <c r="B22" s="42">
        <v>979700</v>
      </c>
      <c r="C22" s="42">
        <f t="shared" ref="C22:M22" si="3">B33</f>
        <v>1094906.24</v>
      </c>
      <c r="D22" s="42">
        <f t="shared" si="3"/>
        <v>1094906.24</v>
      </c>
      <c r="E22" s="42">
        <f t="shared" si="3"/>
        <v>1094906.24</v>
      </c>
      <c r="F22" s="42">
        <f t="shared" si="3"/>
        <v>1094906.24</v>
      </c>
      <c r="G22" s="42">
        <f t="shared" si="3"/>
        <v>1094906.24</v>
      </c>
      <c r="H22" s="42">
        <f t="shared" si="3"/>
        <v>1094906.24</v>
      </c>
      <c r="I22" s="42">
        <f t="shared" si="3"/>
        <v>1094906.24</v>
      </c>
      <c r="J22" s="42">
        <f t="shared" si="3"/>
        <v>1094906.24</v>
      </c>
      <c r="K22" s="42">
        <f t="shared" si="3"/>
        <v>1094906.24</v>
      </c>
      <c r="L22" s="42">
        <f t="shared" si="3"/>
        <v>1094906.24</v>
      </c>
      <c r="M22" s="42">
        <f t="shared" si="3"/>
        <v>1094906.24</v>
      </c>
    </row>
    <row r="23" spans="1:13" ht="15" x14ac:dyDescent="0.2">
      <c r="A23" s="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4</v>
      </c>
      <c r="B25" s="42">
        <v>22206.240000000002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9</v>
      </c>
      <c r="B26" s="42">
        <v>3000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5</v>
      </c>
      <c r="B30" s="42">
        <v>90000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6</v>
      </c>
      <c r="B31" s="43">
        <f t="shared" ref="B31:M31" si="4">SUM(B22:B30)</f>
        <v>1094906.24</v>
      </c>
      <c r="C31" s="43">
        <f t="shared" si="4"/>
        <v>1094906.24</v>
      </c>
      <c r="D31" s="43">
        <f t="shared" si="4"/>
        <v>1094906.24</v>
      </c>
      <c r="E31" s="43">
        <f t="shared" si="4"/>
        <v>1094906.24</v>
      </c>
      <c r="F31" s="43">
        <f t="shared" si="4"/>
        <v>1094906.24</v>
      </c>
      <c r="G31" s="43">
        <f t="shared" si="4"/>
        <v>1094906.24</v>
      </c>
      <c r="H31" s="43">
        <f t="shared" si="4"/>
        <v>1094906.24</v>
      </c>
      <c r="I31" s="43">
        <f t="shared" si="4"/>
        <v>1094906.24</v>
      </c>
      <c r="J31" s="43">
        <f t="shared" si="4"/>
        <v>1094906.24</v>
      </c>
      <c r="K31" s="43">
        <f t="shared" si="4"/>
        <v>1094906.24</v>
      </c>
      <c r="L31" s="43">
        <f t="shared" si="4"/>
        <v>1094906.24</v>
      </c>
      <c r="M31" s="43">
        <f t="shared" si="4"/>
        <v>1094906.24</v>
      </c>
    </row>
    <row r="32" spans="1:13" ht="15" x14ac:dyDescent="0.2">
      <c r="A32" s="8" t="s">
        <v>7</v>
      </c>
      <c r="B32" s="44"/>
      <c r="C32" s="44"/>
      <c r="D32" s="44"/>
      <c r="E32" s="44"/>
      <c r="F32" s="44">
        <v>0</v>
      </c>
      <c r="G32" s="44"/>
      <c r="H32" s="44"/>
      <c r="I32" s="44"/>
      <c r="J32" s="44"/>
      <c r="K32" s="44"/>
      <c r="L32" s="44"/>
      <c r="M32" s="44"/>
    </row>
    <row r="33" spans="1:13" ht="15" x14ac:dyDescent="0.2">
      <c r="A33" s="8" t="s">
        <v>111</v>
      </c>
      <c r="B33" s="43">
        <f>B31-B32</f>
        <v>1094906.24</v>
      </c>
      <c r="C33" s="43">
        <f>C31-C32</f>
        <v>1094906.24</v>
      </c>
      <c r="D33" s="43">
        <f t="shared" ref="D33:M33" si="5">D31-D32</f>
        <v>1094906.24</v>
      </c>
      <c r="E33" s="43">
        <f t="shared" si="5"/>
        <v>1094906.24</v>
      </c>
      <c r="F33" s="43">
        <f t="shared" si="5"/>
        <v>1094906.24</v>
      </c>
      <c r="G33" s="43">
        <f t="shared" si="5"/>
        <v>1094906.24</v>
      </c>
      <c r="H33" s="43">
        <f t="shared" si="5"/>
        <v>1094906.24</v>
      </c>
      <c r="I33" s="43">
        <f t="shared" si="5"/>
        <v>1094906.24</v>
      </c>
      <c r="J33" s="43">
        <f t="shared" si="5"/>
        <v>1094906.24</v>
      </c>
      <c r="K33" s="43">
        <f t="shared" si="5"/>
        <v>1094906.24</v>
      </c>
      <c r="L33" s="43">
        <f t="shared" si="5"/>
        <v>1094906.24</v>
      </c>
      <c r="M33" s="43">
        <f t="shared" si="5"/>
        <v>1094906.24</v>
      </c>
    </row>
    <row r="34" spans="1:13" x14ac:dyDescent="0.2">
      <c r="B34" s="128"/>
      <c r="J34" s="128"/>
    </row>
    <row r="36" spans="1:13" ht="15" x14ac:dyDescent="0.2">
      <c r="A36" s="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</row>
    <row r="37" spans="1:13" ht="15" x14ac:dyDescent="0.2">
      <c r="A37" s="8" t="s">
        <v>110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ht="15" x14ac:dyDescent="0.2">
      <c r="A38" s="8" t="s">
        <v>76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5" x14ac:dyDescent="0.2">
      <c r="A39" s="8" t="s">
        <v>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ht="15" x14ac:dyDescent="0.2">
      <c r="A40" s="8" t="s">
        <v>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15" x14ac:dyDescent="0.2">
      <c r="A41" s="8" t="s">
        <v>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ht="15" x14ac:dyDescent="0.2">
      <c r="A42" s="8" t="s">
        <v>73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ht="15" x14ac:dyDescent="0.2">
      <c r="A43" s="8" t="s">
        <v>74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15" x14ac:dyDescent="0.2">
      <c r="A44" s="8" t="s">
        <v>75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5" x14ac:dyDescent="0.2">
      <c r="A45" s="8" t="s">
        <v>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ht="15" x14ac:dyDescent="0.2">
      <c r="A46" s="8" t="s">
        <v>6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 spans="1:13" ht="15" x14ac:dyDescent="0.2">
      <c r="A47" s="8" t="s">
        <v>7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ht="15" x14ac:dyDescent="0.2">
      <c r="A48" s="8" t="s">
        <v>111</v>
      </c>
      <c r="B48" s="43">
        <f>B46-B47</f>
        <v>0</v>
      </c>
      <c r="C48" s="43">
        <f>C46-C47</f>
        <v>0</v>
      </c>
      <c r="D48" s="43">
        <f t="shared" ref="D48:M48" si="6">D46-D47</f>
        <v>0</v>
      </c>
      <c r="E48" s="43">
        <f t="shared" si="6"/>
        <v>0</v>
      </c>
      <c r="F48" s="43">
        <f t="shared" si="6"/>
        <v>0</v>
      </c>
      <c r="G48" s="43">
        <f t="shared" si="6"/>
        <v>0</v>
      </c>
      <c r="H48" s="43">
        <f t="shared" si="6"/>
        <v>0</v>
      </c>
      <c r="I48" s="43">
        <f t="shared" si="6"/>
        <v>0</v>
      </c>
      <c r="J48" s="43">
        <f t="shared" si="6"/>
        <v>0</v>
      </c>
      <c r="K48" s="43">
        <f t="shared" si="6"/>
        <v>0</v>
      </c>
      <c r="L48" s="43">
        <f t="shared" si="6"/>
        <v>0</v>
      </c>
      <c r="M48" s="43">
        <f t="shared" si="6"/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7"/>
  <dimension ref="A1:M34"/>
  <sheetViews>
    <sheetView topLeftCell="A4" workbookViewId="0">
      <selection activeCell="E17" sqref="E17"/>
    </sheetView>
  </sheetViews>
  <sheetFormatPr baseColWidth="10" defaultRowHeight="20.25" x14ac:dyDescent="0.3"/>
  <cols>
    <col min="1" max="1" width="32.5703125" style="2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1.28515625" style="2" bestFit="1" customWidth="1"/>
    <col min="6" max="6" width="11.42578125" style="2"/>
    <col min="7" max="7" width="11.140625" style="2" bestFit="1" customWidth="1"/>
    <col min="8" max="8" width="11.5703125" style="2" customWidth="1"/>
    <col min="9" max="9" width="11.710937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199</v>
      </c>
      <c r="C2" s="216"/>
      <c r="D2" s="216"/>
      <c r="E2" s="216"/>
      <c r="F2" s="216"/>
      <c r="G2" s="216"/>
      <c r="J2" s="2" t="s">
        <v>324</v>
      </c>
    </row>
    <row r="4" spans="1:13" x14ac:dyDescent="0.3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8"/>
      <c r="B5" s="79">
        <v>46023</v>
      </c>
      <c r="C5" s="79">
        <v>46054</v>
      </c>
      <c r="D5" s="79">
        <v>46082</v>
      </c>
      <c r="E5" s="79">
        <v>46113</v>
      </c>
      <c r="F5" s="79">
        <v>46143</v>
      </c>
      <c r="G5" s="79">
        <v>46174</v>
      </c>
      <c r="H5" s="79">
        <v>46204</v>
      </c>
      <c r="I5" s="79">
        <v>46235</v>
      </c>
      <c r="J5" s="79">
        <v>46266</v>
      </c>
      <c r="K5" s="79">
        <v>46296</v>
      </c>
      <c r="L5" s="79">
        <v>46327</v>
      </c>
      <c r="M5" s="79">
        <v>46357</v>
      </c>
    </row>
    <row r="6" spans="1:13" x14ac:dyDescent="0.3">
      <c r="A6" s="8" t="s">
        <v>110</v>
      </c>
      <c r="B6" s="42"/>
      <c r="C6" s="42">
        <f>B17</f>
        <v>0</v>
      </c>
      <c r="D6" s="42">
        <f t="shared" ref="D6:M6" si="0">C17</f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42">
        <f t="shared" si="0"/>
        <v>0</v>
      </c>
      <c r="J6" s="42">
        <f t="shared" si="0"/>
        <v>0</v>
      </c>
      <c r="K6" s="42">
        <f>J17</f>
        <v>0</v>
      </c>
      <c r="L6" s="42">
        <f t="shared" si="0"/>
        <v>0</v>
      </c>
      <c r="M6" s="42">
        <f t="shared" si="0"/>
        <v>0</v>
      </c>
    </row>
    <row r="7" spans="1:13" x14ac:dyDescent="0.3">
      <c r="A7" s="8" t="s">
        <v>2</v>
      </c>
      <c r="B7" s="42">
        <v>15000</v>
      </c>
      <c r="C7" s="42">
        <v>15000</v>
      </c>
      <c r="D7" s="42">
        <v>15000</v>
      </c>
      <c r="E7" s="42">
        <v>15000</v>
      </c>
      <c r="F7" s="42"/>
      <c r="G7" s="42"/>
      <c r="H7" s="42"/>
      <c r="I7" s="42"/>
      <c r="J7" s="42"/>
      <c r="K7" s="42"/>
      <c r="L7" s="42"/>
      <c r="M7" s="42"/>
    </row>
    <row r="8" spans="1:13" x14ac:dyDescent="0.3">
      <c r="A8" s="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8" t="s">
        <v>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8" t="s">
        <v>6</v>
      </c>
      <c r="B15" s="43">
        <f>SUM(B6:B14)</f>
        <v>15000</v>
      </c>
      <c r="C15" s="43">
        <f t="shared" ref="C15:M15" si="1">SUM(C6:C14)</f>
        <v>15000</v>
      </c>
      <c r="D15" s="43">
        <f t="shared" si="1"/>
        <v>15000</v>
      </c>
      <c r="E15" s="43">
        <f>SUM(E6:E14)</f>
        <v>15000</v>
      </c>
      <c r="F15" s="43">
        <f>SUM(F6:F14)</f>
        <v>0</v>
      </c>
      <c r="G15" s="43">
        <f t="shared" si="1"/>
        <v>0</v>
      </c>
      <c r="H15" s="43">
        <f t="shared" si="1"/>
        <v>0</v>
      </c>
      <c r="I15" s="43">
        <f>SUM(I6:I14)</f>
        <v>0</v>
      </c>
      <c r="J15" s="43">
        <f>SUM(J6:J14)</f>
        <v>0</v>
      </c>
      <c r="K15" s="43">
        <f>SUM(K6:K14)</f>
        <v>0</v>
      </c>
      <c r="L15" s="43">
        <f t="shared" si="1"/>
        <v>0</v>
      </c>
      <c r="M15" s="43">
        <f t="shared" si="1"/>
        <v>0</v>
      </c>
    </row>
    <row r="16" spans="1:13" x14ac:dyDescent="0.3">
      <c r="A16" s="8" t="s">
        <v>7</v>
      </c>
      <c r="B16" s="44">
        <v>15000</v>
      </c>
      <c r="C16" s="44">
        <v>15000</v>
      </c>
      <c r="D16" s="44">
        <v>15000</v>
      </c>
      <c r="E16" s="44">
        <v>15000</v>
      </c>
      <c r="F16" s="44"/>
      <c r="G16" s="44"/>
      <c r="H16" s="44"/>
      <c r="I16" s="44"/>
      <c r="J16" s="44"/>
      <c r="K16" s="44"/>
      <c r="L16" s="44"/>
      <c r="M16" s="44"/>
    </row>
    <row r="17" spans="1:13" x14ac:dyDescent="0.3">
      <c r="A17" s="8" t="s">
        <v>111</v>
      </c>
      <c r="B17" s="43">
        <f>B15-B16</f>
        <v>0</v>
      </c>
      <c r="C17" s="43">
        <f>C15-C16</f>
        <v>0</v>
      </c>
      <c r="D17" s="43">
        <f t="shared" ref="D17:M17" si="2">D15-D16</f>
        <v>0</v>
      </c>
      <c r="E17" s="43">
        <f t="shared" si="2"/>
        <v>0</v>
      </c>
      <c r="F17" s="43">
        <f t="shared" si="2"/>
        <v>0</v>
      </c>
      <c r="G17" s="43">
        <f t="shared" si="2"/>
        <v>0</v>
      </c>
      <c r="H17" s="43">
        <f t="shared" si="2"/>
        <v>0</v>
      </c>
      <c r="I17" s="43">
        <f t="shared" si="2"/>
        <v>0</v>
      </c>
      <c r="J17" s="43">
        <f t="shared" si="2"/>
        <v>0</v>
      </c>
      <c r="K17" s="43">
        <f t="shared" si="2"/>
        <v>0</v>
      </c>
      <c r="L17" s="43">
        <f t="shared" si="2"/>
        <v>0</v>
      </c>
      <c r="M17" s="43">
        <f t="shared" si="2"/>
        <v>0</v>
      </c>
    </row>
    <row r="20" spans="1:13" x14ac:dyDescent="0.3">
      <c r="A20" s="8"/>
      <c r="B20" s="15">
        <v>45658</v>
      </c>
      <c r="C20" s="15">
        <v>45689</v>
      </c>
      <c r="D20" s="15">
        <v>45717</v>
      </c>
      <c r="E20" s="15">
        <v>45748</v>
      </c>
      <c r="F20" s="15">
        <v>45778</v>
      </c>
      <c r="G20" s="15">
        <v>45809</v>
      </c>
      <c r="H20" s="15">
        <v>45839</v>
      </c>
      <c r="I20" s="15">
        <v>45870</v>
      </c>
      <c r="J20" s="15">
        <v>45901</v>
      </c>
      <c r="K20" s="15">
        <v>45931</v>
      </c>
      <c r="L20" s="15">
        <v>45962</v>
      </c>
      <c r="M20" s="15">
        <v>45992</v>
      </c>
    </row>
    <row r="21" spans="1:13" x14ac:dyDescent="0.3">
      <c r="A21" s="8" t="s">
        <v>110</v>
      </c>
      <c r="B21" s="42"/>
      <c r="C21" s="42">
        <f t="shared" ref="C21:M21" si="3">B32</f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0</v>
      </c>
      <c r="J21" s="42">
        <f t="shared" si="3"/>
        <v>0</v>
      </c>
      <c r="K21" s="42">
        <f t="shared" si="3"/>
        <v>0</v>
      </c>
      <c r="L21" s="42">
        <f t="shared" si="3"/>
        <v>1350</v>
      </c>
      <c r="M21" s="42">
        <f t="shared" si="3"/>
        <v>1350</v>
      </c>
    </row>
    <row r="22" spans="1:13" x14ac:dyDescent="0.3">
      <c r="A22" s="8" t="s">
        <v>541</v>
      </c>
      <c r="B22" s="42">
        <v>5500</v>
      </c>
      <c r="C22" s="42">
        <v>10800</v>
      </c>
      <c r="D22" s="42">
        <v>10800</v>
      </c>
      <c r="E22" s="42">
        <v>10800</v>
      </c>
      <c r="F22" s="42">
        <v>10800</v>
      </c>
      <c r="G22" s="42">
        <v>10800</v>
      </c>
      <c r="H22" s="42">
        <v>10800</v>
      </c>
      <c r="I22" s="42">
        <v>11350</v>
      </c>
      <c r="J22" s="42">
        <v>11350</v>
      </c>
      <c r="K22" s="42">
        <v>11350</v>
      </c>
      <c r="L22" s="42"/>
      <c r="M22" s="42"/>
    </row>
    <row r="23" spans="1:13" x14ac:dyDescent="0.3">
      <c r="A23" s="8" t="s">
        <v>542</v>
      </c>
      <c r="B23" s="42">
        <v>5500</v>
      </c>
      <c r="C23" s="42">
        <v>10800</v>
      </c>
      <c r="D23" s="42">
        <v>10800</v>
      </c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8" t="s">
        <v>4</v>
      </c>
      <c r="B24" s="42">
        <v>22300</v>
      </c>
      <c r="C24" s="42">
        <v>22300</v>
      </c>
      <c r="D24" s="42">
        <v>22300</v>
      </c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8" t="s">
        <v>540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8" t="s">
        <v>5</v>
      </c>
      <c r="B29" s="42">
        <v>20000</v>
      </c>
      <c r="C29" s="42">
        <v>20000</v>
      </c>
      <c r="D29" s="42">
        <v>20000</v>
      </c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8" t="s">
        <v>6</v>
      </c>
      <c r="B30" s="43">
        <f t="shared" ref="B30:M30" si="4">SUM(B21:B29)</f>
        <v>53300</v>
      </c>
      <c r="C30" s="43">
        <f t="shared" si="4"/>
        <v>63900</v>
      </c>
      <c r="D30" s="43">
        <f t="shared" si="4"/>
        <v>63900</v>
      </c>
      <c r="E30" s="43">
        <f t="shared" si="4"/>
        <v>10800</v>
      </c>
      <c r="F30" s="43">
        <f t="shared" si="4"/>
        <v>10800</v>
      </c>
      <c r="G30" s="43">
        <f t="shared" si="4"/>
        <v>10800</v>
      </c>
      <c r="H30" s="43">
        <f t="shared" si="4"/>
        <v>10800</v>
      </c>
      <c r="I30" s="43">
        <f t="shared" si="4"/>
        <v>11350</v>
      </c>
      <c r="J30" s="43">
        <f t="shared" si="4"/>
        <v>11350</v>
      </c>
      <c r="K30" s="43">
        <f t="shared" si="4"/>
        <v>11350</v>
      </c>
      <c r="L30" s="43">
        <f t="shared" si="4"/>
        <v>1350</v>
      </c>
      <c r="M30" s="43">
        <f t="shared" si="4"/>
        <v>1350</v>
      </c>
    </row>
    <row r="31" spans="1:13" x14ac:dyDescent="0.3">
      <c r="A31" s="8" t="s">
        <v>7</v>
      </c>
      <c r="B31" s="44">
        <v>53300</v>
      </c>
      <c r="C31" s="44">
        <v>63900</v>
      </c>
      <c r="D31" s="44">
        <v>63900</v>
      </c>
      <c r="E31" s="44">
        <v>10800</v>
      </c>
      <c r="F31" s="44">
        <v>10800</v>
      </c>
      <c r="G31" s="44">
        <v>10800</v>
      </c>
      <c r="H31" s="44">
        <v>10800</v>
      </c>
      <c r="I31" s="44">
        <v>11350</v>
      </c>
      <c r="J31" s="44">
        <v>11350</v>
      </c>
      <c r="K31" s="44">
        <v>10000</v>
      </c>
      <c r="L31" s="44"/>
      <c r="M31" s="44"/>
    </row>
    <row r="32" spans="1:13" x14ac:dyDescent="0.3">
      <c r="A32" s="8" t="s">
        <v>111</v>
      </c>
      <c r="B32" s="43">
        <f t="shared" ref="B32:M32" si="5">B30-B31</f>
        <v>0</v>
      </c>
      <c r="C32" s="43">
        <f t="shared" si="5"/>
        <v>0</v>
      </c>
      <c r="D32" s="43">
        <f t="shared" si="5"/>
        <v>0</v>
      </c>
      <c r="E32" s="43">
        <f t="shared" si="5"/>
        <v>0</v>
      </c>
      <c r="F32" s="43">
        <f t="shared" si="5"/>
        <v>0</v>
      </c>
      <c r="G32" s="43">
        <f t="shared" si="5"/>
        <v>0</v>
      </c>
      <c r="H32" s="43">
        <f t="shared" si="5"/>
        <v>0</v>
      </c>
      <c r="I32" s="43">
        <f t="shared" si="5"/>
        <v>0</v>
      </c>
      <c r="J32" s="43">
        <f t="shared" si="5"/>
        <v>0</v>
      </c>
      <c r="K32" s="43">
        <f t="shared" si="5"/>
        <v>1350</v>
      </c>
      <c r="L32" s="43">
        <f t="shared" si="5"/>
        <v>1350</v>
      </c>
      <c r="M32" s="43">
        <f t="shared" si="5"/>
        <v>1350</v>
      </c>
    </row>
    <row r="33" spans="5:13" x14ac:dyDescent="0.3">
      <c r="E33" s="125"/>
      <c r="M33" s="108"/>
    </row>
    <row r="34" spans="5:13" x14ac:dyDescent="0.3">
      <c r="M34" s="125"/>
    </row>
  </sheetData>
  <mergeCells count="1">
    <mergeCell ref="B2:G2"/>
  </mergeCells>
  <phoneticPr fontId="4" type="noConversion"/>
  <pageMargins left="0.75" right="0.75" top="1" bottom="1" header="0" footer="0"/>
  <pageSetup orientation="portrait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8"/>
  <dimension ref="A1:M17"/>
  <sheetViews>
    <sheetView workbookViewId="0">
      <selection activeCell="B3" sqref="B3"/>
    </sheetView>
  </sheetViews>
  <sheetFormatPr baseColWidth="10" defaultRowHeight="20.25" x14ac:dyDescent="0.3"/>
  <cols>
    <col min="1" max="1" width="42.85546875" style="2" bestFit="1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0.85546875" style="2" bestFit="1" customWidth="1"/>
    <col min="6" max="6" width="11.42578125" style="2"/>
    <col min="7" max="7" width="11.140625" style="2" bestFit="1" customWidth="1"/>
    <col min="8" max="8" width="10" style="2" bestFit="1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153</v>
      </c>
      <c r="C2" s="216"/>
      <c r="D2" s="216"/>
      <c r="E2" s="216"/>
      <c r="F2" s="216"/>
      <c r="G2" s="216"/>
    </row>
    <row r="4" spans="1:13" x14ac:dyDescent="0.3">
      <c r="A4" s="1" t="s">
        <v>0</v>
      </c>
      <c r="B4" s="1" t="s">
        <v>1</v>
      </c>
    </row>
    <row r="5" spans="1:13" x14ac:dyDescent="0.3">
      <c r="B5" s="5">
        <v>39083</v>
      </c>
      <c r="C5" s="5">
        <v>39114</v>
      </c>
      <c r="D5" s="5">
        <v>39142</v>
      </c>
      <c r="E5" s="5">
        <v>39173</v>
      </c>
      <c r="F5" s="5">
        <v>39203</v>
      </c>
      <c r="G5" s="5">
        <v>39234</v>
      </c>
      <c r="H5" s="5">
        <v>39264</v>
      </c>
      <c r="I5" s="5">
        <v>39295</v>
      </c>
      <c r="J5" s="5">
        <v>39326</v>
      </c>
      <c r="K5" s="5">
        <v>39356</v>
      </c>
      <c r="L5" s="5">
        <v>39387</v>
      </c>
      <c r="M5" s="5">
        <v>39417</v>
      </c>
    </row>
    <row r="6" spans="1:13" x14ac:dyDescent="0.3">
      <c r="A6" s="2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2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2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2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2" t="s">
        <v>73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2" t="s">
        <v>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2" t="s">
        <v>75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2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3">
      <c r="A14" s="2" t="s">
        <v>6</v>
      </c>
      <c r="B14" s="3">
        <f>SUM(B6:B13)</f>
        <v>0</v>
      </c>
      <c r="C14" s="3">
        <f t="shared" ref="C14:M14" si="0">SUM(C6:C13)</f>
        <v>0</v>
      </c>
      <c r="D14" s="3">
        <f t="shared" si="0"/>
        <v>0</v>
      </c>
      <c r="E14" s="3">
        <f t="shared" si="0"/>
        <v>0</v>
      </c>
      <c r="F14" s="3">
        <f t="shared" si="0"/>
        <v>0</v>
      </c>
      <c r="G14" s="3">
        <f t="shared" si="0"/>
        <v>0</v>
      </c>
      <c r="H14" s="3">
        <f t="shared" si="0"/>
        <v>0</v>
      </c>
      <c r="I14" s="3">
        <f t="shared" si="0"/>
        <v>0</v>
      </c>
      <c r="J14" s="3">
        <f t="shared" si="0"/>
        <v>0</v>
      </c>
      <c r="K14" s="3">
        <f t="shared" si="0"/>
        <v>0</v>
      </c>
      <c r="L14" s="3">
        <f t="shared" si="0"/>
        <v>0</v>
      </c>
      <c r="M14" s="3">
        <f t="shared" si="0"/>
        <v>0</v>
      </c>
    </row>
    <row r="15" spans="1:13" x14ac:dyDescent="0.3">
      <c r="A15" s="2" t="s">
        <v>7</v>
      </c>
    </row>
    <row r="16" spans="1:13" x14ac:dyDescent="0.3">
      <c r="A16" s="2" t="s">
        <v>8</v>
      </c>
      <c r="B16" s="3">
        <f>B14-B15</f>
        <v>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2" t="s">
        <v>10</v>
      </c>
      <c r="B17" s="3"/>
      <c r="C17" s="3">
        <f>B17+C16</f>
        <v>0</v>
      </c>
      <c r="D17" s="3">
        <f t="shared" ref="D17:M17" si="1">C17+D16</f>
        <v>0</v>
      </c>
      <c r="E17" s="3">
        <f t="shared" si="1"/>
        <v>0</v>
      </c>
      <c r="F17" s="3">
        <f t="shared" si="1"/>
        <v>0</v>
      </c>
      <c r="G17" s="3">
        <f t="shared" si="1"/>
        <v>0</v>
      </c>
      <c r="H17" s="3">
        <f t="shared" si="1"/>
        <v>0</v>
      </c>
      <c r="I17" s="3">
        <f t="shared" si="1"/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</row>
  </sheetData>
  <mergeCells count="1">
    <mergeCell ref="B2:G2"/>
  </mergeCells>
  <phoneticPr fontId="4" type="noConversion"/>
  <pageMargins left="0.75" right="0.75" top="1" bottom="1" header="0" footer="0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9"/>
  <dimension ref="A3:M58"/>
  <sheetViews>
    <sheetView topLeftCell="A4" workbookViewId="0">
      <selection activeCell="E12" sqref="E12"/>
    </sheetView>
  </sheetViews>
  <sheetFormatPr baseColWidth="10" defaultRowHeight="12.75" x14ac:dyDescent="0.2"/>
  <cols>
    <col min="1" max="1" width="26.28515625" customWidth="1"/>
    <col min="2" max="2" width="11.7109375" customWidth="1"/>
    <col min="3" max="3" width="12.85546875" customWidth="1"/>
    <col min="4" max="4" width="12.140625" customWidth="1"/>
    <col min="5" max="5" width="12" customWidth="1"/>
    <col min="6" max="6" width="11.42578125" customWidth="1"/>
    <col min="7" max="7" width="12.42578125" customWidth="1"/>
    <col min="8" max="8" width="12.5703125" customWidth="1"/>
    <col min="9" max="9" width="12.28515625" customWidth="1"/>
    <col min="10" max="10" width="12.7109375" customWidth="1"/>
    <col min="11" max="11" width="13.85546875" customWidth="1"/>
    <col min="12" max="12" width="12.42578125" customWidth="1"/>
    <col min="13" max="13" width="13" customWidth="1"/>
  </cols>
  <sheetData>
    <row r="3" spans="1:13" x14ac:dyDescent="0.2">
      <c r="J3" t="s">
        <v>308</v>
      </c>
      <c r="K3">
        <v>32172.75</v>
      </c>
    </row>
    <row r="4" spans="1:13" x14ac:dyDescent="0.2">
      <c r="J4" t="s">
        <v>309</v>
      </c>
      <c r="K4">
        <v>21883.78</v>
      </c>
    </row>
    <row r="5" spans="1:13" x14ac:dyDescent="0.2">
      <c r="J5" t="s">
        <v>163</v>
      </c>
      <c r="K5">
        <v>35919.629999999997</v>
      </c>
    </row>
    <row r="6" spans="1:13" ht="20.25" x14ac:dyDescent="0.3">
      <c r="A6" s="11" t="s">
        <v>11</v>
      </c>
      <c r="B6" s="216" t="s">
        <v>98</v>
      </c>
      <c r="C6" s="216"/>
      <c r="D6" s="216"/>
      <c r="E6" s="216"/>
      <c r="F6" s="216"/>
      <c r="G6" s="216"/>
      <c r="H6" s="2"/>
      <c r="I6" s="2"/>
      <c r="J6" s="2"/>
      <c r="K6" s="91">
        <f>SUM(K3:K5)</f>
        <v>89976.16</v>
      </c>
      <c r="L6" s="2"/>
      <c r="M6" s="2"/>
    </row>
    <row r="7" spans="1:13" ht="20.2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31" t="s">
        <v>0</v>
      </c>
      <c r="B8" s="31" t="s">
        <v>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2">
      <c r="A9" s="78"/>
      <c r="B9" s="79">
        <v>46023</v>
      </c>
      <c r="C9" s="79">
        <v>46054</v>
      </c>
      <c r="D9" s="79">
        <v>46082</v>
      </c>
      <c r="E9" s="79">
        <v>46113</v>
      </c>
      <c r="F9" s="79">
        <v>46143</v>
      </c>
      <c r="G9" s="79">
        <v>46174</v>
      </c>
      <c r="H9" s="79">
        <v>46204</v>
      </c>
      <c r="I9" s="79">
        <v>46235</v>
      </c>
      <c r="J9" s="79">
        <v>46266</v>
      </c>
      <c r="K9" s="79">
        <v>46296</v>
      </c>
      <c r="L9" s="79">
        <v>46327</v>
      </c>
      <c r="M9" s="79">
        <v>46357</v>
      </c>
    </row>
    <row r="10" spans="1:13" x14ac:dyDescent="0.2">
      <c r="A10" s="78" t="s">
        <v>110</v>
      </c>
      <c r="B10" s="42"/>
      <c r="C10" s="42">
        <f>B21</f>
        <v>0</v>
      </c>
      <c r="D10" s="42">
        <f t="shared" ref="D10:M10" si="0">C21</f>
        <v>0</v>
      </c>
      <c r="E10" s="42">
        <f t="shared" si="0"/>
        <v>0</v>
      </c>
      <c r="F10" s="42">
        <f t="shared" si="0"/>
        <v>208000</v>
      </c>
      <c r="G10" s="42">
        <f t="shared" si="0"/>
        <v>208000</v>
      </c>
      <c r="H10" s="42">
        <f t="shared" si="0"/>
        <v>208000</v>
      </c>
      <c r="I10" s="42">
        <f t="shared" si="0"/>
        <v>208000</v>
      </c>
      <c r="J10" s="42">
        <f t="shared" si="0"/>
        <v>208000</v>
      </c>
      <c r="K10" s="42">
        <f>J21</f>
        <v>208000</v>
      </c>
      <c r="L10" s="42">
        <f t="shared" si="0"/>
        <v>208000</v>
      </c>
      <c r="M10" s="42">
        <f t="shared" si="0"/>
        <v>208000</v>
      </c>
    </row>
    <row r="11" spans="1:13" x14ac:dyDescent="0.2">
      <c r="A11" s="78" t="s">
        <v>76</v>
      </c>
      <c r="B11" s="42"/>
      <c r="C11" s="42"/>
      <c r="D11" s="42"/>
      <c r="E11" s="42">
        <v>208000</v>
      </c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9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73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75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x14ac:dyDescent="0.2">
      <c r="A18" s="78" t="s">
        <v>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2">
      <c r="A19" s="78" t="s">
        <v>6</v>
      </c>
      <c r="B19" s="43">
        <f>SUM(B10:B18)</f>
        <v>0</v>
      </c>
      <c r="C19" s="43">
        <f t="shared" ref="C19:M19" si="1">SUM(C10:C18)</f>
        <v>0</v>
      </c>
      <c r="D19" s="43">
        <f t="shared" si="1"/>
        <v>0</v>
      </c>
      <c r="E19" s="43">
        <f t="shared" si="1"/>
        <v>208000</v>
      </c>
      <c r="F19" s="43">
        <f t="shared" si="1"/>
        <v>208000</v>
      </c>
      <c r="G19" s="43">
        <f t="shared" si="1"/>
        <v>208000</v>
      </c>
      <c r="H19" s="43">
        <f t="shared" si="1"/>
        <v>208000</v>
      </c>
      <c r="I19" s="43">
        <f t="shared" si="1"/>
        <v>208000</v>
      </c>
      <c r="J19" s="43">
        <f t="shared" si="1"/>
        <v>208000</v>
      </c>
      <c r="K19" s="43">
        <f t="shared" si="1"/>
        <v>208000</v>
      </c>
      <c r="L19" s="43">
        <f t="shared" si="1"/>
        <v>208000</v>
      </c>
      <c r="M19" s="43">
        <f t="shared" si="1"/>
        <v>208000</v>
      </c>
    </row>
    <row r="20" spans="1:13" x14ac:dyDescent="0.2">
      <c r="A20" s="78" t="s">
        <v>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</row>
    <row r="21" spans="1:13" x14ac:dyDescent="0.2">
      <c r="A21" s="78" t="s">
        <v>111</v>
      </c>
      <c r="B21" s="43">
        <f>B19-B20</f>
        <v>0</v>
      </c>
      <c r="C21" s="43">
        <f>C19-C20</f>
        <v>0</v>
      </c>
      <c r="D21" s="43">
        <f t="shared" ref="D21:M21" si="2">D19-D20</f>
        <v>0</v>
      </c>
      <c r="E21" s="43">
        <f t="shared" si="2"/>
        <v>208000</v>
      </c>
      <c r="F21" s="43">
        <f t="shared" si="2"/>
        <v>208000</v>
      </c>
      <c r="G21" s="43">
        <f t="shared" si="2"/>
        <v>208000</v>
      </c>
      <c r="H21" s="43">
        <f t="shared" si="2"/>
        <v>208000</v>
      </c>
      <c r="I21" s="43">
        <f t="shared" si="2"/>
        <v>208000</v>
      </c>
      <c r="J21" s="43">
        <f t="shared" si="2"/>
        <v>208000</v>
      </c>
      <c r="K21" s="43">
        <f t="shared" si="2"/>
        <v>208000</v>
      </c>
      <c r="L21" s="43">
        <f t="shared" si="2"/>
        <v>208000</v>
      </c>
      <c r="M21" s="43">
        <f t="shared" si="2"/>
        <v>208000</v>
      </c>
    </row>
    <row r="22" spans="1:13" x14ac:dyDescent="0.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  <row r="23" spans="1:13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x14ac:dyDescent="0.2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3" x14ac:dyDescent="0.2">
      <c r="A25" s="80" t="s">
        <v>0</v>
      </c>
      <c r="B25" s="80" t="s">
        <v>1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</row>
    <row r="26" spans="1:13" x14ac:dyDescent="0.2">
      <c r="A26" s="81"/>
      <c r="B26" s="82">
        <v>45658</v>
      </c>
      <c r="C26" s="82">
        <v>45689</v>
      </c>
      <c r="D26" s="82">
        <v>45717</v>
      </c>
      <c r="E26" s="82">
        <v>45748</v>
      </c>
      <c r="F26" s="82">
        <v>45778</v>
      </c>
      <c r="G26" s="82">
        <v>45809</v>
      </c>
      <c r="H26" s="82">
        <v>45839</v>
      </c>
      <c r="I26" s="82">
        <v>45870</v>
      </c>
      <c r="J26" s="82">
        <v>45901</v>
      </c>
      <c r="K26" s="82">
        <v>45931</v>
      </c>
      <c r="L26" s="82">
        <v>45962</v>
      </c>
      <c r="M26" s="82">
        <v>45992</v>
      </c>
    </row>
    <row r="27" spans="1:13" x14ac:dyDescent="0.2">
      <c r="A27" s="78" t="s">
        <v>110</v>
      </c>
      <c r="B27" s="42"/>
      <c r="C27" s="42">
        <f t="shared" ref="C27:M27" si="3">B38</f>
        <v>120000</v>
      </c>
      <c r="D27" s="42">
        <f t="shared" si="3"/>
        <v>240000</v>
      </c>
      <c r="E27" s="42">
        <f t="shared" si="3"/>
        <v>360000</v>
      </c>
      <c r="F27" s="42">
        <f t="shared" si="3"/>
        <v>480000</v>
      </c>
      <c r="G27" s="42">
        <f t="shared" si="3"/>
        <v>600000</v>
      </c>
      <c r="H27" s="42">
        <f t="shared" si="3"/>
        <v>0</v>
      </c>
      <c r="I27" s="42">
        <f t="shared" si="3"/>
        <v>180000</v>
      </c>
      <c r="J27" s="42">
        <f t="shared" si="3"/>
        <v>360000</v>
      </c>
      <c r="K27" s="42">
        <f t="shared" si="3"/>
        <v>540000</v>
      </c>
      <c r="L27" s="42">
        <f t="shared" si="3"/>
        <v>720000</v>
      </c>
      <c r="M27" s="42">
        <f t="shared" si="3"/>
        <v>900000</v>
      </c>
    </row>
    <row r="28" spans="1:13" x14ac:dyDescent="0.2">
      <c r="A28" s="78" t="s">
        <v>308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74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75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5</v>
      </c>
      <c r="B35" s="42">
        <v>120000</v>
      </c>
      <c r="C35" s="42">
        <v>120000</v>
      </c>
      <c r="D35" s="42">
        <v>120000</v>
      </c>
      <c r="E35" s="42">
        <v>120000</v>
      </c>
      <c r="F35" s="42">
        <v>120000</v>
      </c>
      <c r="G35" s="42">
        <v>120000</v>
      </c>
      <c r="H35" s="42">
        <v>180000</v>
      </c>
      <c r="I35" s="42">
        <v>180000</v>
      </c>
      <c r="J35" s="42">
        <v>180000</v>
      </c>
      <c r="K35" s="42">
        <v>180000</v>
      </c>
      <c r="L35" s="42">
        <v>180000</v>
      </c>
      <c r="M35" s="42">
        <v>200000</v>
      </c>
    </row>
    <row r="36" spans="1:13" x14ac:dyDescent="0.2">
      <c r="A36" s="78" t="s">
        <v>6</v>
      </c>
      <c r="B36" s="43">
        <f t="shared" ref="B36:M36" si="4">SUM(B27:B35)</f>
        <v>120000</v>
      </c>
      <c r="C36" s="43">
        <f t="shared" si="4"/>
        <v>240000</v>
      </c>
      <c r="D36" s="43">
        <f t="shared" si="4"/>
        <v>360000</v>
      </c>
      <c r="E36" s="43">
        <f t="shared" si="4"/>
        <v>480000</v>
      </c>
      <c r="F36" s="43">
        <f t="shared" si="4"/>
        <v>600000</v>
      </c>
      <c r="G36" s="43">
        <f t="shared" si="4"/>
        <v>720000</v>
      </c>
      <c r="H36" s="43">
        <f t="shared" si="4"/>
        <v>180000</v>
      </c>
      <c r="I36" s="43">
        <f t="shared" si="4"/>
        <v>360000</v>
      </c>
      <c r="J36" s="43">
        <f t="shared" si="4"/>
        <v>540000</v>
      </c>
      <c r="K36" s="43">
        <f t="shared" si="4"/>
        <v>720000</v>
      </c>
      <c r="L36" s="43">
        <f t="shared" si="4"/>
        <v>900000</v>
      </c>
      <c r="M36" s="43">
        <f t="shared" si="4"/>
        <v>1100000</v>
      </c>
    </row>
    <row r="37" spans="1:13" ht="13.5" thickBot="1" x14ac:dyDescent="0.25">
      <c r="A37" s="78" t="s">
        <v>7</v>
      </c>
      <c r="B37" s="44"/>
      <c r="C37" s="44"/>
      <c r="D37" s="44"/>
      <c r="E37" s="44"/>
      <c r="F37" s="44"/>
      <c r="G37" s="44">
        <v>720000</v>
      </c>
      <c r="H37" s="44"/>
      <c r="I37" s="44"/>
      <c r="J37" s="44"/>
      <c r="K37" s="44"/>
      <c r="L37" s="44"/>
      <c r="M37" s="44">
        <v>1100000</v>
      </c>
    </row>
    <row r="38" spans="1:13" ht="13.5" thickBot="1" x14ac:dyDescent="0.25">
      <c r="A38" s="78" t="s">
        <v>111</v>
      </c>
      <c r="B38" s="45">
        <f t="shared" ref="B38:M38" si="5">B36-B37</f>
        <v>120000</v>
      </c>
      <c r="C38" s="46">
        <f t="shared" si="5"/>
        <v>240000</v>
      </c>
      <c r="D38" s="46">
        <f t="shared" si="5"/>
        <v>360000</v>
      </c>
      <c r="E38" s="46">
        <f t="shared" si="5"/>
        <v>480000</v>
      </c>
      <c r="F38" s="46">
        <f t="shared" si="5"/>
        <v>600000</v>
      </c>
      <c r="G38" s="46">
        <f t="shared" si="5"/>
        <v>0</v>
      </c>
      <c r="H38" s="46">
        <f t="shared" si="5"/>
        <v>180000</v>
      </c>
      <c r="I38" s="46">
        <f t="shared" si="5"/>
        <v>360000</v>
      </c>
      <c r="J38" s="46">
        <f t="shared" si="5"/>
        <v>540000</v>
      </c>
      <c r="K38" s="46">
        <f t="shared" si="5"/>
        <v>720000</v>
      </c>
      <c r="L38" s="46">
        <f t="shared" si="5"/>
        <v>900000</v>
      </c>
      <c r="M38" s="47">
        <f t="shared" si="5"/>
        <v>0</v>
      </c>
    </row>
    <row r="43" spans="1:13" ht="15.75" x14ac:dyDescent="0.25">
      <c r="A43" s="32" t="s">
        <v>0</v>
      </c>
      <c r="B43" s="32" t="s">
        <v>1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ht="15.75" x14ac:dyDescent="0.25">
      <c r="A44" s="33"/>
      <c r="B44" s="34">
        <v>45658</v>
      </c>
      <c r="C44" s="34">
        <v>40575</v>
      </c>
      <c r="D44" s="34">
        <v>40603</v>
      </c>
      <c r="E44" s="34">
        <v>40634</v>
      </c>
      <c r="F44" s="34">
        <v>40664</v>
      </c>
      <c r="G44" s="34">
        <v>40695</v>
      </c>
      <c r="H44" s="34">
        <v>40725</v>
      </c>
      <c r="I44" s="34">
        <v>40756</v>
      </c>
      <c r="J44" s="34">
        <v>40787</v>
      </c>
      <c r="K44" s="34">
        <v>40817</v>
      </c>
      <c r="L44" s="34">
        <v>40848</v>
      </c>
      <c r="M44" s="34">
        <v>40878</v>
      </c>
    </row>
    <row r="45" spans="1:13" ht="15" x14ac:dyDescent="0.2">
      <c r="A45" s="8" t="s">
        <v>110</v>
      </c>
      <c r="B45" s="28">
        <v>0</v>
      </c>
      <c r="C45" s="28">
        <f t="shared" ref="C45:M45" si="6">B56</f>
        <v>1000</v>
      </c>
      <c r="D45" s="28">
        <f t="shared" si="6"/>
        <v>2000</v>
      </c>
      <c r="E45" s="28">
        <f t="shared" si="6"/>
        <v>3000</v>
      </c>
      <c r="F45" s="28">
        <f t="shared" si="6"/>
        <v>4000</v>
      </c>
      <c r="G45" s="28">
        <f t="shared" si="6"/>
        <v>5000</v>
      </c>
      <c r="H45" s="28">
        <f t="shared" si="6"/>
        <v>6000</v>
      </c>
      <c r="I45" s="28">
        <f t="shared" si="6"/>
        <v>7000</v>
      </c>
      <c r="J45" s="28">
        <f t="shared" si="6"/>
        <v>8000</v>
      </c>
      <c r="K45" s="28">
        <f t="shared" si="6"/>
        <v>9000</v>
      </c>
      <c r="L45" s="28">
        <f t="shared" si="6"/>
        <v>10000</v>
      </c>
      <c r="M45" s="28">
        <f t="shared" si="6"/>
        <v>11000</v>
      </c>
    </row>
    <row r="46" spans="1:13" ht="15" x14ac:dyDescent="0.2">
      <c r="A46" s="8" t="s">
        <v>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ht="15" x14ac:dyDescent="0.2">
      <c r="A47" s="8" t="s">
        <v>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15" x14ac:dyDescent="0.2">
      <c r="A48" s="8" t="s">
        <v>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15" x14ac:dyDescent="0.2">
      <c r="A49" s="8" t="s">
        <v>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15" x14ac:dyDescent="0.2">
      <c r="A50" s="8" t="s">
        <v>73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ht="15" x14ac:dyDescent="0.2">
      <c r="A51" s="8" t="s">
        <v>74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 ht="15" x14ac:dyDescent="0.2">
      <c r="A52" s="8" t="s">
        <v>75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 ht="15" x14ac:dyDescent="0.2">
      <c r="A53" s="8" t="s">
        <v>5</v>
      </c>
      <c r="B53" s="28">
        <v>1000</v>
      </c>
      <c r="C53" s="28">
        <v>1000</v>
      </c>
      <c r="D53" s="28">
        <v>1000</v>
      </c>
      <c r="E53" s="28">
        <v>1000</v>
      </c>
      <c r="F53" s="28">
        <v>1000</v>
      </c>
      <c r="G53" s="28">
        <v>1000</v>
      </c>
      <c r="H53" s="28">
        <v>1000</v>
      </c>
      <c r="I53" s="28">
        <v>1000</v>
      </c>
      <c r="J53" s="28">
        <v>1000</v>
      </c>
      <c r="K53" s="28">
        <v>1000</v>
      </c>
      <c r="L53" s="28">
        <v>1000</v>
      </c>
      <c r="M53" s="28">
        <v>1000</v>
      </c>
    </row>
    <row r="54" spans="1:13" ht="15" x14ac:dyDescent="0.2">
      <c r="A54" s="8" t="s">
        <v>6</v>
      </c>
      <c r="B54" s="29">
        <f t="shared" ref="B54:M54" si="7">SUM(B45:B53)</f>
        <v>1000</v>
      </c>
      <c r="C54" s="29">
        <f t="shared" si="7"/>
        <v>2000</v>
      </c>
      <c r="D54" s="29">
        <f t="shared" si="7"/>
        <v>3000</v>
      </c>
      <c r="E54" s="29">
        <f t="shared" si="7"/>
        <v>4000</v>
      </c>
      <c r="F54" s="29">
        <f t="shared" si="7"/>
        <v>5000</v>
      </c>
      <c r="G54" s="29">
        <f t="shared" si="7"/>
        <v>6000</v>
      </c>
      <c r="H54" s="29">
        <f t="shared" si="7"/>
        <v>7000</v>
      </c>
      <c r="I54" s="29">
        <f t="shared" si="7"/>
        <v>8000</v>
      </c>
      <c r="J54" s="29">
        <f t="shared" si="7"/>
        <v>9000</v>
      </c>
      <c r="K54" s="29">
        <f t="shared" si="7"/>
        <v>10000</v>
      </c>
      <c r="L54" s="29">
        <f t="shared" si="7"/>
        <v>11000</v>
      </c>
      <c r="M54" s="29">
        <f t="shared" si="7"/>
        <v>12000</v>
      </c>
    </row>
    <row r="55" spans="1:13" ht="15.75" thickBot="1" x14ac:dyDescent="0.25">
      <c r="A55" s="8" t="s">
        <v>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>
        <v>12000</v>
      </c>
    </row>
    <row r="56" spans="1:13" ht="15.75" thickBot="1" x14ac:dyDescent="0.25">
      <c r="A56" s="8" t="s">
        <v>111</v>
      </c>
      <c r="B56" s="35">
        <f t="shared" ref="B56:M56" si="8">B54-B55</f>
        <v>1000</v>
      </c>
      <c r="C56" s="36">
        <f t="shared" si="8"/>
        <v>2000</v>
      </c>
      <c r="D56" s="36">
        <f t="shared" si="8"/>
        <v>3000</v>
      </c>
      <c r="E56" s="36">
        <f t="shared" si="8"/>
        <v>4000</v>
      </c>
      <c r="F56" s="36">
        <f t="shared" si="8"/>
        <v>5000</v>
      </c>
      <c r="G56" s="36">
        <f t="shared" si="8"/>
        <v>6000</v>
      </c>
      <c r="H56" s="36">
        <f t="shared" si="8"/>
        <v>7000</v>
      </c>
      <c r="I56" s="36">
        <f t="shared" si="8"/>
        <v>8000</v>
      </c>
      <c r="J56" s="36">
        <f t="shared" si="8"/>
        <v>9000</v>
      </c>
      <c r="K56" s="36">
        <f t="shared" si="8"/>
        <v>10000</v>
      </c>
      <c r="L56" s="36">
        <f t="shared" si="8"/>
        <v>11000</v>
      </c>
      <c r="M56" s="37">
        <f t="shared" si="8"/>
        <v>0</v>
      </c>
    </row>
    <row r="58" spans="1:13" x14ac:dyDescent="0.2">
      <c r="C58" t="s">
        <v>244</v>
      </c>
      <c r="E58">
        <v>1260</v>
      </c>
    </row>
  </sheetData>
  <mergeCells count="1">
    <mergeCell ref="B6:G6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0"/>
  <dimension ref="A1:M33"/>
  <sheetViews>
    <sheetView workbookViewId="0">
      <selection activeCell="B15" sqref="B15"/>
    </sheetView>
  </sheetViews>
  <sheetFormatPr baseColWidth="10" defaultRowHeight="20.25" x14ac:dyDescent="0.3"/>
  <cols>
    <col min="1" max="1" width="42.85546875" style="2" bestFit="1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0.85546875" style="2" bestFit="1" customWidth="1"/>
    <col min="6" max="6" width="11.42578125" style="2"/>
    <col min="7" max="7" width="11.140625" style="2" bestFit="1" customWidth="1"/>
    <col min="8" max="8" width="10" style="2" bestFit="1" customWidth="1"/>
    <col min="9" max="9" width="11.5703125" style="2" bestFit="1" customWidth="1"/>
    <col min="10" max="10" width="11.28515625" style="2" bestFit="1" customWidth="1"/>
    <col min="11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65</v>
      </c>
      <c r="C2" s="216"/>
      <c r="D2" s="216"/>
      <c r="E2" s="216"/>
      <c r="F2" s="216"/>
      <c r="G2" s="216"/>
    </row>
    <row r="4" spans="1:13" x14ac:dyDescent="0.3">
      <c r="A4" s="1" t="s">
        <v>0</v>
      </c>
      <c r="B4" s="1" t="s">
        <v>1</v>
      </c>
    </row>
    <row r="5" spans="1:13" x14ac:dyDescent="0.3">
      <c r="A5" s="17"/>
      <c r="B5" s="18">
        <v>40909</v>
      </c>
      <c r="C5" s="18">
        <v>40940</v>
      </c>
      <c r="D5" s="18">
        <v>40969</v>
      </c>
      <c r="E5" s="18">
        <v>41000</v>
      </c>
      <c r="F5" s="18">
        <v>41030</v>
      </c>
      <c r="G5" s="18">
        <v>41061</v>
      </c>
      <c r="H5" s="18">
        <v>41091</v>
      </c>
      <c r="I5" s="18">
        <v>41122</v>
      </c>
      <c r="J5" s="18">
        <v>41153</v>
      </c>
      <c r="K5" s="18">
        <v>41183</v>
      </c>
      <c r="L5" s="18">
        <v>41214</v>
      </c>
      <c r="M5" s="18">
        <v>41244</v>
      </c>
    </row>
    <row r="6" spans="1:13" x14ac:dyDescent="0.3">
      <c r="A6" s="17" t="s">
        <v>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3">
      <c r="A7" s="17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3">
      <c r="A8" s="17" t="s">
        <v>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3">
      <c r="A9" s="17" t="s">
        <v>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3">
      <c r="A10" s="17" t="s">
        <v>73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3">
      <c r="A11" s="17" t="s">
        <v>74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3">
      <c r="A12" s="17" t="s">
        <v>75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3">
      <c r="A13" s="17" t="s">
        <v>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3">
      <c r="A14" s="17" t="s">
        <v>6</v>
      </c>
      <c r="B14" s="20">
        <f>SUM(B6:B13)</f>
        <v>0</v>
      </c>
      <c r="C14" s="20">
        <f t="shared" ref="C14:M14" si="0">SUM(C6:C13)</f>
        <v>0</v>
      </c>
      <c r="D14" s="20">
        <f t="shared" si="0"/>
        <v>0</v>
      </c>
      <c r="E14" s="20">
        <f t="shared" si="0"/>
        <v>0</v>
      </c>
      <c r="F14" s="20">
        <f t="shared" si="0"/>
        <v>0</v>
      </c>
      <c r="G14" s="20">
        <f t="shared" si="0"/>
        <v>0</v>
      </c>
      <c r="H14" s="20">
        <f t="shared" si="0"/>
        <v>0</v>
      </c>
      <c r="I14" s="20">
        <f t="shared" si="0"/>
        <v>0</v>
      </c>
      <c r="J14" s="20">
        <f t="shared" si="0"/>
        <v>0</v>
      </c>
      <c r="K14" s="20">
        <f t="shared" si="0"/>
        <v>0</v>
      </c>
      <c r="L14" s="20">
        <f t="shared" si="0"/>
        <v>0</v>
      </c>
      <c r="M14" s="20">
        <f t="shared" si="0"/>
        <v>0</v>
      </c>
    </row>
    <row r="15" spans="1:13" x14ac:dyDescent="0.3">
      <c r="A15" s="17" t="s">
        <v>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3">
      <c r="A16" s="17" t="s">
        <v>8</v>
      </c>
      <c r="B16" s="20">
        <f>B14-B15</f>
        <v>0</v>
      </c>
      <c r="C16" s="21"/>
      <c r="D16" s="21"/>
      <c r="E16" s="21"/>
      <c r="F16" s="21"/>
      <c r="G16" s="21"/>
      <c r="H16" s="21"/>
      <c r="I16" s="21"/>
      <c r="J16" s="21"/>
      <c r="K16" s="21"/>
      <c r="L16" s="24">
        <f>L14-L18</f>
        <v>0</v>
      </c>
      <c r="M16" s="21"/>
    </row>
    <row r="17" spans="1:13" x14ac:dyDescent="0.3">
      <c r="A17" s="17" t="s">
        <v>10</v>
      </c>
      <c r="B17" s="20"/>
      <c r="C17" s="20">
        <f>B17+C16</f>
        <v>0</v>
      </c>
      <c r="D17" s="20">
        <f t="shared" ref="D17:L17" si="1">C17+D16</f>
        <v>0</v>
      </c>
      <c r="E17" s="20">
        <f t="shared" si="1"/>
        <v>0</v>
      </c>
      <c r="F17" s="20">
        <f t="shared" si="1"/>
        <v>0</v>
      </c>
      <c r="G17" s="20">
        <f t="shared" si="1"/>
        <v>0</v>
      </c>
      <c r="H17" s="20">
        <f t="shared" si="1"/>
        <v>0</v>
      </c>
      <c r="I17" s="20">
        <f t="shared" si="1"/>
        <v>0</v>
      </c>
      <c r="J17" s="20">
        <f t="shared" si="1"/>
        <v>0</v>
      </c>
      <c r="K17" s="20">
        <f t="shared" si="1"/>
        <v>0</v>
      </c>
      <c r="L17" s="20">
        <f t="shared" si="1"/>
        <v>0</v>
      </c>
      <c r="M17" s="20">
        <v>3.77</v>
      </c>
    </row>
    <row r="20" spans="1:13" x14ac:dyDescent="0.3">
      <c r="A20" s="32" t="s">
        <v>0</v>
      </c>
      <c r="B20" s="32" t="s">
        <v>1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3">
      <c r="A21" s="33"/>
      <c r="B21" s="34">
        <v>39448</v>
      </c>
      <c r="C21" s="34">
        <v>39479</v>
      </c>
      <c r="D21" s="34">
        <v>39508</v>
      </c>
      <c r="E21" s="34">
        <v>39539</v>
      </c>
      <c r="F21" s="34">
        <v>39569</v>
      </c>
      <c r="G21" s="34">
        <v>39600</v>
      </c>
      <c r="H21" s="34">
        <v>39630</v>
      </c>
      <c r="I21" s="34">
        <v>39661</v>
      </c>
      <c r="J21" s="34">
        <v>39692</v>
      </c>
      <c r="K21" s="34">
        <v>39722</v>
      </c>
      <c r="L21" s="34">
        <v>39753</v>
      </c>
      <c r="M21" s="34">
        <v>39783</v>
      </c>
    </row>
    <row r="22" spans="1:13" x14ac:dyDescent="0.3">
      <c r="A22" s="8" t="s">
        <v>110</v>
      </c>
      <c r="B22" s="28"/>
      <c r="C22" s="28">
        <f t="shared" ref="C22:M22" si="2">B33</f>
        <v>0</v>
      </c>
      <c r="D22" s="28">
        <f t="shared" si="2"/>
        <v>0</v>
      </c>
      <c r="E22" s="28">
        <f t="shared" si="2"/>
        <v>0</v>
      </c>
      <c r="F22" s="28">
        <f t="shared" si="2"/>
        <v>0</v>
      </c>
      <c r="G22" s="28">
        <f t="shared" si="2"/>
        <v>0</v>
      </c>
      <c r="H22" s="28">
        <f t="shared" si="2"/>
        <v>0</v>
      </c>
      <c r="I22" s="28">
        <f t="shared" si="2"/>
        <v>0</v>
      </c>
      <c r="J22" s="28">
        <f t="shared" si="2"/>
        <v>0</v>
      </c>
      <c r="K22" s="28">
        <f t="shared" si="2"/>
        <v>0</v>
      </c>
      <c r="L22" s="28">
        <f t="shared" si="2"/>
        <v>0</v>
      </c>
      <c r="M22" s="28">
        <f t="shared" si="2"/>
        <v>0</v>
      </c>
    </row>
    <row r="23" spans="1:13" x14ac:dyDescent="0.3">
      <c r="A23" s="8" t="s">
        <v>2</v>
      </c>
      <c r="B23" s="28">
        <v>39</v>
      </c>
      <c r="C23" s="28">
        <v>39</v>
      </c>
      <c r="D23" s="28">
        <v>39</v>
      </c>
      <c r="E23" s="28">
        <v>39</v>
      </c>
      <c r="F23" s="28">
        <v>39</v>
      </c>
      <c r="G23" s="28">
        <v>39</v>
      </c>
      <c r="H23" s="28">
        <v>39</v>
      </c>
      <c r="I23" s="28"/>
      <c r="J23" s="28"/>
      <c r="K23" s="28"/>
      <c r="L23" s="28"/>
      <c r="M23" s="28"/>
    </row>
    <row r="24" spans="1:13" x14ac:dyDescent="0.3">
      <c r="A24" s="8" t="s">
        <v>3</v>
      </c>
      <c r="B24" s="28">
        <v>25</v>
      </c>
      <c r="C24" s="28">
        <v>25</v>
      </c>
      <c r="D24" s="28">
        <v>17</v>
      </c>
      <c r="E24" s="28">
        <v>25</v>
      </c>
      <c r="F24" s="28">
        <v>18</v>
      </c>
      <c r="G24" s="28">
        <v>18</v>
      </c>
      <c r="H24" s="28">
        <v>25</v>
      </c>
      <c r="I24" s="28"/>
      <c r="J24" s="28"/>
      <c r="K24" s="28"/>
      <c r="L24" s="28"/>
      <c r="M24" s="28"/>
    </row>
    <row r="25" spans="1:13" x14ac:dyDescent="0.3">
      <c r="A25" s="8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x14ac:dyDescent="0.3">
      <c r="A26" s="8" t="s">
        <v>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x14ac:dyDescent="0.3">
      <c r="A27" s="8" t="s">
        <v>73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x14ac:dyDescent="0.3">
      <c r="A28" s="8" t="s">
        <v>74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x14ac:dyDescent="0.3">
      <c r="A29" s="8" t="s">
        <v>75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x14ac:dyDescent="0.3">
      <c r="A30" s="8" t="s">
        <v>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x14ac:dyDescent="0.3">
      <c r="A31" s="8" t="s">
        <v>6</v>
      </c>
      <c r="B31" s="29">
        <f t="shared" ref="B31:M31" si="3">SUM(B22:B30)</f>
        <v>64</v>
      </c>
      <c r="C31" s="29">
        <f t="shared" si="3"/>
        <v>64</v>
      </c>
      <c r="D31" s="29">
        <f t="shared" si="3"/>
        <v>56</v>
      </c>
      <c r="E31" s="29">
        <f t="shared" si="3"/>
        <v>64</v>
      </c>
      <c r="F31" s="29">
        <f t="shared" si="3"/>
        <v>57</v>
      </c>
      <c r="G31" s="29">
        <f t="shared" si="3"/>
        <v>57</v>
      </c>
      <c r="H31" s="29">
        <f t="shared" si="3"/>
        <v>64</v>
      </c>
      <c r="I31" s="29">
        <f t="shared" si="3"/>
        <v>0</v>
      </c>
      <c r="J31" s="29">
        <f t="shared" si="3"/>
        <v>0</v>
      </c>
      <c r="K31" s="29">
        <f t="shared" si="3"/>
        <v>0</v>
      </c>
      <c r="L31" s="29">
        <f t="shared" si="3"/>
        <v>0</v>
      </c>
      <c r="M31" s="29">
        <f t="shared" si="3"/>
        <v>0</v>
      </c>
    </row>
    <row r="32" spans="1:13" ht="21" thickBot="1" x14ac:dyDescent="0.35">
      <c r="A32" s="8" t="s">
        <v>7</v>
      </c>
      <c r="B32" s="30">
        <v>64</v>
      </c>
      <c r="C32" s="30">
        <v>64</v>
      </c>
      <c r="D32" s="30">
        <v>56</v>
      </c>
      <c r="E32" s="30">
        <v>64</v>
      </c>
      <c r="F32" s="30">
        <v>57</v>
      </c>
      <c r="G32" s="30">
        <v>57</v>
      </c>
      <c r="H32" s="30">
        <v>64</v>
      </c>
      <c r="I32" s="30"/>
      <c r="J32" s="30"/>
      <c r="K32" s="30"/>
      <c r="L32" s="30"/>
      <c r="M32" s="30"/>
    </row>
    <row r="33" spans="1:13" ht="21" thickBot="1" x14ac:dyDescent="0.35">
      <c r="A33" s="8" t="s">
        <v>111</v>
      </c>
      <c r="B33" s="35">
        <f t="shared" ref="B33:M33" si="4">B31-B32</f>
        <v>0</v>
      </c>
      <c r="C33" s="36">
        <f t="shared" si="4"/>
        <v>0</v>
      </c>
      <c r="D33" s="36">
        <f t="shared" si="4"/>
        <v>0</v>
      </c>
      <c r="E33" s="36">
        <f t="shared" si="4"/>
        <v>0</v>
      </c>
      <c r="F33" s="36">
        <f t="shared" si="4"/>
        <v>0</v>
      </c>
      <c r="G33" s="36">
        <f t="shared" si="4"/>
        <v>0</v>
      </c>
      <c r="H33" s="36">
        <f t="shared" si="4"/>
        <v>0</v>
      </c>
      <c r="I33" s="36">
        <f t="shared" si="4"/>
        <v>0</v>
      </c>
      <c r="J33" s="36">
        <f t="shared" si="4"/>
        <v>0</v>
      </c>
      <c r="K33" s="36">
        <f t="shared" si="4"/>
        <v>0</v>
      </c>
      <c r="L33" s="36">
        <f t="shared" si="4"/>
        <v>0</v>
      </c>
      <c r="M33" s="37">
        <f t="shared" si="4"/>
        <v>0</v>
      </c>
    </row>
  </sheetData>
  <mergeCells count="1">
    <mergeCell ref="B2:G2"/>
  </mergeCells>
  <phoneticPr fontId="4" type="noConversion"/>
  <pageMargins left="0.75" right="0.75" top="1" bottom="1" header="0" footer="0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1"/>
  <dimension ref="A1:M31"/>
  <sheetViews>
    <sheetView workbookViewId="0">
      <selection activeCell="L14" sqref="L14"/>
    </sheetView>
  </sheetViews>
  <sheetFormatPr baseColWidth="10" defaultRowHeight="12.75" x14ac:dyDescent="0.2"/>
  <cols>
    <col min="1" max="1" width="33.140625" customWidth="1"/>
    <col min="4" max="5" width="12.28515625" customWidth="1"/>
    <col min="6" max="6" width="12.140625" customWidth="1"/>
  </cols>
  <sheetData>
    <row r="1" spans="1:13" x14ac:dyDescent="0.2">
      <c r="A1" s="67" t="s">
        <v>0</v>
      </c>
      <c r="B1" s="67" t="s">
        <v>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x14ac:dyDescent="0.2">
      <c r="A2" s="65"/>
      <c r="B2" s="68">
        <v>42005</v>
      </c>
      <c r="C2" s="68">
        <v>42036</v>
      </c>
      <c r="D2" s="68">
        <v>42064</v>
      </c>
      <c r="E2" s="68">
        <v>42095</v>
      </c>
      <c r="F2" s="68">
        <v>42125</v>
      </c>
      <c r="G2" s="68">
        <v>42156</v>
      </c>
      <c r="H2" s="68">
        <v>42186</v>
      </c>
      <c r="I2" s="68">
        <v>42217</v>
      </c>
      <c r="J2" s="68">
        <v>42248</v>
      </c>
      <c r="K2" s="68">
        <v>42278</v>
      </c>
      <c r="L2" s="68">
        <v>42309</v>
      </c>
      <c r="M2" s="68">
        <v>42339</v>
      </c>
    </row>
    <row r="3" spans="1:13" x14ac:dyDescent="0.2">
      <c r="A3" s="65" t="s">
        <v>110</v>
      </c>
      <c r="B3" s="69">
        <v>-1560</v>
      </c>
      <c r="C3" s="69">
        <f>B14</f>
        <v>-760</v>
      </c>
      <c r="D3" s="69">
        <f t="shared" ref="D3:M3" si="0">C14</f>
        <v>40</v>
      </c>
      <c r="E3" s="69">
        <f t="shared" si="0"/>
        <v>840</v>
      </c>
      <c r="F3" s="69">
        <f t="shared" si="0"/>
        <v>1640</v>
      </c>
      <c r="G3" s="69">
        <f t="shared" si="0"/>
        <v>2440</v>
      </c>
      <c r="H3" s="69">
        <f t="shared" si="0"/>
        <v>0</v>
      </c>
      <c r="I3" s="69">
        <f t="shared" si="0"/>
        <v>1000</v>
      </c>
      <c r="J3" s="69">
        <f t="shared" si="0"/>
        <v>2000</v>
      </c>
      <c r="K3" s="69">
        <f>J14</f>
        <v>3000</v>
      </c>
      <c r="L3" s="69">
        <f t="shared" si="0"/>
        <v>4000</v>
      </c>
      <c r="M3" s="69">
        <f t="shared" si="0"/>
        <v>0</v>
      </c>
    </row>
    <row r="4" spans="1:13" x14ac:dyDescent="0.2">
      <c r="A4" s="65" t="s">
        <v>76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 spans="1:13" x14ac:dyDescent="0.2">
      <c r="A5" s="65" t="s">
        <v>3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3" x14ac:dyDescent="0.2">
      <c r="A6" s="65" t="s">
        <v>4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65" t="s">
        <v>9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2">
      <c r="A8" s="65" t="s">
        <v>73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spans="1:13" x14ac:dyDescent="0.2">
      <c r="A9" s="65" t="s">
        <v>74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2">
      <c r="A10" s="65" t="s">
        <v>75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2">
      <c r="A11" s="65" t="s">
        <v>5</v>
      </c>
      <c r="B11" s="69">
        <v>800</v>
      </c>
      <c r="C11" s="69">
        <v>800</v>
      </c>
      <c r="D11" s="69">
        <v>800</v>
      </c>
      <c r="E11" s="69">
        <v>800</v>
      </c>
      <c r="F11" s="69">
        <v>800</v>
      </c>
      <c r="G11" s="69">
        <v>800</v>
      </c>
      <c r="H11" s="69">
        <v>1000</v>
      </c>
      <c r="I11" s="69">
        <v>1000</v>
      </c>
      <c r="J11" s="69">
        <v>1000</v>
      </c>
      <c r="K11" s="69">
        <v>1000</v>
      </c>
      <c r="L11" s="69">
        <v>1000</v>
      </c>
      <c r="M11" s="69"/>
    </row>
    <row r="12" spans="1:13" x14ac:dyDescent="0.2">
      <c r="A12" s="65" t="s">
        <v>6</v>
      </c>
      <c r="B12" s="70">
        <f>SUM(B3:B11)</f>
        <v>-760</v>
      </c>
      <c r="C12" s="70">
        <f t="shared" ref="C12:M12" si="1">SUM(C3:C11)</f>
        <v>40</v>
      </c>
      <c r="D12" s="70">
        <f t="shared" si="1"/>
        <v>840</v>
      </c>
      <c r="E12" s="70">
        <f t="shared" si="1"/>
        <v>1640</v>
      </c>
      <c r="F12" s="70">
        <f t="shared" si="1"/>
        <v>2440</v>
      </c>
      <c r="G12" s="70">
        <f t="shared" si="1"/>
        <v>3240</v>
      </c>
      <c r="H12" s="70">
        <f t="shared" si="1"/>
        <v>1000</v>
      </c>
      <c r="I12" s="70">
        <f t="shared" si="1"/>
        <v>2000</v>
      </c>
      <c r="J12" s="70">
        <f t="shared" si="1"/>
        <v>3000</v>
      </c>
      <c r="K12" s="70">
        <f t="shared" si="1"/>
        <v>4000</v>
      </c>
      <c r="L12" s="70">
        <f t="shared" si="1"/>
        <v>5000</v>
      </c>
      <c r="M12" s="70">
        <f t="shared" si="1"/>
        <v>0</v>
      </c>
    </row>
    <row r="13" spans="1:13" x14ac:dyDescent="0.2">
      <c r="A13" s="65" t="s">
        <v>7</v>
      </c>
      <c r="B13" s="71"/>
      <c r="C13" s="71"/>
      <c r="D13" s="71"/>
      <c r="E13" s="71"/>
      <c r="F13" s="71"/>
      <c r="G13" s="71">
        <v>3240</v>
      </c>
      <c r="H13" s="71"/>
      <c r="I13" s="71"/>
      <c r="J13" s="71"/>
      <c r="K13" s="71"/>
      <c r="L13" s="71">
        <v>5000</v>
      </c>
      <c r="M13" s="71"/>
    </row>
    <row r="14" spans="1:13" x14ac:dyDescent="0.2">
      <c r="A14" s="65" t="s">
        <v>111</v>
      </c>
      <c r="B14" s="70">
        <f>B12-B13</f>
        <v>-760</v>
      </c>
      <c r="C14" s="70">
        <f>C12-C13</f>
        <v>40</v>
      </c>
      <c r="D14" s="70">
        <f t="shared" ref="D14:M14" si="2">D12-D13</f>
        <v>840</v>
      </c>
      <c r="E14" s="70">
        <f t="shared" si="2"/>
        <v>1640</v>
      </c>
      <c r="F14" s="70">
        <f t="shared" si="2"/>
        <v>2440</v>
      </c>
      <c r="G14" s="70">
        <f t="shared" si="2"/>
        <v>0</v>
      </c>
      <c r="H14" s="70">
        <f t="shared" si="2"/>
        <v>1000</v>
      </c>
      <c r="I14" s="70">
        <f t="shared" si="2"/>
        <v>2000</v>
      </c>
      <c r="J14" s="70">
        <f t="shared" si="2"/>
        <v>3000</v>
      </c>
      <c r="K14" s="70">
        <f t="shared" si="2"/>
        <v>4000</v>
      </c>
      <c r="L14" s="70">
        <f t="shared" si="2"/>
        <v>0</v>
      </c>
      <c r="M14" s="70">
        <f t="shared" si="2"/>
        <v>0</v>
      </c>
    </row>
    <row r="18" spans="1:13" x14ac:dyDescent="0.2">
      <c r="A18" s="67" t="s">
        <v>0</v>
      </c>
      <c r="B18" s="67" t="s">
        <v>1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3" x14ac:dyDescent="0.2">
      <c r="A19" s="65"/>
      <c r="B19" s="68">
        <v>41640</v>
      </c>
      <c r="C19" s="68">
        <v>41671</v>
      </c>
      <c r="D19" s="68">
        <v>41699</v>
      </c>
      <c r="E19" s="68">
        <v>41730</v>
      </c>
      <c r="F19" s="68">
        <v>41760</v>
      </c>
      <c r="G19" s="68">
        <v>41791</v>
      </c>
      <c r="H19" s="68">
        <v>41821</v>
      </c>
      <c r="I19" s="68">
        <v>41852</v>
      </c>
      <c r="J19" s="68">
        <v>41883</v>
      </c>
      <c r="K19" s="68">
        <v>41913</v>
      </c>
      <c r="L19" s="68">
        <v>41944</v>
      </c>
      <c r="M19" s="68">
        <v>41974</v>
      </c>
    </row>
    <row r="20" spans="1:13" x14ac:dyDescent="0.2">
      <c r="A20" s="65" t="s">
        <v>110</v>
      </c>
      <c r="B20" s="69">
        <v>2400</v>
      </c>
      <c r="C20" s="69">
        <f t="shared" ref="C20:M20" si="3">B31</f>
        <v>2200</v>
      </c>
      <c r="D20" s="69">
        <f t="shared" si="3"/>
        <v>3000</v>
      </c>
      <c r="E20" s="69">
        <f t="shared" si="3"/>
        <v>0</v>
      </c>
      <c r="F20" s="69">
        <f t="shared" si="3"/>
        <v>800</v>
      </c>
      <c r="G20" s="69">
        <f t="shared" si="3"/>
        <v>1600</v>
      </c>
      <c r="H20" s="69">
        <f t="shared" si="3"/>
        <v>2400</v>
      </c>
      <c r="I20" s="69">
        <f t="shared" si="3"/>
        <v>3200</v>
      </c>
      <c r="J20" s="69">
        <f t="shared" si="3"/>
        <v>4000</v>
      </c>
      <c r="K20" s="69">
        <f t="shared" si="3"/>
        <v>4800</v>
      </c>
      <c r="L20" s="69">
        <f t="shared" si="3"/>
        <v>5600</v>
      </c>
      <c r="M20" s="69">
        <f t="shared" si="3"/>
        <v>6500</v>
      </c>
    </row>
    <row r="21" spans="1:13" x14ac:dyDescent="0.2">
      <c r="A21" s="65" t="s">
        <v>76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3" x14ac:dyDescent="0.2">
      <c r="A22" s="65" t="s">
        <v>3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 x14ac:dyDescent="0.2">
      <c r="A23" s="65" t="s">
        <v>4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2">
      <c r="A24" s="65" t="s">
        <v>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2">
      <c r="A25" s="65" t="s">
        <v>73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2">
      <c r="A26" s="65" t="s">
        <v>74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2">
      <c r="A27" s="65" t="s">
        <v>75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2">
      <c r="A28" s="65" t="s">
        <v>5</v>
      </c>
      <c r="B28" s="69">
        <v>800</v>
      </c>
      <c r="C28" s="69">
        <v>800</v>
      </c>
      <c r="D28" s="69">
        <v>800</v>
      </c>
      <c r="E28" s="69">
        <v>800</v>
      </c>
      <c r="F28" s="69">
        <v>800</v>
      </c>
      <c r="G28" s="69">
        <v>800</v>
      </c>
      <c r="H28" s="69">
        <v>800</v>
      </c>
      <c r="I28" s="69">
        <v>800</v>
      </c>
      <c r="J28" s="69">
        <v>800</v>
      </c>
      <c r="K28" s="69">
        <v>800</v>
      </c>
      <c r="L28" s="69">
        <v>900</v>
      </c>
      <c r="M28" s="69">
        <v>900</v>
      </c>
    </row>
    <row r="29" spans="1:13" x14ac:dyDescent="0.2">
      <c r="A29" s="65" t="s">
        <v>6</v>
      </c>
      <c r="B29" s="70">
        <f t="shared" ref="B29:M29" si="4">SUM(B20:B28)</f>
        <v>3200</v>
      </c>
      <c r="C29" s="70">
        <f t="shared" si="4"/>
        <v>3000</v>
      </c>
      <c r="D29" s="70">
        <f t="shared" si="4"/>
        <v>3800</v>
      </c>
      <c r="E29" s="70">
        <f t="shared" si="4"/>
        <v>800</v>
      </c>
      <c r="F29" s="70">
        <f t="shared" si="4"/>
        <v>1600</v>
      </c>
      <c r="G29" s="70">
        <f t="shared" si="4"/>
        <v>2400</v>
      </c>
      <c r="H29" s="70">
        <f t="shared" si="4"/>
        <v>3200</v>
      </c>
      <c r="I29" s="70">
        <f t="shared" si="4"/>
        <v>4000</v>
      </c>
      <c r="J29" s="70">
        <f t="shared" si="4"/>
        <v>4800</v>
      </c>
      <c r="K29" s="70">
        <f t="shared" si="4"/>
        <v>5600</v>
      </c>
      <c r="L29" s="70">
        <f t="shared" si="4"/>
        <v>6500</v>
      </c>
      <c r="M29" s="70">
        <f t="shared" si="4"/>
        <v>7400</v>
      </c>
    </row>
    <row r="30" spans="1:13" x14ac:dyDescent="0.2">
      <c r="A30" s="65" t="s">
        <v>7</v>
      </c>
      <c r="B30" s="71">
        <v>1000</v>
      </c>
      <c r="C30" s="71"/>
      <c r="D30" s="71">
        <v>3800</v>
      </c>
      <c r="E30" s="71"/>
      <c r="F30" s="71"/>
      <c r="G30" s="71"/>
      <c r="H30" s="71"/>
      <c r="I30" s="71"/>
      <c r="J30" s="71"/>
      <c r="K30" s="71"/>
      <c r="L30" s="71"/>
      <c r="M30" s="71">
        <v>8960.57</v>
      </c>
    </row>
    <row r="31" spans="1:13" x14ac:dyDescent="0.2">
      <c r="A31" s="65" t="s">
        <v>111</v>
      </c>
      <c r="B31" s="70">
        <f t="shared" ref="B31:M31" si="5">B29-B30</f>
        <v>2200</v>
      </c>
      <c r="C31" s="70">
        <f t="shared" si="5"/>
        <v>3000</v>
      </c>
      <c r="D31" s="70">
        <f t="shared" si="5"/>
        <v>0</v>
      </c>
      <c r="E31" s="70">
        <f t="shared" si="5"/>
        <v>800</v>
      </c>
      <c r="F31" s="70">
        <f t="shared" si="5"/>
        <v>1600</v>
      </c>
      <c r="G31" s="70">
        <f t="shared" si="5"/>
        <v>2400</v>
      </c>
      <c r="H31" s="70">
        <f t="shared" si="5"/>
        <v>3200</v>
      </c>
      <c r="I31" s="70">
        <f t="shared" si="5"/>
        <v>4000</v>
      </c>
      <c r="J31" s="70">
        <f t="shared" si="5"/>
        <v>4800</v>
      </c>
      <c r="K31" s="70">
        <f t="shared" si="5"/>
        <v>5600</v>
      </c>
      <c r="L31" s="70">
        <f t="shared" si="5"/>
        <v>6500</v>
      </c>
      <c r="M31" s="70">
        <f t="shared" si="5"/>
        <v>-1560.5699999999997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2"/>
  <dimension ref="A3:M39"/>
  <sheetViews>
    <sheetView topLeftCell="A25" workbookViewId="0">
      <selection activeCell="E36" sqref="E36"/>
    </sheetView>
  </sheetViews>
  <sheetFormatPr baseColWidth="10" defaultRowHeight="12.75" x14ac:dyDescent="0.2"/>
  <cols>
    <col min="1" max="1" width="32.28515625" customWidth="1"/>
  </cols>
  <sheetData>
    <row r="3" spans="1:13" ht="20.25" x14ac:dyDescent="0.3">
      <c r="A3" s="11" t="s">
        <v>11</v>
      </c>
      <c r="B3" s="216" t="s">
        <v>211</v>
      </c>
      <c r="C3" s="216"/>
      <c r="D3" s="216"/>
      <c r="E3" s="216"/>
      <c r="F3" s="216"/>
      <c r="G3" s="216"/>
      <c r="H3" s="2"/>
      <c r="I3" s="2"/>
      <c r="J3" s="2"/>
      <c r="K3" s="2"/>
      <c r="L3" s="2"/>
      <c r="M3" s="2"/>
    </row>
    <row r="4" spans="1:13" ht="20.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31" t="s">
        <v>0</v>
      </c>
      <c r="B5" s="31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A6" s="78"/>
      <c r="B6" s="79">
        <v>45658</v>
      </c>
      <c r="C6" s="79">
        <v>45689</v>
      </c>
      <c r="D6" s="79">
        <v>45717</v>
      </c>
      <c r="E6" s="79">
        <v>45748</v>
      </c>
      <c r="F6" s="79">
        <v>45778</v>
      </c>
      <c r="G6" s="79">
        <v>45809</v>
      </c>
      <c r="H6" s="79">
        <v>45839</v>
      </c>
      <c r="I6" s="79">
        <v>45870</v>
      </c>
      <c r="J6" s="79">
        <v>45901</v>
      </c>
      <c r="K6" s="79">
        <v>45931</v>
      </c>
      <c r="L6" s="79">
        <v>45962</v>
      </c>
      <c r="M6" s="79">
        <v>45992</v>
      </c>
    </row>
    <row r="7" spans="1:13" x14ac:dyDescent="0.2">
      <c r="A7" s="78" t="s">
        <v>110</v>
      </c>
      <c r="B7" s="42"/>
      <c r="C7" s="42">
        <f>B18</f>
        <v>0</v>
      </c>
      <c r="D7" s="42">
        <f t="shared" ref="D7:M7" si="0">C18</f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2">
        <f>J18</f>
        <v>0</v>
      </c>
      <c r="L7" s="42">
        <f t="shared" si="0"/>
        <v>0</v>
      </c>
      <c r="M7" s="42">
        <f t="shared" si="0"/>
        <v>0</v>
      </c>
    </row>
    <row r="8" spans="1:13" x14ac:dyDescent="0.2">
      <c r="A8" s="78" t="s">
        <v>76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284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75</v>
      </c>
      <c r="B14" s="42">
        <v>15000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5</v>
      </c>
      <c r="B15" s="42">
        <v>15000</v>
      </c>
      <c r="C15" s="42">
        <v>15000</v>
      </c>
      <c r="D15" s="42">
        <v>15000</v>
      </c>
      <c r="E15" s="42">
        <v>15000</v>
      </c>
      <c r="F15" s="42">
        <v>15000</v>
      </c>
      <c r="G15" s="42">
        <v>15000</v>
      </c>
      <c r="H15" s="42">
        <v>15000</v>
      </c>
      <c r="I15" s="42">
        <v>15000</v>
      </c>
      <c r="J15" s="42">
        <v>15000</v>
      </c>
      <c r="K15" s="42">
        <v>20000</v>
      </c>
      <c r="L15" s="42">
        <v>20000</v>
      </c>
      <c r="M15" s="42">
        <v>20000</v>
      </c>
    </row>
    <row r="16" spans="1:13" x14ac:dyDescent="0.2">
      <c r="A16" s="78" t="s">
        <v>6</v>
      </c>
      <c r="B16" s="43">
        <f>SUM(B7:B15)</f>
        <v>30000</v>
      </c>
      <c r="C16" s="43">
        <f t="shared" ref="C16:M16" si="1">SUM(C7:C15)</f>
        <v>15000</v>
      </c>
      <c r="D16" s="43">
        <f t="shared" si="1"/>
        <v>15000</v>
      </c>
      <c r="E16" s="43">
        <f t="shared" si="1"/>
        <v>15000</v>
      </c>
      <c r="F16" s="43">
        <f t="shared" si="1"/>
        <v>15000</v>
      </c>
      <c r="G16" s="43">
        <f t="shared" si="1"/>
        <v>15000</v>
      </c>
      <c r="H16" s="43">
        <f t="shared" si="1"/>
        <v>15000</v>
      </c>
      <c r="I16" s="43">
        <f t="shared" si="1"/>
        <v>15000</v>
      </c>
      <c r="J16" s="43">
        <f t="shared" si="1"/>
        <v>15000</v>
      </c>
      <c r="K16" s="43">
        <f t="shared" si="1"/>
        <v>20000</v>
      </c>
      <c r="L16" s="43">
        <f t="shared" si="1"/>
        <v>20000</v>
      </c>
      <c r="M16" s="43">
        <f t="shared" si="1"/>
        <v>20000</v>
      </c>
    </row>
    <row r="17" spans="1:13" x14ac:dyDescent="0.2">
      <c r="A17" s="78" t="s">
        <v>7</v>
      </c>
      <c r="B17" s="44">
        <v>30000</v>
      </c>
      <c r="C17" s="44">
        <v>15000</v>
      </c>
      <c r="D17" s="44">
        <v>15000</v>
      </c>
      <c r="E17" s="44">
        <v>15000</v>
      </c>
      <c r="F17" s="44">
        <v>15000</v>
      </c>
      <c r="G17" s="44">
        <v>15000</v>
      </c>
      <c r="H17" s="44">
        <v>15000</v>
      </c>
      <c r="I17" s="44">
        <v>15000</v>
      </c>
      <c r="J17" s="44">
        <v>15000</v>
      </c>
      <c r="K17" s="44">
        <v>20000</v>
      </c>
      <c r="L17" s="44">
        <v>20000</v>
      </c>
      <c r="M17" s="44">
        <v>20000</v>
      </c>
    </row>
    <row r="18" spans="1:13" x14ac:dyDescent="0.2">
      <c r="A18" s="78" t="s">
        <v>111</v>
      </c>
      <c r="B18" s="43">
        <f>B16-B17</f>
        <v>0</v>
      </c>
      <c r="C18" s="43">
        <f>C16-C17</f>
        <v>0</v>
      </c>
      <c r="D18" s="43">
        <f t="shared" ref="D18:M18" si="2">D16-D17</f>
        <v>0</v>
      </c>
      <c r="E18" s="43">
        <f t="shared" si="2"/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  <c r="L18" s="43">
        <f t="shared" si="2"/>
        <v>0</v>
      </c>
      <c r="M18" s="43">
        <f t="shared" si="2"/>
        <v>0</v>
      </c>
    </row>
    <row r="20" spans="1:13" x14ac:dyDescent="0.2">
      <c r="B20" t="s">
        <v>220</v>
      </c>
    </row>
    <row r="21" spans="1:13" x14ac:dyDescent="0.2">
      <c r="B21" t="s">
        <v>221</v>
      </c>
    </row>
    <row r="23" spans="1:13" ht="15.75" x14ac:dyDescent="0.25">
      <c r="A23" s="32" t="s">
        <v>0</v>
      </c>
      <c r="B23" s="32" t="s">
        <v>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" x14ac:dyDescent="0.2">
      <c r="A24" s="33"/>
      <c r="B24" s="82">
        <v>46023</v>
      </c>
      <c r="C24" s="82">
        <v>46054</v>
      </c>
      <c r="D24" s="82">
        <v>46082</v>
      </c>
      <c r="E24" s="82">
        <v>46113</v>
      </c>
      <c r="F24" s="82">
        <v>46143</v>
      </c>
      <c r="G24" s="82">
        <v>46174</v>
      </c>
      <c r="H24" s="82">
        <v>46204</v>
      </c>
      <c r="I24" s="82">
        <v>46235</v>
      </c>
      <c r="J24" s="82">
        <v>46266</v>
      </c>
      <c r="K24" s="82">
        <v>46296</v>
      </c>
      <c r="L24" s="82">
        <v>46327</v>
      </c>
      <c r="M24" s="82">
        <v>46357</v>
      </c>
    </row>
    <row r="25" spans="1:13" ht="15" x14ac:dyDescent="0.2">
      <c r="A25" s="8" t="s">
        <v>110</v>
      </c>
      <c r="B25" s="42"/>
      <c r="C25" s="42">
        <f t="shared" ref="C25:M25" si="3">B36</f>
        <v>0</v>
      </c>
      <c r="D25" s="42">
        <f t="shared" si="3"/>
        <v>0</v>
      </c>
      <c r="E25" s="42">
        <f t="shared" si="3"/>
        <v>0</v>
      </c>
      <c r="F25" s="42">
        <f t="shared" si="3"/>
        <v>0</v>
      </c>
      <c r="G25" s="42">
        <f t="shared" si="3"/>
        <v>0</v>
      </c>
      <c r="H25" s="42">
        <f t="shared" si="3"/>
        <v>0</v>
      </c>
      <c r="I25" s="42">
        <f t="shared" si="3"/>
        <v>0</v>
      </c>
      <c r="J25" s="42">
        <f t="shared" si="3"/>
        <v>0</v>
      </c>
      <c r="K25" s="42">
        <f t="shared" si="3"/>
        <v>0</v>
      </c>
      <c r="L25" s="42">
        <f t="shared" si="3"/>
        <v>0</v>
      </c>
      <c r="M25" s="42">
        <f t="shared" si="3"/>
        <v>0</v>
      </c>
    </row>
    <row r="26" spans="1:13" ht="15" x14ac:dyDescent="0.2">
      <c r="A26" s="8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73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74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ht="15" x14ac:dyDescent="0.2">
      <c r="A32" s="8" t="s">
        <v>75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5" x14ac:dyDescent="0.2">
      <c r="A33" s="8" t="s">
        <v>5</v>
      </c>
      <c r="B33" s="42">
        <v>25000</v>
      </c>
      <c r="C33" s="42">
        <v>25000</v>
      </c>
      <c r="D33" s="42">
        <v>25000</v>
      </c>
      <c r="E33" s="42">
        <v>25000</v>
      </c>
      <c r="F33" s="42"/>
      <c r="G33" s="42"/>
      <c r="H33" s="42"/>
      <c r="I33" s="42"/>
      <c r="J33" s="42"/>
      <c r="K33" s="42"/>
      <c r="L33" s="42"/>
      <c r="M33" s="42"/>
    </row>
    <row r="34" spans="1:13" ht="15" x14ac:dyDescent="0.2">
      <c r="A34" s="8" t="s">
        <v>6</v>
      </c>
      <c r="B34" s="43">
        <f t="shared" ref="B34:M34" si="4">SUM(B25:B33)</f>
        <v>25000</v>
      </c>
      <c r="C34" s="43">
        <f t="shared" si="4"/>
        <v>25000</v>
      </c>
      <c r="D34" s="43">
        <f t="shared" si="4"/>
        <v>25000</v>
      </c>
      <c r="E34" s="43">
        <f t="shared" si="4"/>
        <v>25000</v>
      </c>
      <c r="F34" s="43">
        <f t="shared" si="4"/>
        <v>0</v>
      </c>
      <c r="G34" s="43">
        <f t="shared" si="4"/>
        <v>0</v>
      </c>
      <c r="H34" s="43">
        <f t="shared" si="4"/>
        <v>0</v>
      </c>
      <c r="I34" s="43">
        <f t="shared" si="4"/>
        <v>0</v>
      </c>
      <c r="J34" s="43">
        <f t="shared" si="4"/>
        <v>0</v>
      </c>
      <c r="K34" s="43">
        <f t="shared" si="4"/>
        <v>0</v>
      </c>
      <c r="L34" s="43">
        <f t="shared" si="4"/>
        <v>0</v>
      </c>
      <c r="M34" s="43">
        <f t="shared" si="4"/>
        <v>0</v>
      </c>
    </row>
    <row r="35" spans="1:13" ht="15.75" thickBot="1" x14ac:dyDescent="0.25">
      <c r="A35" s="8" t="s">
        <v>7</v>
      </c>
      <c r="B35" s="44">
        <v>25000</v>
      </c>
      <c r="C35" s="44">
        <v>25000</v>
      </c>
      <c r="D35" s="44">
        <v>25000</v>
      </c>
      <c r="E35" s="44">
        <v>25000</v>
      </c>
      <c r="F35" s="44"/>
      <c r="G35" s="44"/>
      <c r="H35" s="44"/>
      <c r="I35" s="44"/>
      <c r="J35" s="44"/>
      <c r="K35" s="44"/>
      <c r="L35" s="44"/>
      <c r="M35" s="44"/>
    </row>
    <row r="36" spans="1:13" ht="15.75" thickBot="1" x14ac:dyDescent="0.25">
      <c r="A36" s="8" t="s">
        <v>111</v>
      </c>
      <c r="B36" s="45">
        <f t="shared" ref="B36:M36" si="5">B34-B35</f>
        <v>0</v>
      </c>
      <c r="C36" s="46">
        <f t="shared" si="5"/>
        <v>0</v>
      </c>
      <c r="D36" s="46">
        <f t="shared" si="5"/>
        <v>0</v>
      </c>
      <c r="E36" s="46">
        <f t="shared" si="5"/>
        <v>0</v>
      </c>
      <c r="F36" s="46">
        <f t="shared" si="5"/>
        <v>0</v>
      </c>
      <c r="G36" s="46">
        <f t="shared" si="5"/>
        <v>0</v>
      </c>
      <c r="H36" s="46">
        <f t="shared" si="5"/>
        <v>0</v>
      </c>
      <c r="I36" s="46">
        <f t="shared" si="5"/>
        <v>0</v>
      </c>
      <c r="J36" s="46">
        <f t="shared" si="5"/>
        <v>0</v>
      </c>
      <c r="K36" s="46">
        <f t="shared" si="5"/>
        <v>0</v>
      </c>
      <c r="L36" s="46">
        <f t="shared" si="5"/>
        <v>0</v>
      </c>
      <c r="M36" s="47">
        <f t="shared" si="5"/>
        <v>0</v>
      </c>
    </row>
    <row r="38" spans="1:13" x14ac:dyDescent="0.2">
      <c r="K38">
        <v>21600</v>
      </c>
    </row>
    <row r="39" spans="1:13" x14ac:dyDescent="0.2">
      <c r="K39" s="128">
        <v>44133</v>
      </c>
    </row>
  </sheetData>
  <mergeCells count="1">
    <mergeCell ref="B3:G3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3"/>
  <dimension ref="A1:M34"/>
  <sheetViews>
    <sheetView topLeftCell="A13" workbookViewId="0">
      <selection activeCell="F34" sqref="F34"/>
    </sheetView>
  </sheetViews>
  <sheetFormatPr baseColWidth="10" defaultRowHeight="20.25" x14ac:dyDescent="0.3"/>
  <cols>
    <col min="1" max="1" width="42.85546875" style="2" bestFit="1" customWidth="1"/>
    <col min="2" max="2" width="11.28515625" style="2" bestFit="1" customWidth="1"/>
    <col min="3" max="3" width="11.140625" style="2" bestFit="1" customWidth="1"/>
    <col min="4" max="4" width="11" style="2" bestFit="1" customWidth="1"/>
    <col min="5" max="5" width="10.85546875" style="2" bestFit="1" customWidth="1"/>
    <col min="6" max="6" width="11.42578125" style="2"/>
    <col min="7" max="7" width="11.140625" style="2" bestFit="1" customWidth="1"/>
    <col min="8" max="8" width="10" style="2" bestFit="1" customWidth="1"/>
    <col min="9" max="9" width="11.5703125" style="2" bestFit="1" customWidth="1"/>
    <col min="10" max="10" width="11.28515625" style="2" bestFit="1" customWidth="1"/>
    <col min="11" max="11" width="12.28515625" style="2" customWidth="1"/>
    <col min="12" max="13" width="12" style="2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66</v>
      </c>
      <c r="C2" s="216"/>
      <c r="D2" s="216"/>
      <c r="E2" s="216"/>
      <c r="F2" s="216"/>
      <c r="G2" s="216"/>
    </row>
    <row r="4" spans="1:13" x14ac:dyDescent="0.3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8"/>
      <c r="B5" s="15">
        <v>39083</v>
      </c>
      <c r="C5" s="15">
        <v>39114</v>
      </c>
      <c r="D5" s="15">
        <v>39142</v>
      </c>
      <c r="E5" s="15">
        <v>39173</v>
      </c>
      <c r="F5" s="15">
        <v>39203</v>
      </c>
      <c r="G5" s="15">
        <v>39234</v>
      </c>
      <c r="H5" s="15">
        <v>39264</v>
      </c>
      <c r="I5" s="15">
        <v>39295</v>
      </c>
      <c r="J5" s="15">
        <v>39326</v>
      </c>
      <c r="K5" s="15">
        <v>39356</v>
      </c>
      <c r="L5" s="15">
        <v>39387</v>
      </c>
      <c r="M5" s="15">
        <v>39417</v>
      </c>
    </row>
    <row r="6" spans="1:13" x14ac:dyDescent="0.3">
      <c r="A6" s="8" t="s">
        <v>110</v>
      </c>
      <c r="B6" s="22"/>
      <c r="C6" s="22">
        <f>B17</f>
        <v>0</v>
      </c>
      <c r="D6" s="22">
        <f t="shared" ref="D6:M6" si="0">C17</f>
        <v>0</v>
      </c>
      <c r="E6" s="22">
        <f t="shared" si="0"/>
        <v>0</v>
      </c>
      <c r="F6" s="22">
        <f t="shared" si="0"/>
        <v>0</v>
      </c>
      <c r="G6" s="22">
        <f t="shared" si="0"/>
        <v>0</v>
      </c>
      <c r="H6" s="22">
        <f t="shared" si="0"/>
        <v>0</v>
      </c>
      <c r="I6" s="22">
        <f t="shared" si="0"/>
        <v>0</v>
      </c>
      <c r="J6" s="22">
        <f t="shared" si="0"/>
        <v>0</v>
      </c>
      <c r="K6" s="22">
        <f>J17</f>
        <v>0</v>
      </c>
      <c r="L6" s="22">
        <f t="shared" si="0"/>
        <v>126</v>
      </c>
      <c r="M6" s="22">
        <f t="shared" si="0"/>
        <v>42</v>
      </c>
    </row>
    <row r="7" spans="1:13" x14ac:dyDescent="0.3">
      <c r="A7" s="8" t="s">
        <v>76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3">
      <c r="A8" s="8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>
        <v>80</v>
      </c>
      <c r="M8" s="22">
        <v>73</v>
      </c>
    </row>
    <row r="9" spans="1:13" x14ac:dyDescent="0.3">
      <c r="A9" s="8" t="s">
        <v>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>
        <v>36</v>
      </c>
      <c r="M9" s="22">
        <v>49.11</v>
      </c>
    </row>
    <row r="10" spans="1:13" x14ac:dyDescent="0.3">
      <c r="A10" s="8" t="s">
        <v>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3">
      <c r="A11" s="8" t="s">
        <v>73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8" t="s">
        <v>74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x14ac:dyDescent="0.3">
      <c r="A13" s="8" t="s">
        <v>75</v>
      </c>
      <c r="B13" s="22"/>
      <c r="C13" s="22"/>
      <c r="D13" s="22"/>
      <c r="E13" s="22"/>
      <c r="F13" s="22"/>
      <c r="G13" s="22"/>
      <c r="H13" s="22"/>
      <c r="I13" s="22"/>
      <c r="J13" s="22"/>
      <c r="K13" s="22">
        <v>426</v>
      </c>
      <c r="L13" s="22"/>
      <c r="M13" s="22"/>
    </row>
    <row r="14" spans="1:13" x14ac:dyDescent="0.3">
      <c r="A14" s="8" t="s"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>
        <v>50</v>
      </c>
      <c r="M14" s="22">
        <v>50</v>
      </c>
    </row>
    <row r="15" spans="1:13" x14ac:dyDescent="0.3">
      <c r="A15" s="8" t="s">
        <v>6</v>
      </c>
      <c r="B15" s="16">
        <f>SUM(B6:B14)</f>
        <v>0</v>
      </c>
      <c r="C15" s="16">
        <f t="shared" ref="C15:M15" si="1">SUM(C6:C14)</f>
        <v>0</v>
      </c>
      <c r="D15" s="16">
        <f t="shared" si="1"/>
        <v>0</v>
      </c>
      <c r="E15" s="16">
        <f t="shared" si="1"/>
        <v>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 t="shared" si="1"/>
        <v>0</v>
      </c>
      <c r="J15" s="16">
        <f t="shared" si="1"/>
        <v>0</v>
      </c>
      <c r="K15" s="16">
        <f t="shared" si="1"/>
        <v>426</v>
      </c>
      <c r="L15" s="16">
        <f t="shared" si="1"/>
        <v>292</v>
      </c>
      <c r="M15" s="16">
        <f t="shared" si="1"/>
        <v>214.11</v>
      </c>
    </row>
    <row r="16" spans="1:13" x14ac:dyDescent="0.3">
      <c r="A16" s="8" t="s">
        <v>7</v>
      </c>
      <c r="B16" s="23"/>
      <c r="C16" s="23"/>
      <c r="D16" s="23"/>
      <c r="E16" s="23"/>
      <c r="F16" s="23"/>
      <c r="G16" s="23"/>
      <c r="H16" s="23"/>
      <c r="I16" s="23"/>
      <c r="J16" s="23"/>
      <c r="K16" s="23">
        <v>300</v>
      </c>
      <c r="L16" s="23">
        <v>250</v>
      </c>
      <c r="M16" s="23">
        <v>214.11</v>
      </c>
    </row>
    <row r="17" spans="1:13" x14ac:dyDescent="0.3">
      <c r="A17" s="8" t="s">
        <v>111</v>
      </c>
      <c r="B17" s="16">
        <f>B15-B16</f>
        <v>0</v>
      </c>
      <c r="C17" s="16">
        <f>C15-C16</f>
        <v>0</v>
      </c>
      <c r="D17" s="16">
        <f t="shared" ref="D17:M17" si="2">D15-D16</f>
        <v>0</v>
      </c>
      <c r="E17" s="16">
        <f t="shared" si="2"/>
        <v>0</v>
      </c>
      <c r="F17" s="16">
        <f t="shared" si="2"/>
        <v>0</v>
      </c>
      <c r="G17" s="16">
        <f t="shared" si="2"/>
        <v>0</v>
      </c>
      <c r="H17" s="16">
        <f t="shared" si="2"/>
        <v>0</v>
      </c>
      <c r="I17" s="16">
        <f t="shared" si="2"/>
        <v>0</v>
      </c>
      <c r="J17" s="16">
        <f t="shared" si="2"/>
        <v>0</v>
      </c>
      <c r="K17" s="16">
        <f t="shared" si="2"/>
        <v>126</v>
      </c>
      <c r="L17" s="16">
        <f t="shared" si="2"/>
        <v>42</v>
      </c>
      <c r="M17" s="16">
        <f t="shared" si="2"/>
        <v>0</v>
      </c>
    </row>
    <row r="21" spans="1:13" x14ac:dyDescent="0.3">
      <c r="A21" s="32" t="s">
        <v>0</v>
      </c>
      <c r="B21" s="32" t="s">
        <v>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3">
      <c r="A22" s="33"/>
      <c r="B22" s="34">
        <v>39448</v>
      </c>
      <c r="C22" s="34">
        <v>39479</v>
      </c>
      <c r="D22" s="34">
        <v>39508</v>
      </c>
      <c r="E22" s="34">
        <v>39539</v>
      </c>
      <c r="F22" s="34">
        <v>39569</v>
      </c>
      <c r="G22" s="34">
        <v>39600</v>
      </c>
      <c r="H22" s="34">
        <v>39630</v>
      </c>
      <c r="I22" s="34">
        <v>39661</v>
      </c>
      <c r="J22" s="34">
        <v>39692</v>
      </c>
      <c r="K22" s="34">
        <v>39722</v>
      </c>
      <c r="L22" s="34">
        <v>39753</v>
      </c>
      <c r="M22" s="34">
        <v>39783</v>
      </c>
    </row>
    <row r="23" spans="1:13" x14ac:dyDescent="0.3">
      <c r="A23" s="8" t="s">
        <v>110</v>
      </c>
      <c r="B23" s="28"/>
      <c r="C23" s="28">
        <f t="shared" ref="C23:M23" si="3">B34</f>
        <v>0</v>
      </c>
      <c r="D23" s="28">
        <f t="shared" si="3"/>
        <v>233.31</v>
      </c>
      <c r="E23" s="28">
        <f t="shared" si="3"/>
        <v>508.08</v>
      </c>
      <c r="F23" s="28">
        <f t="shared" si="3"/>
        <v>388.07999999999993</v>
      </c>
      <c r="G23" s="28">
        <f t="shared" si="3"/>
        <v>188.07999999999993</v>
      </c>
      <c r="H23" s="28">
        <f t="shared" si="3"/>
        <v>188.07999999999993</v>
      </c>
      <c r="I23" s="28">
        <f t="shared" si="3"/>
        <v>188.07999999999993</v>
      </c>
      <c r="J23" s="28">
        <f t="shared" si="3"/>
        <v>188.07999999999993</v>
      </c>
      <c r="K23" s="28">
        <f t="shared" si="3"/>
        <v>188.07999999999993</v>
      </c>
      <c r="L23" s="28">
        <f t="shared" si="3"/>
        <v>188.07999999999993</v>
      </c>
      <c r="M23" s="28">
        <f t="shared" si="3"/>
        <v>188.07999999999993</v>
      </c>
    </row>
    <row r="24" spans="1:13" x14ac:dyDescent="0.3">
      <c r="A24" s="8" t="s">
        <v>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x14ac:dyDescent="0.3">
      <c r="A25" s="8" t="s">
        <v>3</v>
      </c>
      <c r="B25" s="28">
        <v>74</v>
      </c>
      <c r="C25" s="28">
        <v>76.14</v>
      </c>
      <c r="D25" s="28">
        <v>71.22</v>
      </c>
      <c r="E25" s="28"/>
      <c r="F25" s="28"/>
      <c r="G25" s="28"/>
      <c r="H25" s="28"/>
      <c r="I25" s="28"/>
      <c r="J25" s="28"/>
      <c r="K25" s="28"/>
      <c r="L25" s="28"/>
      <c r="M25" s="28"/>
    </row>
    <row r="26" spans="1:13" x14ac:dyDescent="0.3">
      <c r="A26" s="8" t="s">
        <v>4</v>
      </c>
      <c r="B26" s="28">
        <v>61</v>
      </c>
      <c r="C26" s="28">
        <v>77.17</v>
      </c>
      <c r="D26" s="28">
        <v>123.55</v>
      </c>
      <c r="E26" s="28"/>
      <c r="F26" s="28"/>
      <c r="G26" s="28"/>
      <c r="H26" s="28"/>
      <c r="I26" s="28"/>
      <c r="J26" s="28"/>
      <c r="K26" s="28"/>
      <c r="L26" s="28"/>
      <c r="M26" s="28"/>
    </row>
    <row r="27" spans="1:13" x14ac:dyDescent="0.3">
      <c r="A27" s="8" t="s">
        <v>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x14ac:dyDescent="0.3">
      <c r="A28" s="8" t="s">
        <v>73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x14ac:dyDescent="0.3">
      <c r="A29" s="8" t="s">
        <v>74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x14ac:dyDescent="0.3">
      <c r="A30" s="8" t="s">
        <v>75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x14ac:dyDescent="0.3">
      <c r="A31" s="8" t="s">
        <v>5</v>
      </c>
      <c r="B31" s="28">
        <v>50</v>
      </c>
      <c r="C31" s="28">
        <v>80</v>
      </c>
      <c r="D31" s="28">
        <v>80</v>
      </c>
      <c r="E31" s="28">
        <v>80</v>
      </c>
      <c r="F31" s="28"/>
      <c r="G31" s="28"/>
      <c r="H31" s="28"/>
      <c r="I31" s="28"/>
      <c r="J31" s="28"/>
      <c r="K31" s="28"/>
      <c r="L31" s="28"/>
      <c r="M31" s="28"/>
    </row>
    <row r="32" spans="1:13" x14ac:dyDescent="0.3">
      <c r="A32" s="8" t="s">
        <v>6</v>
      </c>
      <c r="B32" s="29">
        <f t="shared" ref="B32:M32" si="4">SUM(B23:B31)</f>
        <v>185</v>
      </c>
      <c r="C32" s="29">
        <f t="shared" si="4"/>
        <v>233.31</v>
      </c>
      <c r="D32" s="29">
        <f t="shared" si="4"/>
        <v>508.08</v>
      </c>
      <c r="E32" s="29">
        <f t="shared" si="4"/>
        <v>588.07999999999993</v>
      </c>
      <c r="F32" s="29">
        <f t="shared" si="4"/>
        <v>388.07999999999993</v>
      </c>
      <c r="G32" s="29">
        <f t="shared" si="4"/>
        <v>188.07999999999993</v>
      </c>
      <c r="H32" s="29">
        <f t="shared" si="4"/>
        <v>188.07999999999993</v>
      </c>
      <c r="I32" s="29">
        <f t="shared" si="4"/>
        <v>188.07999999999993</v>
      </c>
      <c r="J32" s="29">
        <f t="shared" si="4"/>
        <v>188.07999999999993</v>
      </c>
      <c r="K32" s="29">
        <f t="shared" si="4"/>
        <v>188.07999999999993</v>
      </c>
      <c r="L32" s="29">
        <f t="shared" si="4"/>
        <v>188.07999999999993</v>
      </c>
      <c r="M32" s="29">
        <f t="shared" si="4"/>
        <v>188.07999999999993</v>
      </c>
    </row>
    <row r="33" spans="1:13" ht="21" thickBot="1" x14ac:dyDescent="0.35">
      <c r="A33" s="8" t="s">
        <v>7</v>
      </c>
      <c r="B33" s="30">
        <v>185</v>
      </c>
      <c r="C33" s="30"/>
      <c r="D33" s="30"/>
      <c r="E33" s="30">
        <v>200</v>
      </c>
      <c r="F33" s="30">
        <v>200</v>
      </c>
      <c r="G33" s="30"/>
      <c r="H33" s="30"/>
      <c r="I33" s="30"/>
      <c r="J33" s="30"/>
      <c r="K33" s="30"/>
      <c r="L33" s="30"/>
      <c r="M33" s="30"/>
    </row>
    <row r="34" spans="1:13" ht="21" thickBot="1" x14ac:dyDescent="0.35">
      <c r="A34" s="8" t="s">
        <v>111</v>
      </c>
      <c r="B34" s="35">
        <f t="shared" ref="B34:M34" si="5">B32-B33</f>
        <v>0</v>
      </c>
      <c r="C34" s="36">
        <f t="shared" si="5"/>
        <v>233.31</v>
      </c>
      <c r="D34" s="36">
        <f t="shared" si="5"/>
        <v>508.08</v>
      </c>
      <c r="E34" s="36">
        <f t="shared" si="5"/>
        <v>388.07999999999993</v>
      </c>
      <c r="F34" s="36">
        <f t="shared" si="5"/>
        <v>188.07999999999993</v>
      </c>
      <c r="G34" s="36">
        <f t="shared" si="5"/>
        <v>188.07999999999993</v>
      </c>
      <c r="H34" s="36">
        <f t="shared" si="5"/>
        <v>188.07999999999993</v>
      </c>
      <c r="I34" s="36">
        <f t="shared" si="5"/>
        <v>188.07999999999993</v>
      </c>
      <c r="J34" s="36">
        <f t="shared" si="5"/>
        <v>188.07999999999993</v>
      </c>
      <c r="K34" s="36">
        <f t="shared" si="5"/>
        <v>188.07999999999993</v>
      </c>
      <c r="L34" s="36">
        <f t="shared" si="5"/>
        <v>188.07999999999993</v>
      </c>
      <c r="M34" s="37">
        <f t="shared" si="5"/>
        <v>188.07999999999993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horizontalDpi="4294967293" verticalDpi="36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4"/>
  <dimension ref="A4:M50"/>
  <sheetViews>
    <sheetView topLeftCell="A34" workbookViewId="0">
      <selection activeCell="L45" sqref="L45"/>
    </sheetView>
  </sheetViews>
  <sheetFormatPr baseColWidth="10" defaultRowHeight="12.75" x14ac:dyDescent="0.2"/>
  <cols>
    <col min="1" max="1" width="34.28515625" customWidth="1"/>
    <col min="4" max="4" width="12.85546875" bestFit="1" customWidth="1"/>
  </cols>
  <sheetData>
    <row r="4" spans="1:13" ht="15.75" x14ac:dyDescent="0.25">
      <c r="A4" s="33"/>
      <c r="B4" s="34">
        <v>43831</v>
      </c>
      <c r="C4" s="34">
        <v>43862</v>
      </c>
      <c r="D4" s="34">
        <v>43891</v>
      </c>
      <c r="E4" s="34">
        <v>43922</v>
      </c>
      <c r="F4" s="34">
        <v>43952</v>
      </c>
      <c r="G4" s="34">
        <v>43983</v>
      </c>
      <c r="H4" s="34">
        <v>44013</v>
      </c>
      <c r="I4" s="34">
        <v>44044</v>
      </c>
      <c r="J4" s="34">
        <v>44075</v>
      </c>
      <c r="K4" s="34">
        <v>44105</v>
      </c>
      <c r="L4" s="34">
        <v>44136</v>
      </c>
      <c r="M4" s="34">
        <v>44166</v>
      </c>
    </row>
    <row r="5" spans="1:13" ht="15" x14ac:dyDescent="0.2">
      <c r="A5" s="8" t="s">
        <v>110</v>
      </c>
      <c r="B5" s="42">
        <v>31604</v>
      </c>
      <c r="C5" s="42">
        <f t="shared" ref="C5:M5" si="0">B16</f>
        <v>44019</v>
      </c>
      <c r="D5" s="42">
        <f t="shared" si="0"/>
        <v>55549</v>
      </c>
      <c r="E5" s="42">
        <f t="shared" si="0"/>
        <v>33038.97</v>
      </c>
      <c r="F5" s="42">
        <f t="shared" si="0"/>
        <v>31538.97</v>
      </c>
      <c r="G5" s="42">
        <f t="shared" si="0"/>
        <v>53052.97</v>
      </c>
      <c r="H5" s="42">
        <f t="shared" si="0"/>
        <v>14620.25</v>
      </c>
      <c r="I5" s="42">
        <f t="shared" si="0"/>
        <v>30520.25</v>
      </c>
      <c r="J5" s="42">
        <f t="shared" si="0"/>
        <v>43820.25</v>
      </c>
      <c r="K5" s="42">
        <f t="shared" si="0"/>
        <v>61220.25</v>
      </c>
      <c r="L5" s="42">
        <f t="shared" si="0"/>
        <v>72820.25</v>
      </c>
      <c r="M5" s="42">
        <f t="shared" si="0"/>
        <v>68320.25</v>
      </c>
    </row>
    <row r="6" spans="1:13" ht="15" x14ac:dyDescent="0.2">
      <c r="A6" s="8" t="s">
        <v>2</v>
      </c>
      <c r="B6" s="42"/>
      <c r="C6" s="42"/>
      <c r="D6" s="42"/>
      <c r="E6" s="42"/>
      <c r="F6" s="42"/>
      <c r="G6" s="42"/>
      <c r="H6" s="42"/>
      <c r="I6" s="42"/>
      <c r="J6" s="42">
        <v>4300</v>
      </c>
      <c r="K6" s="42"/>
      <c r="L6" s="42"/>
      <c r="M6" s="42"/>
    </row>
    <row r="7" spans="1:13" ht="15" x14ac:dyDescent="0.2">
      <c r="A7" s="8" t="s">
        <v>3</v>
      </c>
      <c r="B7" s="42">
        <v>5455</v>
      </c>
      <c r="C7" s="42">
        <v>4530</v>
      </c>
      <c r="D7" s="42">
        <v>3864.97</v>
      </c>
      <c r="E7" s="42">
        <v>11300</v>
      </c>
      <c r="F7" s="42">
        <v>12314</v>
      </c>
      <c r="G7" s="42">
        <v>5000</v>
      </c>
      <c r="H7" s="42">
        <v>6700</v>
      </c>
      <c r="I7" s="42">
        <v>4000</v>
      </c>
      <c r="J7" s="42">
        <v>3800</v>
      </c>
      <c r="K7" s="42">
        <v>2300</v>
      </c>
      <c r="L7" s="42">
        <v>4200</v>
      </c>
      <c r="M7" s="42">
        <v>5300</v>
      </c>
    </row>
    <row r="8" spans="1:13" ht="15" x14ac:dyDescent="0.2">
      <c r="A8" s="8" t="s">
        <v>4</v>
      </c>
      <c r="B8" s="42">
        <v>960</v>
      </c>
      <c r="C8" s="42">
        <v>1000</v>
      </c>
      <c r="D8" s="42">
        <v>1000</v>
      </c>
      <c r="E8" s="42">
        <v>1200</v>
      </c>
      <c r="F8" s="42">
        <v>1200</v>
      </c>
      <c r="G8" s="42">
        <v>1200</v>
      </c>
      <c r="H8" s="42">
        <v>1200</v>
      </c>
      <c r="I8" s="42">
        <v>1300</v>
      </c>
      <c r="J8" s="42">
        <v>1300</v>
      </c>
      <c r="K8" s="42">
        <v>1300</v>
      </c>
      <c r="L8" s="42">
        <v>1300</v>
      </c>
      <c r="M8" s="42">
        <v>1500</v>
      </c>
    </row>
    <row r="9" spans="1:13" ht="15" x14ac:dyDescent="0.2">
      <c r="A9" s="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75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15" x14ac:dyDescent="0.2">
      <c r="A13" s="8" t="s">
        <v>5</v>
      </c>
      <c r="B13" s="42">
        <v>6000</v>
      </c>
      <c r="C13" s="42">
        <v>6000</v>
      </c>
      <c r="D13" s="42">
        <v>6000</v>
      </c>
      <c r="E13" s="42">
        <v>6000</v>
      </c>
      <c r="F13" s="42">
        <v>8000</v>
      </c>
      <c r="G13" s="42">
        <v>8000</v>
      </c>
      <c r="H13" s="42">
        <v>8000</v>
      </c>
      <c r="I13" s="42">
        <v>8000</v>
      </c>
      <c r="J13" s="42">
        <v>8000</v>
      </c>
      <c r="K13" s="42">
        <v>8000</v>
      </c>
      <c r="L13" s="42">
        <v>10000</v>
      </c>
      <c r="M13" s="42">
        <v>10000</v>
      </c>
    </row>
    <row r="14" spans="1:13" ht="15" x14ac:dyDescent="0.2">
      <c r="A14" s="8" t="s">
        <v>6</v>
      </c>
      <c r="B14" s="43">
        <f t="shared" ref="B14:M14" si="1">SUM(B5:B13)</f>
        <v>44019</v>
      </c>
      <c r="C14" s="43">
        <f t="shared" si="1"/>
        <v>55549</v>
      </c>
      <c r="D14" s="43">
        <f t="shared" si="1"/>
        <v>66413.97</v>
      </c>
      <c r="E14" s="43">
        <f t="shared" si="1"/>
        <v>51538.97</v>
      </c>
      <c r="F14" s="43">
        <f t="shared" si="1"/>
        <v>53052.97</v>
      </c>
      <c r="G14" s="43">
        <f t="shared" si="1"/>
        <v>67252.97</v>
      </c>
      <c r="H14" s="43">
        <f t="shared" si="1"/>
        <v>30520.25</v>
      </c>
      <c r="I14" s="43">
        <f t="shared" si="1"/>
        <v>43820.25</v>
      </c>
      <c r="J14" s="43">
        <f t="shared" si="1"/>
        <v>61220.25</v>
      </c>
      <c r="K14" s="43">
        <f t="shared" si="1"/>
        <v>72820.25</v>
      </c>
      <c r="L14" s="43">
        <f t="shared" si="1"/>
        <v>88320.25</v>
      </c>
      <c r="M14" s="43">
        <f t="shared" si="1"/>
        <v>85120.25</v>
      </c>
    </row>
    <row r="15" spans="1:13" ht="15.75" thickBot="1" x14ac:dyDescent="0.25">
      <c r="A15" s="8" t="s">
        <v>7</v>
      </c>
      <c r="B15" s="44"/>
      <c r="C15" s="44"/>
      <c r="D15" s="44">
        <f>10000+23375</f>
        <v>33375</v>
      </c>
      <c r="E15" s="44">
        <v>20000</v>
      </c>
      <c r="F15" s="44"/>
      <c r="G15" s="44">
        <v>52632.72</v>
      </c>
      <c r="H15" s="44"/>
      <c r="I15" s="44"/>
      <c r="J15" s="44"/>
      <c r="K15" s="44"/>
      <c r="L15" s="44">
        <v>20000</v>
      </c>
      <c r="M15" s="44"/>
    </row>
    <row r="16" spans="1:13" ht="15.75" thickBot="1" x14ac:dyDescent="0.25">
      <c r="A16" s="8" t="s">
        <v>111</v>
      </c>
      <c r="B16" s="45">
        <f t="shared" ref="B16:M16" si="2">B14-B15</f>
        <v>44019</v>
      </c>
      <c r="C16" s="46">
        <f t="shared" si="2"/>
        <v>55549</v>
      </c>
      <c r="D16" s="46">
        <f t="shared" si="2"/>
        <v>33038.97</v>
      </c>
      <c r="E16" s="46">
        <f t="shared" si="2"/>
        <v>31538.97</v>
      </c>
      <c r="F16" s="46">
        <f t="shared" si="2"/>
        <v>53052.97</v>
      </c>
      <c r="G16" s="46">
        <f t="shared" si="2"/>
        <v>14620.25</v>
      </c>
      <c r="H16" s="46">
        <f t="shared" si="2"/>
        <v>30520.25</v>
      </c>
      <c r="I16" s="46">
        <f t="shared" si="2"/>
        <v>43820.25</v>
      </c>
      <c r="J16" s="46">
        <f t="shared" si="2"/>
        <v>61220.25</v>
      </c>
      <c r="K16" s="46">
        <f t="shared" si="2"/>
        <v>72820.25</v>
      </c>
      <c r="L16" s="46">
        <f t="shared" si="2"/>
        <v>68320.25</v>
      </c>
      <c r="M16" s="47">
        <f t="shared" si="2"/>
        <v>85120.25</v>
      </c>
    </row>
    <row r="20" spans="1:13" ht="15.75" x14ac:dyDescent="0.25">
      <c r="A20" s="33"/>
      <c r="B20" s="34">
        <v>44927</v>
      </c>
      <c r="C20" s="34">
        <v>44958</v>
      </c>
      <c r="D20" s="34">
        <v>44986</v>
      </c>
      <c r="E20" s="34">
        <v>45017</v>
      </c>
      <c r="F20" s="34">
        <v>45047</v>
      </c>
      <c r="G20" s="34">
        <v>45078</v>
      </c>
      <c r="H20" s="34">
        <v>45108</v>
      </c>
      <c r="I20" s="34">
        <v>45139</v>
      </c>
      <c r="J20" s="34">
        <v>45170</v>
      </c>
      <c r="K20" s="34">
        <v>45200</v>
      </c>
      <c r="L20" s="34">
        <v>45231</v>
      </c>
      <c r="M20" s="34">
        <v>45261</v>
      </c>
    </row>
    <row r="21" spans="1:13" ht="15" x14ac:dyDescent="0.2">
      <c r="A21" s="8" t="s">
        <v>110</v>
      </c>
      <c r="B21" s="42">
        <v>49975</v>
      </c>
      <c r="C21" s="42">
        <f t="shared" ref="C21:M21" si="3">B32</f>
        <v>21175</v>
      </c>
      <c r="D21" s="42">
        <f t="shared" si="3"/>
        <v>46175</v>
      </c>
      <c r="E21" s="42">
        <f t="shared" si="3"/>
        <v>71175</v>
      </c>
      <c r="F21" s="42">
        <f t="shared" si="3"/>
        <v>0</v>
      </c>
      <c r="G21" s="42">
        <f t="shared" si="3"/>
        <v>31000</v>
      </c>
      <c r="H21" s="42">
        <f t="shared" si="3"/>
        <v>66000</v>
      </c>
      <c r="I21" s="42">
        <f t="shared" si="3"/>
        <v>96360</v>
      </c>
      <c r="J21" s="42">
        <f t="shared" si="3"/>
        <v>-40</v>
      </c>
      <c r="K21" s="42">
        <f t="shared" si="3"/>
        <v>39960</v>
      </c>
      <c r="L21" s="42">
        <f t="shared" si="3"/>
        <v>79960</v>
      </c>
      <c r="M21" s="42">
        <f t="shared" si="3"/>
        <v>125960</v>
      </c>
    </row>
    <row r="22" spans="1:13" ht="15" x14ac:dyDescent="0.2">
      <c r="A22" s="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ht="15" x14ac:dyDescent="0.2">
      <c r="A23" s="8" t="s">
        <v>3</v>
      </c>
      <c r="B23" s="42">
        <v>1200</v>
      </c>
      <c r="C23" s="42"/>
      <c r="D23" s="42"/>
      <c r="E23" s="42">
        <f>6000-5</f>
        <v>5995</v>
      </c>
      <c r="F23" s="42">
        <v>6000</v>
      </c>
      <c r="G23" s="42">
        <v>5000</v>
      </c>
      <c r="H23" s="42">
        <v>360</v>
      </c>
      <c r="I23" s="42">
        <v>5300</v>
      </c>
      <c r="J23" s="42"/>
      <c r="K23" s="42"/>
      <c r="L23" s="42">
        <v>6000</v>
      </c>
      <c r="M23" s="42">
        <v>15000</v>
      </c>
    </row>
    <row r="24" spans="1:13" ht="15" x14ac:dyDescent="0.2">
      <c r="A24" s="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5</v>
      </c>
      <c r="B29" s="42">
        <v>20000</v>
      </c>
      <c r="C29" s="42">
        <v>25000</v>
      </c>
      <c r="D29" s="42">
        <v>25000</v>
      </c>
      <c r="E29" s="42">
        <v>25000</v>
      </c>
      <c r="F29" s="42">
        <v>25000</v>
      </c>
      <c r="G29" s="42">
        <v>30000</v>
      </c>
      <c r="H29" s="42">
        <v>30000</v>
      </c>
      <c r="I29" s="42">
        <v>30000</v>
      </c>
      <c r="J29" s="42">
        <v>40000</v>
      </c>
      <c r="K29" s="42">
        <v>40000</v>
      </c>
      <c r="L29" s="42">
        <v>40000</v>
      </c>
      <c r="M29" s="42">
        <v>40000</v>
      </c>
    </row>
    <row r="30" spans="1:13" ht="15" x14ac:dyDescent="0.2">
      <c r="A30" s="8" t="s">
        <v>6</v>
      </c>
      <c r="B30" s="43">
        <f t="shared" ref="B30:M30" si="4">SUM(B21:B29)</f>
        <v>71175</v>
      </c>
      <c r="C30" s="43">
        <f t="shared" si="4"/>
        <v>46175</v>
      </c>
      <c r="D30" s="43">
        <f t="shared" si="4"/>
        <v>71175</v>
      </c>
      <c r="E30" s="43">
        <f t="shared" si="4"/>
        <v>102170</v>
      </c>
      <c r="F30" s="43">
        <f t="shared" si="4"/>
        <v>31000</v>
      </c>
      <c r="G30" s="43">
        <f t="shared" si="4"/>
        <v>66000</v>
      </c>
      <c r="H30" s="43">
        <f t="shared" si="4"/>
        <v>96360</v>
      </c>
      <c r="I30" s="43">
        <f t="shared" si="4"/>
        <v>131660</v>
      </c>
      <c r="J30" s="43">
        <f t="shared" si="4"/>
        <v>39960</v>
      </c>
      <c r="K30" s="43">
        <f t="shared" si="4"/>
        <v>79960</v>
      </c>
      <c r="L30" s="43">
        <f t="shared" si="4"/>
        <v>125960</v>
      </c>
      <c r="M30" s="43">
        <f t="shared" si="4"/>
        <v>180960</v>
      </c>
    </row>
    <row r="31" spans="1:13" ht="15.75" thickBot="1" x14ac:dyDescent="0.25">
      <c r="A31" s="8" t="s">
        <v>7</v>
      </c>
      <c r="B31" s="44">
        <v>50000</v>
      </c>
      <c r="C31" s="44"/>
      <c r="D31" s="44"/>
      <c r="E31" s="44">
        <f>50000+53000-830</f>
        <v>102170</v>
      </c>
      <c r="F31" s="44"/>
      <c r="G31" s="44"/>
      <c r="H31" s="44"/>
      <c r="I31" s="44">
        <v>131700</v>
      </c>
      <c r="J31" s="44"/>
      <c r="K31" s="44"/>
      <c r="L31" s="44"/>
      <c r="M31" s="44"/>
    </row>
    <row r="32" spans="1:13" ht="15.75" thickBot="1" x14ac:dyDescent="0.25">
      <c r="A32" s="8" t="s">
        <v>111</v>
      </c>
      <c r="B32" s="45">
        <f t="shared" ref="B32:M32" si="5">B30-B31</f>
        <v>21175</v>
      </c>
      <c r="C32" s="46">
        <f t="shared" si="5"/>
        <v>46175</v>
      </c>
      <c r="D32" s="46">
        <f t="shared" si="5"/>
        <v>71175</v>
      </c>
      <c r="E32" s="46">
        <f t="shared" si="5"/>
        <v>0</v>
      </c>
      <c r="F32" s="46">
        <f t="shared" si="5"/>
        <v>31000</v>
      </c>
      <c r="G32" s="46">
        <f t="shared" si="5"/>
        <v>66000</v>
      </c>
      <c r="H32" s="46">
        <f>H30-H31</f>
        <v>96360</v>
      </c>
      <c r="I32" s="46">
        <f t="shared" si="5"/>
        <v>-40</v>
      </c>
      <c r="J32" s="46">
        <f t="shared" si="5"/>
        <v>39960</v>
      </c>
      <c r="K32" s="46">
        <f t="shared" si="5"/>
        <v>79960</v>
      </c>
      <c r="L32" s="46">
        <f t="shared" si="5"/>
        <v>125960</v>
      </c>
      <c r="M32" s="47">
        <f t="shared" si="5"/>
        <v>180960</v>
      </c>
    </row>
    <row r="34" spans="1:13" x14ac:dyDescent="0.2">
      <c r="C34" t="s">
        <v>511</v>
      </c>
      <c r="D34" s="174">
        <v>112000</v>
      </c>
    </row>
    <row r="35" spans="1:13" ht="15.75" x14ac:dyDescent="0.25">
      <c r="A35" s="33"/>
      <c r="B35" s="34">
        <v>45292</v>
      </c>
      <c r="C35" s="34">
        <v>45323</v>
      </c>
      <c r="D35" s="34">
        <v>45352</v>
      </c>
      <c r="E35" s="34">
        <v>45383</v>
      </c>
      <c r="F35" s="34">
        <v>45413</v>
      </c>
      <c r="G35" s="34">
        <v>45444</v>
      </c>
      <c r="H35" s="34">
        <v>45474</v>
      </c>
      <c r="I35" s="34">
        <v>45505</v>
      </c>
      <c r="J35" s="34">
        <v>45536</v>
      </c>
      <c r="K35" s="34">
        <v>45566</v>
      </c>
      <c r="L35" s="34">
        <v>45597</v>
      </c>
      <c r="M35" s="34">
        <v>45627</v>
      </c>
    </row>
    <row r="36" spans="1:13" ht="15" x14ac:dyDescent="0.2">
      <c r="A36" s="8" t="s">
        <v>110</v>
      </c>
      <c r="B36" s="42">
        <v>181000</v>
      </c>
      <c r="C36" s="42">
        <f t="shared" ref="C36:M36" si="6">B47</f>
        <v>236000</v>
      </c>
      <c r="D36" s="42">
        <f t="shared" si="6"/>
        <v>91000</v>
      </c>
      <c r="E36" s="42">
        <f t="shared" si="6"/>
        <v>151000</v>
      </c>
      <c r="F36" s="42">
        <f t="shared" si="6"/>
        <v>257000</v>
      </c>
      <c r="G36" s="42">
        <f t="shared" si="6"/>
        <v>0</v>
      </c>
      <c r="H36" s="42">
        <f t="shared" si="6"/>
        <v>115000</v>
      </c>
      <c r="I36" s="42">
        <f t="shared" si="6"/>
        <v>280000</v>
      </c>
      <c r="J36" s="42">
        <f t="shared" si="6"/>
        <v>360500</v>
      </c>
      <c r="K36" s="42">
        <f t="shared" si="6"/>
        <v>49958</v>
      </c>
      <c r="L36" s="42">
        <f t="shared" si="6"/>
        <v>139958</v>
      </c>
      <c r="M36" s="42">
        <f t="shared" si="6"/>
        <v>229958</v>
      </c>
    </row>
    <row r="37" spans="1:13" ht="15" x14ac:dyDescent="0.2">
      <c r="A37" s="8" t="s">
        <v>2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ht="15" x14ac:dyDescent="0.2">
      <c r="A38" s="8" t="s">
        <v>3</v>
      </c>
      <c r="B38" s="42">
        <v>5000</v>
      </c>
      <c r="C38" s="42">
        <v>5000</v>
      </c>
      <c r="D38" s="42"/>
      <c r="E38" s="42">
        <v>36000</v>
      </c>
      <c r="F38" s="42">
        <v>14000</v>
      </c>
      <c r="G38" s="42">
        <v>35000</v>
      </c>
      <c r="H38" s="42">
        <v>85000</v>
      </c>
      <c r="I38" s="42">
        <v>500</v>
      </c>
      <c r="J38" s="42">
        <v>50000</v>
      </c>
      <c r="K38" s="42"/>
      <c r="L38" s="42"/>
      <c r="M38" s="42"/>
    </row>
    <row r="39" spans="1:13" ht="15" x14ac:dyDescent="0.2">
      <c r="A39" s="8" t="s">
        <v>4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ht="15" x14ac:dyDescent="0.2">
      <c r="A40" s="8" t="s">
        <v>9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15" x14ac:dyDescent="0.2">
      <c r="A41" s="8" t="s">
        <v>73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ht="15" x14ac:dyDescent="0.2">
      <c r="A42" s="8" t="s">
        <v>74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ht="15" x14ac:dyDescent="0.2">
      <c r="A43" s="8" t="s">
        <v>75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15" x14ac:dyDescent="0.2">
      <c r="A44" s="8" t="s">
        <v>5</v>
      </c>
      <c r="B44" s="42">
        <v>50000</v>
      </c>
      <c r="C44" s="42">
        <v>50000</v>
      </c>
      <c r="D44" s="42">
        <v>60000</v>
      </c>
      <c r="E44" s="42">
        <v>70000</v>
      </c>
      <c r="F44" s="42">
        <v>70000</v>
      </c>
      <c r="G44" s="42">
        <v>80000</v>
      </c>
      <c r="H44" s="42">
        <v>80000</v>
      </c>
      <c r="I44" s="42">
        <v>80000</v>
      </c>
      <c r="J44" s="42">
        <v>80000</v>
      </c>
      <c r="K44" s="42">
        <v>90000</v>
      </c>
      <c r="L44" s="42">
        <v>90000</v>
      </c>
      <c r="M44" s="42"/>
    </row>
    <row r="45" spans="1:13" ht="15" x14ac:dyDescent="0.2">
      <c r="A45" s="8" t="s">
        <v>6</v>
      </c>
      <c r="B45" s="43">
        <f t="shared" ref="B45:M45" si="7">SUM(B36:B44)</f>
        <v>236000</v>
      </c>
      <c r="C45" s="43">
        <f t="shared" si="7"/>
        <v>291000</v>
      </c>
      <c r="D45" s="43">
        <f t="shared" si="7"/>
        <v>151000</v>
      </c>
      <c r="E45" s="43">
        <f t="shared" si="7"/>
        <v>257000</v>
      </c>
      <c r="F45" s="43">
        <f t="shared" si="7"/>
        <v>341000</v>
      </c>
      <c r="G45" s="43">
        <f t="shared" si="7"/>
        <v>115000</v>
      </c>
      <c r="H45" s="43">
        <f t="shared" si="7"/>
        <v>280000</v>
      </c>
      <c r="I45" s="43">
        <f t="shared" si="7"/>
        <v>360500</v>
      </c>
      <c r="J45" s="43">
        <f t="shared" si="7"/>
        <v>490500</v>
      </c>
      <c r="K45" s="43">
        <f t="shared" si="7"/>
        <v>139958</v>
      </c>
      <c r="L45" s="43">
        <f t="shared" si="7"/>
        <v>229958</v>
      </c>
      <c r="M45" s="43">
        <f t="shared" si="7"/>
        <v>229958</v>
      </c>
    </row>
    <row r="46" spans="1:13" ht="15.75" thickBot="1" x14ac:dyDescent="0.25">
      <c r="A46" s="8" t="s">
        <v>7</v>
      </c>
      <c r="B46" s="44"/>
      <c r="C46" s="44">
        <v>200000</v>
      </c>
      <c r="D46" s="44"/>
      <c r="E46" s="44"/>
      <c r="F46" s="44">
        <f>300000+41000</f>
        <v>341000</v>
      </c>
      <c r="G46" s="44"/>
      <c r="H46" s="44"/>
      <c r="I46" s="44"/>
      <c r="J46" s="44">
        <f>336542+104000</f>
        <v>440542</v>
      </c>
      <c r="K46" s="44"/>
      <c r="L46" s="44"/>
      <c r="M46" s="44"/>
    </row>
    <row r="47" spans="1:13" ht="15.75" thickBot="1" x14ac:dyDescent="0.25">
      <c r="A47" s="8" t="s">
        <v>111</v>
      </c>
      <c r="B47" s="45">
        <f t="shared" ref="B47:G47" si="8">B45-B46</f>
        <v>236000</v>
      </c>
      <c r="C47" s="46">
        <f t="shared" si="8"/>
        <v>91000</v>
      </c>
      <c r="D47" s="46">
        <f t="shared" si="8"/>
        <v>151000</v>
      </c>
      <c r="E47" s="46">
        <f t="shared" si="8"/>
        <v>257000</v>
      </c>
      <c r="F47" s="46">
        <f t="shared" si="8"/>
        <v>0</v>
      </c>
      <c r="G47" s="46">
        <f t="shared" si="8"/>
        <v>115000</v>
      </c>
      <c r="H47" s="46">
        <f t="shared" ref="H47:M47" si="9">H45-H46</f>
        <v>280000</v>
      </c>
      <c r="I47" s="46">
        <f t="shared" si="9"/>
        <v>360500</v>
      </c>
      <c r="J47" s="46">
        <f t="shared" si="9"/>
        <v>49958</v>
      </c>
      <c r="K47" s="46">
        <f t="shared" si="9"/>
        <v>139958</v>
      </c>
      <c r="L47" s="46">
        <f t="shared" si="9"/>
        <v>229958</v>
      </c>
      <c r="M47" s="47">
        <f t="shared" si="9"/>
        <v>229958</v>
      </c>
    </row>
    <row r="49" spans="6:9" x14ac:dyDescent="0.2">
      <c r="F49" s="124" t="s">
        <v>687</v>
      </c>
    </row>
    <row r="50" spans="6:9" x14ac:dyDescent="0.2">
      <c r="F50" s="201" t="s">
        <v>688</v>
      </c>
      <c r="G50" s="124"/>
      <c r="H50" s="124"/>
      <c r="I50" s="124"/>
    </row>
  </sheetData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5"/>
  <dimension ref="A2:M34"/>
  <sheetViews>
    <sheetView topLeftCell="A19" workbookViewId="0">
      <selection activeCell="F32" sqref="F32"/>
    </sheetView>
  </sheetViews>
  <sheetFormatPr baseColWidth="10" defaultRowHeight="12.75" x14ac:dyDescent="0.2"/>
  <cols>
    <col min="1" max="1" width="40.28515625" customWidth="1"/>
    <col min="7" max="7" width="14.85546875" bestFit="1" customWidth="1"/>
    <col min="8" max="8" width="12.85546875" bestFit="1" customWidth="1"/>
  </cols>
  <sheetData>
    <row r="2" spans="1:13" x14ac:dyDescent="0.2">
      <c r="A2" t="s">
        <v>385</v>
      </c>
    </row>
    <row r="4" spans="1:13" ht="15.75" x14ac:dyDescent="0.25">
      <c r="A4" s="33"/>
      <c r="B4" s="34">
        <v>45658</v>
      </c>
      <c r="C4" s="34">
        <v>45689</v>
      </c>
      <c r="D4" s="34">
        <v>45717</v>
      </c>
      <c r="E4" s="34">
        <v>45748</v>
      </c>
      <c r="F4" s="34">
        <v>45778</v>
      </c>
      <c r="G4" s="34">
        <v>45809</v>
      </c>
      <c r="H4" s="34">
        <v>45839</v>
      </c>
      <c r="I4" s="34">
        <v>45870</v>
      </c>
      <c r="J4" s="34">
        <v>45901</v>
      </c>
      <c r="K4" s="34">
        <v>45931</v>
      </c>
      <c r="L4" s="34">
        <v>45962</v>
      </c>
      <c r="M4" s="34">
        <v>45992</v>
      </c>
    </row>
    <row r="5" spans="1:13" ht="15" x14ac:dyDescent="0.2">
      <c r="A5" s="8" t="s">
        <v>110</v>
      </c>
      <c r="B5" s="42">
        <v>206150</v>
      </c>
      <c r="C5" s="42">
        <f t="shared" ref="C5:M5" si="0">B16</f>
        <v>0</v>
      </c>
      <c r="D5" s="42">
        <f t="shared" si="0"/>
        <v>126600</v>
      </c>
      <c r="E5" s="42">
        <f t="shared" si="0"/>
        <v>0</v>
      </c>
      <c r="F5" s="42">
        <f t="shared" si="0"/>
        <v>224700</v>
      </c>
      <c r="G5" s="42">
        <f t="shared" si="0"/>
        <v>0</v>
      </c>
      <c r="H5" s="42">
        <f t="shared" si="0"/>
        <v>245400</v>
      </c>
      <c r="I5" s="42">
        <f t="shared" si="0"/>
        <v>399730</v>
      </c>
      <c r="J5" s="42">
        <f t="shared" si="0"/>
        <v>0</v>
      </c>
      <c r="K5" s="42">
        <f t="shared" si="0"/>
        <v>187830</v>
      </c>
      <c r="L5" s="42">
        <f t="shared" si="0"/>
        <v>375660</v>
      </c>
      <c r="M5" s="42">
        <f t="shared" si="0"/>
        <v>0</v>
      </c>
    </row>
    <row r="6" spans="1:13" ht="15" x14ac:dyDescent="0.2">
      <c r="A6" s="8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" x14ac:dyDescent="0.2">
      <c r="A7" s="8" t="s">
        <v>3</v>
      </c>
      <c r="B7" s="42">
        <v>2315</v>
      </c>
      <c r="C7" s="42">
        <v>2900</v>
      </c>
      <c r="D7" s="42">
        <v>5000</v>
      </c>
      <c r="E7" s="42">
        <v>85000</v>
      </c>
      <c r="F7" s="42">
        <v>65800</v>
      </c>
      <c r="G7" s="42">
        <v>95700</v>
      </c>
      <c r="H7" s="42">
        <v>4630</v>
      </c>
      <c r="I7" s="42">
        <v>9600</v>
      </c>
      <c r="J7" s="42">
        <v>4630</v>
      </c>
      <c r="K7" s="42">
        <v>4630</v>
      </c>
      <c r="L7" s="42">
        <v>6600</v>
      </c>
      <c r="M7" s="42">
        <v>5000</v>
      </c>
    </row>
    <row r="8" spans="1:13" ht="15" x14ac:dyDescent="0.2">
      <c r="A8" s="8" t="s">
        <v>627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602</v>
      </c>
      <c r="B12" s="42">
        <v>18000</v>
      </c>
      <c r="C12" s="42">
        <v>28700</v>
      </c>
      <c r="D12" s="42">
        <v>29600</v>
      </c>
      <c r="E12" s="42">
        <v>29700</v>
      </c>
      <c r="F12" s="42">
        <v>29700</v>
      </c>
      <c r="G12" s="42">
        <v>29700</v>
      </c>
      <c r="H12" s="42">
        <v>29700</v>
      </c>
      <c r="I12" s="42">
        <v>33200</v>
      </c>
      <c r="J12" s="42">
        <v>33200</v>
      </c>
      <c r="K12" s="42">
        <v>33200</v>
      </c>
      <c r="L12" s="42">
        <v>33700</v>
      </c>
      <c r="M12" s="42">
        <v>33700</v>
      </c>
    </row>
    <row r="13" spans="1:13" ht="15" x14ac:dyDescent="0.2">
      <c r="A13" s="8" t="s">
        <v>5</v>
      </c>
      <c r="B13" s="42">
        <v>95000</v>
      </c>
      <c r="C13" s="42">
        <v>95000</v>
      </c>
      <c r="D13" s="42">
        <v>100000</v>
      </c>
      <c r="E13" s="42">
        <v>110000</v>
      </c>
      <c r="F13" s="42">
        <v>110000</v>
      </c>
      <c r="G13" s="42">
        <v>120000</v>
      </c>
      <c r="H13" s="42">
        <v>120000</v>
      </c>
      <c r="I13" s="42">
        <v>125000</v>
      </c>
      <c r="J13" s="42">
        <v>150000</v>
      </c>
      <c r="K13" s="42">
        <v>150000</v>
      </c>
      <c r="L13" s="42">
        <v>150000</v>
      </c>
      <c r="M13" s="42">
        <v>160000</v>
      </c>
    </row>
    <row r="14" spans="1:13" ht="15" x14ac:dyDescent="0.2">
      <c r="A14" s="8" t="s">
        <v>6</v>
      </c>
      <c r="B14" s="43">
        <f t="shared" ref="B14:M14" si="1">SUM(B5:B13)</f>
        <v>321465</v>
      </c>
      <c r="C14" s="43">
        <f t="shared" si="1"/>
        <v>126600</v>
      </c>
      <c r="D14" s="43">
        <f t="shared" si="1"/>
        <v>261200</v>
      </c>
      <c r="E14" s="43">
        <f t="shared" si="1"/>
        <v>224700</v>
      </c>
      <c r="F14" s="43">
        <f t="shared" si="1"/>
        <v>430200</v>
      </c>
      <c r="G14" s="43">
        <f t="shared" si="1"/>
        <v>245400</v>
      </c>
      <c r="H14" s="43">
        <f t="shared" si="1"/>
        <v>399730</v>
      </c>
      <c r="I14" s="43">
        <f t="shared" si="1"/>
        <v>567530</v>
      </c>
      <c r="J14" s="43">
        <f t="shared" si="1"/>
        <v>187830</v>
      </c>
      <c r="K14" s="43">
        <f t="shared" si="1"/>
        <v>375660</v>
      </c>
      <c r="L14" s="43">
        <f t="shared" si="1"/>
        <v>565960</v>
      </c>
      <c r="M14" s="43">
        <f t="shared" si="1"/>
        <v>198700</v>
      </c>
    </row>
    <row r="15" spans="1:13" ht="15.75" thickBot="1" x14ac:dyDescent="0.25">
      <c r="A15" s="8" t="s">
        <v>7</v>
      </c>
      <c r="B15" s="44">
        <v>321465</v>
      </c>
      <c r="C15" s="44"/>
      <c r="D15" s="44">
        <v>261200</v>
      </c>
      <c r="E15" s="44"/>
      <c r="F15" s="44">
        <v>430200</v>
      </c>
      <c r="G15" s="44"/>
      <c r="H15" s="44"/>
      <c r="I15" s="44">
        <v>567530</v>
      </c>
      <c r="J15" s="44"/>
      <c r="K15" s="44"/>
      <c r="L15" s="44">
        <v>565960</v>
      </c>
      <c r="M15" s="44"/>
    </row>
    <row r="16" spans="1:13" ht="15.75" thickBot="1" x14ac:dyDescent="0.25">
      <c r="A16" s="8" t="s">
        <v>111</v>
      </c>
      <c r="B16" s="45">
        <f t="shared" ref="B16:M16" si="2">B14-B15</f>
        <v>0</v>
      </c>
      <c r="C16" s="46">
        <f t="shared" si="2"/>
        <v>126600</v>
      </c>
      <c r="D16" s="46">
        <f t="shared" si="2"/>
        <v>0</v>
      </c>
      <c r="E16" s="46">
        <f t="shared" si="2"/>
        <v>224700</v>
      </c>
      <c r="F16" s="46">
        <f t="shared" si="2"/>
        <v>0</v>
      </c>
      <c r="G16" s="46">
        <f t="shared" si="2"/>
        <v>245400</v>
      </c>
      <c r="H16" s="46">
        <f>H14-H15</f>
        <v>399730</v>
      </c>
      <c r="I16" s="46">
        <f t="shared" si="2"/>
        <v>0</v>
      </c>
      <c r="J16" s="46">
        <f>J14-J15</f>
        <v>187830</v>
      </c>
      <c r="K16" s="46">
        <f t="shared" si="2"/>
        <v>375660</v>
      </c>
      <c r="L16" s="46">
        <f t="shared" si="2"/>
        <v>0</v>
      </c>
      <c r="M16" s="47">
        <f t="shared" si="2"/>
        <v>198700</v>
      </c>
    </row>
    <row r="17" spans="1:13" x14ac:dyDescent="0.2">
      <c r="B17" s="128">
        <v>44951</v>
      </c>
      <c r="C17" s="128"/>
    </row>
    <row r="21" spans="1:13" ht="15.75" x14ac:dyDescent="0.25">
      <c r="A21" s="33"/>
      <c r="B21" s="34">
        <v>46023</v>
      </c>
      <c r="C21" s="34">
        <v>46054</v>
      </c>
      <c r="D21" s="34">
        <v>46082</v>
      </c>
      <c r="E21" s="34">
        <v>46113</v>
      </c>
      <c r="F21" s="34">
        <v>46143</v>
      </c>
      <c r="G21" s="34">
        <v>46174</v>
      </c>
      <c r="H21" s="34">
        <v>46204</v>
      </c>
      <c r="I21" s="34">
        <v>46235</v>
      </c>
      <c r="J21" s="34">
        <v>46266</v>
      </c>
      <c r="K21" s="34">
        <v>46296</v>
      </c>
      <c r="L21" s="34">
        <v>46327</v>
      </c>
      <c r="M21" s="34">
        <v>46357</v>
      </c>
    </row>
    <row r="22" spans="1:13" ht="15" x14ac:dyDescent="0.2">
      <c r="A22" s="8" t="s">
        <v>110</v>
      </c>
      <c r="B22" s="42">
        <v>198700</v>
      </c>
      <c r="C22" s="42">
        <f>B33</f>
        <v>397430</v>
      </c>
      <c r="D22" s="42">
        <f t="shared" ref="D22:M22" si="3">C33</f>
        <v>0</v>
      </c>
      <c r="E22" s="42">
        <f t="shared" si="3"/>
        <v>203520</v>
      </c>
      <c r="F22" s="42">
        <f t="shared" si="3"/>
        <v>407040</v>
      </c>
      <c r="G22" s="42">
        <f t="shared" si="3"/>
        <v>610560</v>
      </c>
      <c r="H22" s="42">
        <f t="shared" si="3"/>
        <v>610560</v>
      </c>
      <c r="I22" s="42">
        <f t="shared" si="3"/>
        <v>610560</v>
      </c>
      <c r="J22" s="42">
        <f t="shared" si="3"/>
        <v>610560</v>
      </c>
      <c r="K22" s="42">
        <f t="shared" si="3"/>
        <v>610560</v>
      </c>
      <c r="L22" s="42">
        <f t="shared" si="3"/>
        <v>610560</v>
      </c>
      <c r="M22" s="42">
        <f t="shared" si="3"/>
        <v>610560</v>
      </c>
    </row>
    <row r="23" spans="1:13" ht="15" x14ac:dyDescent="0.2">
      <c r="A23" s="8" t="s">
        <v>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3</v>
      </c>
      <c r="B24" s="42">
        <v>4630</v>
      </c>
      <c r="C24" s="42">
        <v>26020</v>
      </c>
      <c r="D24" s="42">
        <v>6020</v>
      </c>
      <c r="E24" s="42">
        <v>6020</v>
      </c>
      <c r="F24" s="42">
        <v>6020</v>
      </c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73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5" x14ac:dyDescent="0.2">
      <c r="A28" s="8" t="s">
        <v>395</v>
      </c>
      <c r="B28" s="42">
        <v>34100</v>
      </c>
      <c r="C28" s="42">
        <v>37500</v>
      </c>
      <c r="D28" s="42">
        <v>37500</v>
      </c>
      <c r="E28" s="42">
        <v>37500</v>
      </c>
      <c r="F28" s="42">
        <v>37500</v>
      </c>
      <c r="G28" s="42"/>
      <c r="H28" s="42"/>
      <c r="I28" s="42"/>
      <c r="J28" s="42"/>
      <c r="K28" s="42"/>
      <c r="L28" s="42"/>
      <c r="M28" s="42"/>
    </row>
    <row r="29" spans="1:13" ht="15" x14ac:dyDescent="0.2">
      <c r="A29" s="8" t="s">
        <v>75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5" x14ac:dyDescent="0.2">
      <c r="A30" s="8" t="s">
        <v>5</v>
      </c>
      <c r="B30" s="42">
        <v>160000</v>
      </c>
      <c r="C30" s="42">
        <v>160000</v>
      </c>
      <c r="D30" s="42">
        <v>160000</v>
      </c>
      <c r="E30" s="42">
        <v>160000</v>
      </c>
      <c r="F30" s="42">
        <v>160000</v>
      </c>
      <c r="G30" s="42"/>
      <c r="H30" s="42"/>
      <c r="I30" s="42"/>
      <c r="J30" s="42"/>
      <c r="K30" s="42"/>
      <c r="L30" s="42"/>
      <c r="M30" s="42"/>
    </row>
    <row r="31" spans="1:13" ht="15" x14ac:dyDescent="0.2">
      <c r="A31" s="8" t="s">
        <v>6</v>
      </c>
      <c r="B31" s="43">
        <f t="shared" ref="B31:M31" si="4">SUM(B22:B30)</f>
        <v>397430</v>
      </c>
      <c r="C31" s="43">
        <f t="shared" si="4"/>
        <v>620950</v>
      </c>
      <c r="D31" s="43">
        <f t="shared" si="4"/>
        <v>203520</v>
      </c>
      <c r="E31" s="43">
        <f t="shared" si="4"/>
        <v>407040</v>
      </c>
      <c r="F31" s="43">
        <f t="shared" si="4"/>
        <v>610560</v>
      </c>
      <c r="G31" s="43">
        <f t="shared" si="4"/>
        <v>610560</v>
      </c>
      <c r="H31" s="43">
        <f t="shared" si="4"/>
        <v>610560</v>
      </c>
      <c r="I31" s="43">
        <f t="shared" si="4"/>
        <v>610560</v>
      </c>
      <c r="J31" s="43">
        <f t="shared" si="4"/>
        <v>610560</v>
      </c>
      <c r="K31" s="43">
        <f t="shared" si="4"/>
        <v>610560</v>
      </c>
      <c r="L31" s="43">
        <f t="shared" si="4"/>
        <v>610560</v>
      </c>
      <c r="M31" s="43">
        <f t="shared" si="4"/>
        <v>610560</v>
      </c>
    </row>
    <row r="32" spans="1:13" ht="15.75" thickBot="1" x14ac:dyDescent="0.25">
      <c r="A32" s="8" t="s">
        <v>7</v>
      </c>
      <c r="B32" s="44"/>
      <c r="C32" s="44">
        <v>620950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spans="1:13" ht="15.75" thickBot="1" x14ac:dyDescent="0.25">
      <c r="A33" s="8" t="s">
        <v>111</v>
      </c>
      <c r="B33" s="45">
        <f t="shared" ref="B33:G33" si="5">B31-B32</f>
        <v>397430</v>
      </c>
      <c r="C33" s="46">
        <f t="shared" si="5"/>
        <v>0</v>
      </c>
      <c r="D33" s="46">
        <f t="shared" si="5"/>
        <v>203520</v>
      </c>
      <c r="E33" s="46">
        <f t="shared" si="5"/>
        <v>407040</v>
      </c>
      <c r="F33" s="46">
        <f t="shared" si="5"/>
        <v>610560</v>
      </c>
      <c r="G33" s="46">
        <f t="shared" si="5"/>
        <v>610560</v>
      </c>
      <c r="H33" s="46">
        <f t="shared" ref="H33:M33" si="6">H31-H32</f>
        <v>610560</v>
      </c>
      <c r="I33" s="46">
        <f t="shared" si="6"/>
        <v>610560</v>
      </c>
      <c r="J33" s="46">
        <f t="shared" si="6"/>
        <v>610560</v>
      </c>
      <c r="K33" s="46">
        <f t="shared" si="6"/>
        <v>610560</v>
      </c>
      <c r="L33" s="46">
        <f>L31-L32</f>
        <v>610560</v>
      </c>
      <c r="M33" s="47">
        <f t="shared" si="6"/>
        <v>610560</v>
      </c>
    </row>
    <row r="34" spans="1:13" x14ac:dyDescent="0.2">
      <c r="I34" s="128">
        <v>44818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6"/>
  <dimension ref="A1:N96"/>
  <sheetViews>
    <sheetView workbookViewId="0">
      <selection activeCell="K63" sqref="K63"/>
    </sheetView>
  </sheetViews>
  <sheetFormatPr baseColWidth="10" defaultRowHeight="12.75" x14ac:dyDescent="0.2"/>
  <cols>
    <col min="1" max="1" width="38.42578125" customWidth="1"/>
  </cols>
  <sheetData>
    <row r="1" spans="1:13" x14ac:dyDescent="0.2">
      <c r="A1" t="s">
        <v>154</v>
      </c>
    </row>
    <row r="3" spans="1:13" ht="15.75" x14ac:dyDescent="0.25">
      <c r="A3" s="33"/>
      <c r="B3" s="34">
        <v>43466</v>
      </c>
      <c r="C3" s="34">
        <v>43497</v>
      </c>
      <c r="D3" s="34">
        <v>43525</v>
      </c>
      <c r="E3" s="34">
        <v>43556</v>
      </c>
      <c r="F3" s="34">
        <v>43586</v>
      </c>
      <c r="G3" s="34">
        <v>43617</v>
      </c>
      <c r="H3" s="34">
        <v>43647</v>
      </c>
      <c r="I3" s="34">
        <v>43678</v>
      </c>
      <c r="J3" s="34">
        <v>43709</v>
      </c>
      <c r="K3" s="34">
        <v>43739</v>
      </c>
      <c r="L3" s="34">
        <v>43770</v>
      </c>
      <c r="M3" s="34">
        <v>43800</v>
      </c>
    </row>
    <row r="4" spans="1:13" ht="15" x14ac:dyDescent="0.2">
      <c r="A4" s="8" t="s">
        <v>110</v>
      </c>
      <c r="B4" s="42">
        <v>24000</v>
      </c>
      <c r="C4" s="42">
        <f>B15</f>
        <v>28000</v>
      </c>
      <c r="D4" s="42">
        <f t="shared" ref="D4:M4" si="0">C15</f>
        <v>32000</v>
      </c>
      <c r="E4" s="42">
        <f t="shared" si="0"/>
        <v>36000</v>
      </c>
      <c r="F4" s="42">
        <f t="shared" si="0"/>
        <v>0</v>
      </c>
      <c r="G4" s="42">
        <f t="shared" si="0"/>
        <v>4000</v>
      </c>
      <c r="H4" s="42">
        <f t="shared" si="0"/>
        <v>8000</v>
      </c>
      <c r="I4" s="42">
        <f t="shared" si="0"/>
        <v>12000</v>
      </c>
      <c r="J4" s="42">
        <f t="shared" si="0"/>
        <v>16000</v>
      </c>
      <c r="K4" s="42">
        <f t="shared" si="0"/>
        <v>20000</v>
      </c>
      <c r="L4" s="42">
        <f t="shared" si="0"/>
        <v>24000</v>
      </c>
      <c r="M4" s="42">
        <f t="shared" si="0"/>
        <v>28000</v>
      </c>
    </row>
    <row r="5" spans="1:13" ht="15" x14ac:dyDescent="0.2">
      <c r="A5" s="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ht="15" x14ac:dyDescent="0.2">
      <c r="A6" s="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" x14ac:dyDescent="0.2">
      <c r="A7" s="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5</v>
      </c>
      <c r="B12" s="42">
        <v>4000</v>
      </c>
      <c r="C12" s="42">
        <v>4000</v>
      </c>
      <c r="D12" s="42">
        <v>4000</v>
      </c>
      <c r="E12" s="42">
        <v>4000</v>
      </c>
      <c r="F12" s="42">
        <v>4000</v>
      </c>
      <c r="G12" s="42">
        <v>4000</v>
      </c>
      <c r="H12" s="42">
        <v>4000</v>
      </c>
      <c r="I12" s="42">
        <v>4000</v>
      </c>
      <c r="J12" s="42">
        <v>4000</v>
      </c>
      <c r="K12" s="42">
        <v>4000</v>
      </c>
      <c r="L12" s="42">
        <v>4000</v>
      </c>
      <c r="M12" s="42">
        <v>4000</v>
      </c>
    </row>
    <row r="13" spans="1:13" ht="15" x14ac:dyDescent="0.2">
      <c r="A13" s="8" t="s">
        <v>6</v>
      </c>
      <c r="B13" s="43">
        <f t="shared" ref="B13:M13" si="1">SUM(B4:B12)</f>
        <v>28000</v>
      </c>
      <c r="C13" s="43">
        <f t="shared" si="1"/>
        <v>32000</v>
      </c>
      <c r="D13" s="43">
        <f t="shared" si="1"/>
        <v>36000</v>
      </c>
      <c r="E13" s="43">
        <f t="shared" si="1"/>
        <v>40000</v>
      </c>
      <c r="F13" s="43">
        <f t="shared" si="1"/>
        <v>4000</v>
      </c>
      <c r="G13" s="43">
        <f t="shared" si="1"/>
        <v>8000</v>
      </c>
      <c r="H13" s="43">
        <f t="shared" si="1"/>
        <v>12000</v>
      </c>
      <c r="I13" s="43">
        <f t="shared" si="1"/>
        <v>16000</v>
      </c>
      <c r="J13" s="43">
        <f t="shared" si="1"/>
        <v>20000</v>
      </c>
      <c r="K13" s="43">
        <f t="shared" si="1"/>
        <v>24000</v>
      </c>
      <c r="L13" s="43">
        <f t="shared" si="1"/>
        <v>28000</v>
      </c>
      <c r="M13" s="43">
        <f t="shared" si="1"/>
        <v>32000</v>
      </c>
    </row>
    <row r="14" spans="1:13" ht="15.75" thickBot="1" x14ac:dyDescent="0.25">
      <c r="A14" s="8" t="s">
        <v>7</v>
      </c>
      <c r="B14" s="44"/>
      <c r="C14" s="44"/>
      <c r="D14" s="44"/>
      <c r="E14" s="44">
        <v>40000</v>
      </c>
      <c r="F14" s="44"/>
      <c r="G14" s="44"/>
      <c r="H14" s="44"/>
      <c r="I14" s="44"/>
      <c r="J14" s="44"/>
      <c r="K14" s="44"/>
      <c r="L14" s="44"/>
      <c r="M14" s="44"/>
    </row>
    <row r="15" spans="1:13" ht="15.75" thickBot="1" x14ac:dyDescent="0.25">
      <c r="A15" s="8" t="s">
        <v>111</v>
      </c>
      <c r="B15" s="45">
        <f t="shared" ref="B15:M15" si="2">B13-B14</f>
        <v>28000</v>
      </c>
      <c r="C15" s="46">
        <f t="shared" si="2"/>
        <v>32000</v>
      </c>
      <c r="D15" s="46">
        <f t="shared" si="2"/>
        <v>36000</v>
      </c>
      <c r="E15" s="46">
        <f>SUM(A3)</f>
        <v>0</v>
      </c>
      <c r="F15" s="46">
        <f t="shared" si="2"/>
        <v>4000</v>
      </c>
      <c r="G15" s="46">
        <f t="shared" si="2"/>
        <v>8000</v>
      </c>
      <c r="H15" s="46">
        <f t="shared" si="2"/>
        <v>12000</v>
      </c>
      <c r="I15" s="46">
        <f t="shared" si="2"/>
        <v>16000</v>
      </c>
      <c r="J15" s="46">
        <f t="shared" si="2"/>
        <v>20000</v>
      </c>
      <c r="K15" s="46">
        <f t="shared" si="2"/>
        <v>24000</v>
      </c>
      <c r="L15" s="46">
        <f t="shared" si="2"/>
        <v>28000</v>
      </c>
      <c r="M15" s="47">
        <f t="shared" si="2"/>
        <v>32000</v>
      </c>
    </row>
    <row r="17" spans="1:14" ht="15" x14ac:dyDescent="0.2">
      <c r="A17" s="40" t="s">
        <v>174</v>
      </c>
    </row>
    <row r="20" spans="1:14" ht="15.75" x14ac:dyDescent="0.25">
      <c r="A20" s="33"/>
      <c r="B20" s="34">
        <v>43831</v>
      </c>
      <c r="C20" s="34">
        <v>43862</v>
      </c>
      <c r="D20" s="34">
        <v>43891</v>
      </c>
      <c r="E20" s="34">
        <v>43922</v>
      </c>
      <c r="F20" s="34">
        <v>43952</v>
      </c>
      <c r="G20" s="34">
        <v>43983</v>
      </c>
      <c r="H20" s="34">
        <v>44013</v>
      </c>
      <c r="I20" s="34">
        <v>44044</v>
      </c>
      <c r="J20" s="34">
        <v>44075</v>
      </c>
      <c r="K20" s="34">
        <v>44105</v>
      </c>
      <c r="L20" s="34">
        <v>44136</v>
      </c>
      <c r="M20" s="34">
        <v>44166</v>
      </c>
    </row>
    <row r="21" spans="1:14" ht="15" x14ac:dyDescent="0.2">
      <c r="A21" s="8" t="s">
        <v>110</v>
      </c>
      <c r="B21" s="42">
        <v>32000</v>
      </c>
      <c r="C21" s="42">
        <f t="shared" ref="C21:M21" si="3">B32</f>
        <v>37000</v>
      </c>
      <c r="D21" s="42">
        <f t="shared" si="3"/>
        <v>42000</v>
      </c>
      <c r="E21" s="42">
        <f t="shared" si="3"/>
        <v>47000</v>
      </c>
      <c r="F21" s="42">
        <f t="shared" si="3"/>
        <v>52000</v>
      </c>
      <c r="G21" s="42">
        <f t="shared" si="3"/>
        <v>57000</v>
      </c>
      <c r="H21" s="42">
        <f t="shared" si="3"/>
        <v>62000</v>
      </c>
      <c r="I21" s="42">
        <f t="shared" si="3"/>
        <v>67000</v>
      </c>
      <c r="J21" s="42">
        <f t="shared" si="3"/>
        <v>72000</v>
      </c>
      <c r="K21" s="42">
        <f t="shared" si="3"/>
        <v>77000</v>
      </c>
      <c r="L21" s="42">
        <f t="shared" si="3"/>
        <v>82000</v>
      </c>
      <c r="M21" s="42">
        <f t="shared" si="3"/>
        <v>87000</v>
      </c>
    </row>
    <row r="22" spans="1:14" ht="15" x14ac:dyDescent="0.2">
      <c r="A22" s="8" t="s">
        <v>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>
        <f>1600*42</f>
        <v>67200</v>
      </c>
    </row>
    <row r="23" spans="1:14" ht="15" x14ac:dyDescent="0.2">
      <c r="A23" s="8" t="s">
        <v>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4" ht="15" x14ac:dyDescent="0.2">
      <c r="A24" s="8" t="s">
        <v>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4" ht="15" x14ac:dyDescent="0.2">
      <c r="A25" s="8" t="s">
        <v>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4" ht="15" x14ac:dyDescent="0.2">
      <c r="A26" s="8" t="s">
        <v>73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4" ht="15" x14ac:dyDescent="0.2">
      <c r="A27" s="8" t="s">
        <v>74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4" ht="15" x14ac:dyDescent="0.2">
      <c r="A28" s="8" t="s">
        <v>75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4" ht="15" x14ac:dyDescent="0.2">
      <c r="A29" s="8" t="s">
        <v>5</v>
      </c>
      <c r="B29" s="42">
        <v>5000</v>
      </c>
      <c r="C29" s="42">
        <v>5000</v>
      </c>
      <c r="D29" s="42">
        <v>5000</v>
      </c>
      <c r="E29" s="42">
        <v>5000</v>
      </c>
      <c r="F29" s="42">
        <v>5000</v>
      </c>
      <c r="G29" s="42">
        <v>5000</v>
      </c>
      <c r="H29" s="42">
        <v>5000</v>
      </c>
      <c r="I29" s="42">
        <v>5000</v>
      </c>
      <c r="J29" s="42">
        <v>5000</v>
      </c>
      <c r="K29" s="42">
        <v>5000</v>
      </c>
      <c r="L29" s="42">
        <v>5000</v>
      </c>
      <c r="M29" s="42">
        <v>5000</v>
      </c>
    </row>
    <row r="30" spans="1:14" ht="15" x14ac:dyDescent="0.2">
      <c r="A30" s="8" t="s">
        <v>6</v>
      </c>
      <c r="B30" s="43">
        <f t="shared" ref="B30:M30" si="4">SUM(B21:B29)</f>
        <v>37000</v>
      </c>
      <c r="C30" s="43">
        <f t="shared" si="4"/>
        <v>42000</v>
      </c>
      <c r="D30" s="43">
        <f t="shared" si="4"/>
        <v>47000</v>
      </c>
      <c r="E30" s="43">
        <f t="shared" si="4"/>
        <v>52000</v>
      </c>
      <c r="F30" s="43">
        <f t="shared" si="4"/>
        <v>57000</v>
      </c>
      <c r="G30" s="43">
        <f t="shared" si="4"/>
        <v>62000</v>
      </c>
      <c r="H30" s="43">
        <f t="shared" si="4"/>
        <v>67000</v>
      </c>
      <c r="I30" s="43">
        <f t="shared" si="4"/>
        <v>72000</v>
      </c>
      <c r="J30" s="43">
        <f t="shared" si="4"/>
        <v>77000</v>
      </c>
      <c r="K30" s="43">
        <f t="shared" si="4"/>
        <v>82000</v>
      </c>
      <c r="L30" s="43">
        <f t="shared" si="4"/>
        <v>87000</v>
      </c>
      <c r="M30" s="43">
        <f t="shared" si="4"/>
        <v>92000</v>
      </c>
    </row>
    <row r="31" spans="1:14" ht="15.75" thickBot="1" x14ac:dyDescent="0.25">
      <c r="A31" s="8" t="s">
        <v>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>
        <v>50000</v>
      </c>
    </row>
    <row r="32" spans="1:14" ht="15.75" thickBot="1" x14ac:dyDescent="0.25">
      <c r="A32" s="8" t="s">
        <v>111</v>
      </c>
      <c r="B32" s="45">
        <f t="shared" ref="B32:M32" si="5">B30-B31</f>
        <v>37000</v>
      </c>
      <c r="C32" s="46">
        <f t="shared" si="5"/>
        <v>42000</v>
      </c>
      <c r="D32" s="46">
        <f t="shared" si="5"/>
        <v>47000</v>
      </c>
      <c r="E32" s="46">
        <f t="shared" si="5"/>
        <v>52000</v>
      </c>
      <c r="F32" s="46">
        <f t="shared" si="5"/>
        <v>57000</v>
      </c>
      <c r="G32" s="46">
        <f t="shared" si="5"/>
        <v>62000</v>
      </c>
      <c r="H32" s="46">
        <f t="shared" si="5"/>
        <v>67000</v>
      </c>
      <c r="I32" s="46">
        <f t="shared" si="5"/>
        <v>72000</v>
      </c>
      <c r="J32" s="46">
        <f t="shared" si="5"/>
        <v>77000</v>
      </c>
      <c r="K32" s="46">
        <f t="shared" si="5"/>
        <v>82000</v>
      </c>
      <c r="L32" s="46">
        <f t="shared" si="5"/>
        <v>87000</v>
      </c>
      <c r="M32" s="47">
        <f t="shared" si="5"/>
        <v>42000</v>
      </c>
    </row>
    <row r="34" spans="1:13" ht="15" x14ac:dyDescent="0.2">
      <c r="A34" s="40"/>
    </row>
    <row r="37" spans="1:13" ht="15.75" x14ac:dyDescent="0.25">
      <c r="A37" s="33"/>
      <c r="B37" s="34">
        <v>44197</v>
      </c>
      <c r="C37" s="34">
        <v>44228</v>
      </c>
      <c r="D37" s="34">
        <v>44256</v>
      </c>
      <c r="E37" s="34">
        <v>44287</v>
      </c>
      <c r="F37" s="34">
        <v>44317</v>
      </c>
      <c r="G37" s="34">
        <v>44348</v>
      </c>
      <c r="H37" s="34">
        <v>44378</v>
      </c>
      <c r="I37" s="34">
        <v>44409</v>
      </c>
      <c r="J37" s="34">
        <v>44440</v>
      </c>
      <c r="K37" s="34">
        <v>44470</v>
      </c>
      <c r="L37" s="34">
        <v>44501</v>
      </c>
      <c r="M37" s="34">
        <v>44531</v>
      </c>
    </row>
    <row r="38" spans="1:13" ht="15" x14ac:dyDescent="0.2">
      <c r="A38" s="8" t="s">
        <v>110</v>
      </c>
      <c r="B38" s="42">
        <v>50000</v>
      </c>
      <c r="C38" s="42">
        <f t="shared" ref="C38:M38" si="6">B49</f>
        <v>70000</v>
      </c>
      <c r="D38" s="42">
        <f t="shared" si="6"/>
        <v>90000</v>
      </c>
      <c r="E38" s="42">
        <f t="shared" si="6"/>
        <v>110000</v>
      </c>
      <c r="F38" s="42">
        <f t="shared" si="6"/>
        <v>130000</v>
      </c>
      <c r="G38" s="42">
        <f t="shared" si="6"/>
        <v>150000</v>
      </c>
      <c r="H38" s="42">
        <f t="shared" si="6"/>
        <v>170000</v>
      </c>
      <c r="I38" s="42">
        <f t="shared" si="6"/>
        <v>190000</v>
      </c>
      <c r="J38" s="42">
        <f t="shared" si="6"/>
        <v>210000</v>
      </c>
      <c r="K38" s="42">
        <f t="shared" si="6"/>
        <v>230000</v>
      </c>
      <c r="L38" s="42">
        <f t="shared" si="6"/>
        <v>250000</v>
      </c>
      <c r="M38" s="42">
        <f t="shared" si="6"/>
        <v>270000</v>
      </c>
    </row>
    <row r="39" spans="1:13" ht="15" x14ac:dyDescent="0.2">
      <c r="A39" s="8" t="s">
        <v>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ht="15" x14ac:dyDescent="0.2">
      <c r="A40" s="8" t="s">
        <v>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15" x14ac:dyDescent="0.2">
      <c r="A41" s="8" t="s">
        <v>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ht="15" x14ac:dyDescent="0.2">
      <c r="A42" s="8" t="s">
        <v>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ht="15" x14ac:dyDescent="0.2">
      <c r="A43" s="8" t="s">
        <v>73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15" x14ac:dyDescent="0.2">
      <c r="A44" s="8" t="s">
        <v>74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5" x14ac:dyDescent="0.2">
      <c r="A45" s="8" t="s">
        <v>75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>
        <v>10000</v>
      </c>
    </row>
    <row r="46" spans="1:13" ht="15" x14ac:dyDescent="0.2">
      <c r="A46" s="8" t="s">
        <v>5</v>
      </c>
      <c r="B46" s="42">
        <v>20000</v>
      </c>
      <c r="C46" s="42">
        <v>20000</v>
      </c>
      <c r="D46" s="42">
        <v>20000</v>
      </c>
      <c r="E46" s="42">
        <v>20000</v>
      </c>
      <c r="F46" s="42">
        <v>20000</v>
      </c>
      <c r="G46" s="42">
        <v>20000</v>
      </c>
      <c r="H46" s="42">
        <v>20000</v>
      </c>
      <c r="I46" s="42">
        <v>20000</v>
      </c>
      <c r="J46" s="42">
        <v>20000</v>
      </c>
      <c r="K46" s="42">
        <v>20000</v>
      </c>
      <c r="L46" s="42">
        <v>20000</v>
      </c>
      <c r="M46" s="42">
        <v>20000</v>
      </c>
    </row>
    <row r="47" spans="1:13" ht="15" x14ac:dyDescent="0.2">
      <c r="A47" s="8" t="s">
        <v>6</v>
      </c>
      <c r="B47" s="43">
        <f t="shared" ref="B47:M47" si="7">SUM(B38:B46)</f>
        <v>70000</v>
      </c>
      <c r="C47" s="43">
        <f t="shared" si="7"/>
        <v>90000</v>
      </c>
      <c r="D47" s="43">
        <f t="shared" si="7"/>
        <v>110000</v>
      </c>
      <c r="E47" s="43">
        <f t="shared" si="7"/>
        <v>130000</v>
      </c>
      <c r="F47" s="43">
        <f t="shared" si="7"/>
        <v>150000</v>
      </c>
      <c r="G47" s="43">
        <f t="shared" si="7"/>
        <v>170000</v>
      </c>
      <c r="H47" s="43">
        <f t="shared" si="7"/>
        <v>190000</v>
      </c>
      <c r="I47" s="43">
        <f t="shared" si="7"/>
        <v>210000</v>
      </c>
      <c r="J47" s="43">
        <f t="shared" si="7"/>
        <v>230000</v>
      </c>
      <c r="K47" s="43">
        <f t="shared" si="7"/>
        <v>250000</v>
      </c>
      <c r="L47" s="43">
        <f t="shared" si="7"/>
        <v>270000</v>
      </c>
      <c r="M47" s="43">
        <f t="shared" si="7"/>
        <v>300000</v>
      </c>
    </row>
    <row r="48" spans="1:13" ht="15.75" thickBot="1" x14ac:dyDescent="0.25">
      <c r="A48" s="8" t="s">
        <v>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13" ht="15.75" thickBot="1" x14ac:dyDescent="0.25">
      <c r="A49" s="8" t="s">
        <v>111</v>
      </c>
      <c r="B49" s="45">
        <f t="shared" ref="B49:M49" si="8">B47-B48</f>
        <v>70000</v>
      </c>
      <c r="C49" s="46">
        <f t="shared" si="8"/>
        <v>90000</v>
      </c>
      <c r="D49" s="46">
        <f t="shared" si="8"/>
        <v>110000</v>
      </c>
      <c r="E49" s="46">
        <f t="shared" si="8"/>
        <v>130000</v>
      </c>
      <c r="F49" s="46">
        <f t="shared" si="8"/>
        <v>150000</v>
      </c>
      <c r="G49" s="46">
        <f t="shared" si="8"/>
        <v>170000</v>
      </c>
      <c r="H49" s="46">
        <f t="shared" si="8"/>
        <v>190000</v>
      </c>
      <c r="I49" s="46">
        <f t="shared" si="8"/>
        <v>210000</v>
      </c>
      <c r="J49" s="46">
        <f t="shared" si="8"/>
        <v>230000</v>
      </c>
      <c r="K49" s="46">
        <f t="shared" si="8"/>
        <v>250000</v>
      </c>
      <c r="L49" s="46">
        <f t="shared" si="8"/>
        <v>270000</v>
      </c>
      <c r="M49" s="47">
        <f t="shared" si="8"/>
        <v>300000</v>
      </c>
    </row>
    <row r="52" spans="1:13" x14ac:dyDescent="0.2">
      <c r="A52" s="81"/>
      <c r="B52" s="82">
        <v>44927</v>
      </c>
      <c r="C52" s="82">
        <v>44958</v>
      </c>
      <c r="D52" s="82">
        <v>44986</v>
      </c>
      <c r="E52" s="82">
        <v>45017</v>
      </c>
      <c r="F52" s="82">
        <v>45047</v>
      </c>
      <c r="G52" s="82">
        <v>45078</v>
      </c>
      <c r="H52" s="82">
        <v>45108</v>
      </c>
      <c r="I52" s="82">
        <v>45139</v>
      </c>
      <c r="J52" s="82">
        <v>45170</v>
      </c>
      <c r="K52" s="82">
        <v>45200</v>
      </c>
      <c r="L52" s="82">
        <v>45231</v>
      </c>
      <c r="M52" s="82">
        <v>45261</v>
      </c>
    </row>
    <row r="53" spans="1:13" x14ac:dyDescent="0.2">
      <c r="A53" s="78" t="s">
        <v>110</v>
      </c>
      <c r="B53" s="42">
        <v>300000</v>
      </c>
      <c r="C53" s="42">
        <f t="shared" ref="C53:M53" si="9">B64</f>
        <v>230000</v>
      </c>
      <c r="D53" s="42">
        <f t="shared" si="9"/>
        <v>260000</v>
      </c>
      <c r="E53" s="42">
        <f t="shared" si="9"/>
        <v>290000</v>
      </c>
      <c r="F53" s="42">
        <f t="shared" si="9"/>
        <v>320000</v>
      </c>
      <c r="G53" s="42">
        <f t="shared" si="9"/>
        <v>350000</v>
      </c>
      <c r="H53" s="42">
        <f t="shared" si="9"/>
        <v>380000</v>
      </c>
      <c r="I53" s="42">
        <f t="shared" si="9"/>
        <v>410000</v>
      </c>
      <c r="J53" s="42">
        <f t="shared" si="9"/>
        <v>440000</v>
      </c>
      <c r="K53" s="42">
        <f t="shared" si="9"/>
        <v>470000</v>
      </c>
      <c r="L53" s="42">
        <f t="shared" si="9"/>
        <v>300000</v>
      </c>
      <c r="M53" s="42">
        <f t="shared" si="9"/>
        <v>300000</v>
      </c>
    </row>
    <row r="54" spans="1:13" x14ac:dyDescent="0.2">
      <c r="A54" s="78" t="s">
        <v>2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1:13" x14ac:dyDescent="0.2">
      <c r="A55" s="78" t="s">
        <v>3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1:13" x14ac:dyDescent="0.2">
      <c r="A56" s="78" t="s">
        <v>4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x14ac:dyDescent="0.2">
      <c r="A57" s="78" t="s">
        <v>9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pans="1:13" x14ac:dyDescent="0.2">
      <c r="A58" s="78" t="s">
        <v>73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1:13" x14ac:dyDescent="0.2">
      <c r="A59" s="78" t="s">
        <v>74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2">
      <c r="A60" s="78" t="s">
        <v>75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2">
      <c r="A61" s="78" t="s">
        <v>5</v>
      </c>
      <c r="B61" s="42">
        <v>30000</v>
      </c>
      <c r="C61" s="42">
        <v>30000</v>
      </c>
      <c r="D61" s="42">
        <v>30000</v>
      </c>
      <c r="E61" s="42">
        <v>30000</v>
      </c>
      <c r="F61" s="42">
        <v>30000</v>
      </c>
      <c r="G61" s="42">
        <v>30000</v>
      </c>
      <c r="H61" s="42">
        <v>30000</v>
      </c>
      <c r="I61" s="42">
        <v>30000</v>
      </c>
      <c r="J61" s="42">
        <v>30000</v>
      </c>
      <c r="K61" s="42">
        <v>30000</v>
      </c>
      <c r="L61" s="42"/>
      <c r="M61" s="42"/>
    </row>
    <row r="62" spans="1:13" x14ac:dyDescent="0.2">
      <c r="A62" s="78" t="s">
        <v>6</v>
      </c>
      <c r="B62" s="43">
        <f t="shared" ref="B62:M62" si="10">SUM(B53:B61)</f>
        <v>330000</v>
      </c>
      <c r="C62" s="43">
        <f t="shared" si="10"/>
        <v>260000</v>
      </c>
      <c r="D62" s="43">
        <f t="shared" si="10"/>
        <v>290000</v>
      </c>
      <c r="E62" s="43">
        <f t="shared" si="10"/>
        <v>320000</v>
      </c>
      <c r="F62" s="43">
        <f t="shared" si="10"/>
        <v>350000</v>
      </c>
      <c r="G62" s="43">
        <f t="shared" si="10"/>
        <v>380000</v>
      </c>
      <c r="H62" s="43">
        <f t="shared" si="10"/>
        <v>410000</v>
      </c>
      <c r="I62" s="43">
        <f t="shared" si="10"/>
        <v>440000</v>
      </c>
      <c r="J62" s="43">
        <f t="shared" si="10"/>
        <v>470000</v>
      </c>
      <c r="K62" s="43">
        <f t="shared" si="10"/>
        <v>500000</v>
      </c>
      <c r="L62" s="43">
        <f t="shared" si="10"/>
        <v>300000</v>
      </c>
      <c r="M62" s="43">
        <f t="shared" si="10"/>
        <v>300000</v>
      </c>
    </row>
    <row r="63" spans="1:13" ht="13.5" thickBot="1" x14ac:dyDescent="0.25">
      <c r="A63" s="78" t="s">
        <v>7</v>
      </c>
      <c r="B63" s="44">
        <v>100000</v>
      </c>
      <c r="C63" s="44"/>
      <c r="D63" s="44"/>
      <c r="E63" s="44"/>
      <c r="F63" s="44"/>
      <c r="G63" s="44"/>
      <c r="H63" s="44"/>
      <c r="I63" s="44"/>
      <c r="J63" s="44"/>
      <c r="K63" s="44">
        <v>200000</v>
      </c>
      <c r="L63" s="44"/>
      <c r="M63" s="44"/>
    </row>
    <row r="64" spans="1:13" ht="13.5" thickBot="1" x14ac:dyDescent="0.25">
      <c r="A64" s="78" t="s">
        <v>111</v>
      </c>
      <c r="B64" s="45">
        <f t="shared" ref="B64:M64" si="11">B62-B63</f>
        <v>230000</v>
      </c>
      <c r="C64" s="46">
        <f t="shared" si="11"/>
        <v>260000</v>
      </c>
      <c r="D64" s="46">
        <f t="shared" si="11"/>
        <v>290000</v>
      </c>
      <c r="E64" s="46">
        <f t="shared" si="11"/>
        <v>320000</v>
      </c>
      <c r="F64" s="46">
        <f t="shared" si="11"/>
        <v>350000</v>
      </c>
      <c r="G64" s="46">
        <f t="shared" si="11"/>
        <v>380000</v>
      </c>
      <c r="H64" s="46">
        <f t="shared" si="11"/>
        <v>410000</v>
      </c>
      <c r="I64" s="46">
        <f t="shared" si="11"/>
        <v>440000</v>
      </c>
      <c r="J64" s="46">
        <f t="shared" si="11"/>
        <v>470000</v>
      </c>
      <c r="K64" s="46">
        <f t="shared" si="11"/>
        <v>300000</v>
      </c>
      <c r="L64" s="46">
        <f t="shared" si="11"/>
        <v>300000</v>
      </c>
      <c r="M64" s="47">
        <f t="shared" si="11"/>
        <v>300000</v>
      </c>
    </row>
    <row r="65" spans="1:13" x14ac:dyDescent="0.2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</row>
    <row r="67" spans="1:13" ht="15.75" x14ac:dyDescent="0.25">
      <c r="A67" s="33"/>
      <c r="B67" s="34">
        <v>42736</v>
      </c>
      <c r="C67" s="34">
        <v>42767</v>
      </c>
      <c r="D67" s="34">
        <v>42795</v>
      </c>
      <c r="E67" s="34">
        <v>42826</v>
      </c>
      <c r="F67" s="34">
        <v>42856</v>
      </c>
      <c r="G67" s="34">
        <v>42887</v>
      </c>
      <c r="H67" s="34">
        <v>42917</v>
      </c>
      <c r="I67" s="34">
        <v>42948</v>
      </c>
      <c r="J67" s="34">
        <v>42979</v>
      </c>
      <c r="K67" s="34">
        <v>43009</v>
      </c>
      <c r="L67" s="34">
        <v>43040</v>
      </c>
      <c r="M67" s="34">
        <v>43070</v>
      </c>
    </row>
    <row r="68" spans="1:13" ht="15" x14ac:dyDescent="0.2">
      <c r="A68" s="8" t="s">
        <v>110</v>
      </c>
      <c r="B68" s="42">
        <v>24000</v>
      </c>
      <c r="C68" s="42">
        <f t="shared" ref="C68:M68" si="12">B79</f>
        <v>26000</v>
      </c>
      <c r="D68" s="42">
        <f t="shared" si="12"/>
        <v>28000</v>
      </c>
      <c r="E68" s="42">
        <f t="shared" si="12"/>
        <v>30000</v>
      </c>
      <c r="F68" s="42">
        <f t="shared" si="12"/>
        <v>32000</v>
      </c>
      <c r="G68" s="42">
        <f t="shared" si="12"/>
        <v>34000</v>
      </c>
      <c r="H68" s="42">
        <f t="shared" si="12"/>
        <v>36000</v>
      </c>
      <c r="I68" s="42">
        <f t="shared" si="12"/>
        <v>38000</v>
      </c>
      <c r="J68" s="42">
        <f t="shared" si="12"/>
        <v>40000</v>
      </c>
      <c r="K68" s="42">
        <f t="shared" si="12"/>
        <v>42000</v>
      </c>
      <c r="L68" s="42">
        <f t="shared" si="12"/>
        <v>44000</v>
      </c>
      <c r="M68" s="42">
        <f t="shared" si="12"/>
        <v>46000</v>
      </c>
    </row>
    <row r="69" spans="1:13" ht="15" x14ac:dyDescent="0.2">
      <c r="A69" s="8" t="s">
        <v>2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</row>
    <row r="70" spans="1:13" ht="15" x14ac:dyDescent="0.2">
      <c r="A70" s="8" t="s">
        <v>3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</row>
    <row r="71" spans="1:13" ht="15" x14ac:dyDescent="0.2">
      <c r="A71" s="8" t="s">
        <v>4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</row>
    <row r="72" spans="1:13" ht="15" x14ac:dyDescent="0.2">
      <c r="A72" s="8" t="s">
        <v>9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</row>
    <row r="73" spans="1:13" ht="15" x14ac:dyDescent="0.2">
      <c r="A73" s="8" t="s">
        <v>73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1:13" ht="15" x14ac:dyDescent="0.2">
      <c r="A74" s="8" t="s">
        <v>74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</row>
    <row r="75" spans="1:13" ht="15" x14ac:dyDescent="0.2">
      <c r="A75" s="8" t="s">
        <v>75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</row>
    <row r="76" spans="1:13" ht="15" x14ac:dyDescent="0.2">
      <c r="A76" s="8" t="s">
        <v>5</v>
      </c>
      <c r="B76" s="42">
        <v>2000</v>
      </c>
      <c r="C76" s="42">
        <v>2000</v>
      </c>
      <c r="D76" s="42">
        <v>2000</v>
      </c>
      <c r="E76" s="42">
        <v>2000</v>
      </c>
      <c r="F76" s="42">
        <v>2000</v>
      </c>
      <c r="G76" s="42">
        <v>2000</v>
      </c>
      <c r="H76" s="42">
        <v>2000</v>
      </c>
      <c r="I76" s="42">
        <v>2000</v>
      </c>
      <c r="J76" s="42">
        <v>2000</v>
      </c>
      <c r="K76" s="42">
        <v>2000</v>
      </c>
      <c r="L76" s="42">
        <v>2000</v>
      </c>
      <c r="M76" s="42">
        <v>2000</v>
      </c>
    </row>
    <row r="77" spans="1:13" ht="15" x14ac:dyDescent="0.2">
      <c r="A77" s="8" t="s">
        <v>6</v>
      </c>
      <c r="B77" s="43">
        <f t="shared" ref="B77:M77" si="13">SUM(B68:B76)</f>
        <v>26000</v>
      </c>
      <c r="C77" s="43">
        <f t="shared" si="13"/>
        <v>28000</v>
      </c>
      <c r="D77" s="43">
        <f t="shared" si="13"/>
        <v>30000</v>
      </c>
      <c r="E77" s="43">
        <f t="shared" si="13"/>
        <v>32000</v>
      </c>
      <c r="F77" s="43">
        <f t="shared" si="13"/>
        <v>34000</v>
      </c>
      <c r="G77" s="43">
        <f t="shared" si="13"/>
        <v>36000</v>
      </c>
      <c r="H77" s="43">
        <f t="shared" si="13"/>
        <v>38000</v>
      </c>
      <c r="I77" s="43">
        <f t="shared" si="13"/>
        <v>40000</v>
      </c>
      <c r="J77" s="43">
        <f t="shared" si="13"/>
        <v>42000</v>
      </c>
      <c r="K77" s="43">
        <f t="shared" si="13"/>
        <v>44000</v>
      </c>
      <c r="L77" s="43">
        <f t="shared" si="13"/>
        <v>46000</v>
      </c>
      <c r="M77" s="43">
        <f t="shared" si="13"/>
        <v>48000</v>
      </c>
    </row>
    <row r="78" spans="1:13" ht="15.75" thickBot="1" x14ac:dyDescent="0.25">
      <c r="A78" s="8" t="s">
        <v>7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</row>
    <row r="79" spans="1:13" ht="15.75" thickBot="1" x14ac:dyDescent="0.25">
      <c r="A79" s="8" t="s">
        <v>111</v>
      </c>
      <c r="B79" s="45">
        <f t="shared" ref="B79:M79" si="14">B77-B78</f>
        <v>26000</v>
      </c>
      <c r="C79" s="46">
        <f t="shared" si="14"/>
        <v>28000</v>
      </c>
      <c r="D79" s="46">
        <f t="shared" si="14"/>
        <v>30000</v>
      </c>
      <c r="E79" s="46">
        <f t="shared" si="14"/>
        <v>32000</v>
      </c>
      <c r="F79" s="46">
        <f t="shared" si="14"/>
        <v>34000</v>
      </c>
      <c r="G79" s="46">
        <f t="shared" si="14"/>
        <v>36000</v>
      </c>
      <c r="H79" s="46">
        <f t="shared" si="14"/>
        <v>38000</v>
      </c>
      <c r="I79" s="46">
        <f t="shared" si="14"/>
        <v>40000</v>
      </c>
      <c r="J79" s="46">
        <f t="shared" si="14"/>
        <v>42000</v>
      </c>
      <c r="K79" s="46">
        <f t="shared" si="14"/>
        <v>44000</v>
      </c>
      <c r="L79" s="46">
        <f t="shared" si="14"/>
        <v>46000</v>
      </c>
      <c r="M79" s="47">
        <f t="shared" si="14"/>
        <v>48000</v>
      </c>
    </row>
    <row r="81" spans="1:13" ht="15" x14ac:dyDescent="0.2">
      <c r="A81" s="40" t="s">
        <v>297</v>
      </c>
    </row>
    <row r="84" spans="1:13" ht="15.75" x14ac:dyDescent="0.25">
      <c r="A84" s="33"/>
      <c r="B84" s="34">
        <v>42005</v>
      </c>
      <c r="C84" s="34">
        <v>42036</v>
      </c>
      <c r="D84" s="34">
        <v>42064</v>
      </c>
      <c r="E84" s="34">
        <v>42095</v>
      </c>
      <c r="F84" s="34">
        <v>42125</v>
      </c>
      <c r="G84" s="34">
        <v>42156</v>
      </c>
      <c r="H84" s="34">
        <v>42186</v>
      </c>
      <c r="I84" s="34">
        <v>42217</v>
      </c>
      <c r="J84" s="34">
        <v>42248</v>
      </c>
      <c r="K84" s="34">
        <v>42278</v>
      </c>
      <c r="L84" s="34">
        <v>42309</v>
      </c>
      <c r="M84" s="34">
        <v>42339</v>
      </c>
    </row>
    <row r="85" spans="1:13" ht="15" x14ac:dyDescent="0.2">
      <c r="A85" s="8" t="s">
        <v>110</v>
      </c>
      <c r="B85" s="42">
        <v>35400</v>
      </c>
      <c r="C85" s="42">
        <f t="shared" ref="C85:M85" si="15">B96</f>
        <v>36200</v>
      </c>
      <c r="D85" s="42">
        <f t="shared" si="15"/>
        <v>37000</v>
      </c>
      <c r="E85" s="42">
        <f t="shared" si="15"/>
        <v>37800</v>
      </c>
      <c r="F85" s="42">
        <f t="shared" si="15"/>
        <v>38600</v>
      </c>
      <c r="G85" s="42">
        <f t="shared" si="15"/>
        <v>39400</v>
      </c>
      <c r="H85" s="42">
        <f t="shared" si="15"/>
        <v>40200</v>
      </c>
      <c r="I85" s="42">
        <f t="shared" si="15"/>
        <v>41000</v>
      </c>
      <c r="J85" s="42">
        <f t="shared" si="15"/>
        <v>41800</v>
      </c>
      <c r="K85" s="42">
        <f t="shared" si="15"/>
        <v>42600</v>
      </c>
      <c r="L85" s="42">
        <f t="shared" si="15"/>
        <v>43400</v>
      </c>
      <c r="M85" s="42">
        <f t="shared" si="15"/>
        <v>44200</v>
      </c>
    </row>
    <row r="86" spans="1:13" ht="15" x14ac:dyDescent="0.2">
      <c r="A86" s="8" t="s">
        <v>2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</row>
    <row r="87" spans="1:13" ht="15" x14ac:dyDescent="0.2">
      <c r="A87" s="8" t="s">
        <v>3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</row>
    <row r="88" spans="1:13" ht="15" x14ac:dyDescent="0.2">
      <c r="A88" s="8" t="s">
        <v>4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</row>
    <row r="89" spans="1:13" ht="15" x14ac:dyDescent="0.2">
      <c r="A89" s="8" t="s">
        <v>9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</row>
    <row r="90" spans="1:13" ht="15" x14ac:dyDescent="0.2">
      <c r="A90" s="8" t="s">
        <v>73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</row>
    <row r="91" spans="1:13" ht="15" x14ac:dyDescent="0.2">
      <c r="A91" s="8" t="s">
        <v>74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</row>
    <row r="92" spans="1:13" ht="15" x14ac:dyDescent="0.2">
      <c r="A92" s="8" t="s">
        <v>75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</row>
    <row r="93" spans="1:13" ht="15" x14ac:dyDescent="0.2">
      <c r="A93" s="8" t="s">
        <v>5</v>
      </c>
      <c r="B93" s="42">
        <v>800</v>
      </c>
      <c r="C93" s="42">
        <v>800</v>
      </c>
      <c r="D93" s="42">
        <v>800</v>
      </c>
      <c r="E93" s="42">
        <v>800</v>
      </c>
      <c r="F93" s="42">
        <v>800</v>
      </c>
      <c r="G93" s="42">
        <v>800</v>
      </c>
      <c r="H93" s="42">
        <v>800</v>
      </c>
      <c r="I93" s="42">
        <v>800</v>
      </c>
      <c r="J93" s="42">
        <v>800</v>
      </c>
      <c r="K93" s="42">
        <v>800</v>
      </c>
      <c r="L93" s="42">
        <v>800</v>
      </c>
      <c r="M93" s="42">
        <v>800</v>
      </c>
    </row>
    <row r="94" spans="1:13" ht="15" x14ac:dyDescent="0.2">
      <c r="A94" s="8" t="s">
        <v>6</v>
      </c>
      <c r="B94" s="43">
        <f t="shared" ref="B94:M94" si="16">SUM(B85:B93)</f>
        <v>36200</v>
      </c>
      <c r="C94" s="43">
        <f t="shared" si="16"/>
        <v>37000</v>
      </c>
      <c r="D94" s="43">
        <f t="shared" si="16"/>
        <v>37800</v>
      </c>
      <c r="E94" s="43">
        <f t="shared" si="16"/>
        <v>38600</v>
      </c>
      <c r="F94" s="43">
        <f t="shared" si="16"/>
        <v>39400</v>
      </c>
      <c r="G94" s="43">
        <f t="shared" si="16"/>
        <v>40200</v>
      </c>
      <c r="H94" s="43">
        <f t="shared" si="16"/>
        <v>41000</v>
      </c>
      <c r="I94" s="43">
        <f t="shared" si="16"/>
        <v>41800</v>
      </c>
      <c r="J94" s="43">
        <f t="shared" si="16"/>
        <v>42600</v>
      </c>
      <c r="K94" s="43">
        <f t="shared" si="16"/>
        <v>43400</v>
      </c>
      <c r="L94" s="43">
        <f t="shared" si="16"/>
        <v>44200</v>
      </c>
      <c r="M94" s="43">
        <f t="shared" si="16"/>
        <v>45000</v>
      </c>
    </row>
    <row r="95" spans="1:13" ht="15.75" thickBot="1" x14ac:dyDescent="0.25">
      <c r="A95" s="8" t="s">
        <v>7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>
        <v>45000</v>
      </c>
    </row>
    <row r="96" spans="1:13" ht="15.75" thickBot="1" x14ac:dyDescent="0.25">
      <c r="A96" s="8" t="s">
        <v>111</v>
      </c>
      <c r="B96" s="45">
        <f t="shared" ref="B96:M96" si="17">B94-B95</f>
        <v>36200</v>
      </c>
      <c r="C96" s="46">
        <f t="shared" si="17"/>
        <v>37000</v>
      </c>
      <c r="D96" s="46">
        <f t="shared" si="17"/>
        <v>37800</v>
      </c>
      <c r="E96" s="46">
        <f t="shared" si="17"/>
        <v>38600</v>
      </c>
      <c r="F96" s="46">
        <f t="shared" si="17"/>
        <v>39400</v>
      </c>
      <c r="G96" s="46">
        <f t="shared" si="17"/>
        <v>40200</v>
      </c>
      <c r="H96" s="46">
        <f t="shared" si="17"/>
        <v>41000</v>
      </c>
      <c r="I96" s="46">
        <f t="shared" si="17"/>
        <v>41800</v>
      </c>
      <c r="J96" s="46">
        <f t="shared" si="17"/>
        <v>42600</v>
      </c>
      <c r="K96" s="46">
        <f t="shared" si="17"/>
        <v>43400</v>
      </c>
      <c r="L96" s="46">
        <f t="shared" si="17"/>
        <v>44200</v>
      </c>
      <c r="M96" s="47">
        <f t="shared" si="17"/>
        <v>0</v>
      </c>
    </row>
  </sheetData>
  <phoneticPr fontId="4" type="noConversion"/>
  <pageMargins left="0.75" right="0.75" top="1" bottom="1" header="0" footer="0"/>
  <pageSetup paperSize="9" orientation="portrait" horizontalDpi="4294967295" verticalDpi="4294967295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7"/>
  <dimension ref="A1:M45"/>
  <sheetViews>
    <sheetView topLeftCell="A16" workbookViewId="0">
      <selection activeCell="M30" sqref="M30"/>
    </sheetView>
  </sheetViews>
  <sheetFormatPr baseColWidth="10" defaultRowHeight="12.75" x14ac:dyDescent="0.2"/>
  <cols>
    <col min="1" max="1" width="33.7109375" customWidth="1"/>
    <col min="4" max="4" width="12.5703125" customWidth="1"/>
    <col min="5" max="5" width="13.140625" customWidth="1"/>
    <col min="6" max="6" width="12.5703125" customWidth="1"/>
    <col min="7" max="7" width="13.140625" customWidth="1"/>
    <col min="8" max="8" width="13" customWidth="1"/>
    <col min="9" max="9" width="13.28515625" customWidth="1"/>
    <col min="10" max="10" width="13.140625" customWidth="1"/>
    <col min="11" max="11" width="12.5703125" customWidth="1"/>
    <col min="12" max="12" width="13.42578125" customWidth="1"/>
    <col min="13" max="13" width="12.5703125" customWidth="1"/>
  </cols>
  <sheetData>
    <row r="1" spans="1:13" x14ac:dyDescent="0.2">
      <c r="A1" t="s">
        <v>478</v>
      </c>
    </row>
    <row r="3" spans="1:13" ht="15.75" x14ac:dyDescent="0.25">
      <c r="A3" s="33"/>
      <c r="B3" s="34">
        <v>45292</v>
      </c>
      <c r="C3" s="34">
        <v>45323</v>
      </c>
      <c r="D3" s="34">
        <v>45352</v>
      </c>
      <c r="E3" s="34">
        <v>45383</v>
      </c>
      <c r="F3" s="34">
        <v>45413</v>
      </c>
      <c r="G3" s="34">
        <v>45444</v>
      </c>
      <c r="H3" s="34">
        <v>45474</v>
      </c>
      <c r="I3" s="34">
        <v>45505</v>
      </c>
      <c r="J3" s="34">
        <v>45536</v>
      </c>
      <c r="K3" s="34">
        <v>45566</v>
      </c>
      <c r="L3" s="34">
        <v>45597</v>
      </c>
      <c r="M3" s="34">
        <v>45627</v>
      </c>
    </row>
    <row r="4" spans="1:13" ht="15" x14ac:dyDescent="0.2">
      <c r="A4" s="8" t="s">
        <v>110</v>
      </c>
      <c r="B4" s="42"/>
      <c r="C4" s="42">
        <f>B15</f>
        <v>40000</v>
      </c>
      <c r="D4" s="42">
        <f>C15</f>
        <v>80000</v>
      </c>
      <c r="E4" s="42">
        <f>D15</f>
        <v>120000</v>
      </c>
      <c r="F4" s="42">
        <f t="shared" ref="F4:M4" si="0">E15</f>
        <v>160000</v>
      </c>
      <c r="G4" s="42">
        <f t="shared" si="0"/>
        <v>200000</v>
      </c>
      <c r="H4" s="42">
        <f t="shared" si="0"/>
        <v>240000</v>
      </c>
      <c r="I4" s="42">
        <f t="shared" si="0"/>
        <v>280000</v>
      </c>
      <c r="J4" s="42">
        <f t="shared" si="0"/>
        <v>320000</v>
      </c>
      <c r="K4" s="42">
        <f t="shared" si="0"/>
        <v>360000</v>
      </c>
      <c r="L4" s="42">
        <f t="shared" si="0"/>
        <v>400000</v>
      </c>
      <c r="M4" s="42">
        <f t="shared" si="0"/>
        <v>440000</v>
      </c>
    </row>
    <row r="5" spans="1:13" ht="15" x14ac:dyDescent="0.2">
      <c r="A5" s="8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ht="15" x14ac:dyDescent="0.2">
      <c r="A6" s="8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5" x14ac:dyDescent="0.2">
      <c r="A7" s="8" t="s">
        <v>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5" x14ac:dyDescent="0.2">
      <c r="A8" s="8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ht="15" x14ac:dyDescent="0.2">
      <c r="A9" s="8" t="s">
        <v>73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x14ac:dyDescent="0.2">
      <c r="A10" s="8" t="s">
        <v>74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5" x14ac:dyDescent="0.2">
      <c r="A11" s="8" t="s">
        <v>75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5" x14ac:dyDescent="0.2">
      <c r="A12" s="8" t="s">
        <v>5</v>
      </c>
      <c r="B12" s="42">
        <v>40000</v>
      </c>
      <c r="C12" s="42">
        <v>40000</v>
      </c>
      <c r="D12" s="42">
        <v>40000</v>
      </c>
      <c r="E12" s="42">
        <v>40000</v>
      </c>
      <c r="F12" s="42">
        <v>40000</v>
      </c>
      <c r="G12" s="42">
        <v>40000</v>
      </c>
      <c r="H12" s="42">
        <v>40000</v>
      </c>
      <c r="I12" s="42">
        <v>40000</v>
      </c>
      <c r="J12" s="42">
        <v>40000</v>
      </c>
      <c r="K12" s="42">
        <v>40000</v>
      </c>
      <c r="L12" s="42">
        <v>40000</v>
      </c>
      <c r="M12" s="42">
        <v>40000</v>
      </c>
    </row>
    <row r="13" spans="1:13" ht="15" x14ac:dyDescent="0.2">
      <c r="A13" s="8" t="s">
        <v>6</v>
      </c>
      <c r="B13" s="43">
        <f t="shared" ref="B13:M13" si="1">SUM(B4:B12)</f>
        <v>40000</v>
      </c>
      <c r="C13" s="43">
        <f t="shared" si="1"/>
        <v>80000</v>
      </c>
      <c r="D13" s="43">
        <f>SUM(D4:D12)</f>
        <v>120000</v>
      </c>
      <c r="E13" s="43">
        <f>SUM(E4:E12)</f>
        <v>160000</v>
      </c>
      <c r="F13" s="43">
        <f t="shared" si="1"/>
        <v>200000</v>
      </c>
      <c r="G13" s="43">
        <f t="shared" si="1"/>
        <v>240000</v>
      </c>
      <c r="H13" s="43">
        <f t="shared" si="1"/>
        <v>280000</v>
      </c>
      <c r="I13" s="43">
        <f t="shared" si="1"/>
        <v>320000</v>
      </c>
      <c r="J13" s="43">
        <f t="shared" si="1"/>
        <v>360000</v>
      </c>
      <c r="K13" s="43">
        <f t="shared" si="1"/>
        <v>400000</v>
      </c>
      <c r="L13" s="43">
        <f t="shared" si="1"/>
        <v>440000</v>
      </c>
      <c r="M13" s="43">
        <f t="shared" si="1"/>
        <v>480000</v>
      </c>
    </row>
    <row r="14" spans="1:13" ht="15.75" thickBot="1" x14ac:dyDescent="0.25">
      <c r="A14" s="8" t="s">
        <v>7</v>
      </c>
      <c r="B14" s="44"/>
      <c r="C14" s="44"/>
      <c r="D14" s="43"/>
      <c r="E14" s="44"/>
      <c r="F14" s="44"/>
      <c r="G14" s="44"/>
      <c r="H14" s="44"/>
      <c r="I14" s="44"/>
      <c r="J14" s="44"/>
      <c r="K14" s="44"/>
      <c r="L14" s="44"/>
      <c r="M14" s="44"/>
    </row>
    <row r="15" spans="1:13" ht="15.75" thickBot="1" x14ac:dyDescent="0.25">
      <c r="A15" s="8" t="s">
        <v>111</v>
      </c>
      <c r="B15" s="45">
        <f t="shared" ref="B15:M15" si="2">B13-B14</f>
        <v>40000</v>
      </c>
      <c r="C15" s="46">
        <f t="shared" si="2"/>
        <v>80000</v>
      </c>
      <c r="D15" s="46">
        <f>D13-D14</f>
        <v>120000</v>
      </c>
      <c r="E15" s="46">
        <f>E13-E14</f>
        <v>160000</v>
      </c>
      <c r="F15" s="46">
        <f t="shared" si="2"/>
        <v>200000</v>
      </c>
      <c r="G15" s="46">
        <f t="shared" si="2"/>
        <v>240000</v>
      </c>
      <c r="H15" s="46">
        <f t="shared" si="2"/>
        <v>280000</v>
      </c>
      <c r="I15" s="46">
        <f t="shared" si="2"/>
        <v>320000</v>
      </c>
      <c r="J15" s="46">
        <f t="shared" si="2"/>
        <v>360000</v>
      </c>
      <c r="K15" s="46">
        <f t="shared" si="2"/>
        <v>400000</v>
      </c>
      <c r="L15" s="46">
        <f t="shared" si="2"/>
        <v>440000</v>
      </c>
      <c r="M15" s="46">
        <f t="shared" si="2"/>
        <v>480000</v>
      </c>
    </row>
    <row r="18" spans="1:13" ht="15.75" x14ac:dyDescent="0.25">
      <c r="A18" s="33"/>
      <c r="B18" s="34">
        <v>45658</v>
      </c>
      <c r="C18" s="34">
        <v>45689</v>
      </c>
      <c r="D18" s="34">
        <v>45717</v>
      </c>
      <c r="E18" s="34">
        <v>45748</v>
      </c>
      <c r="F18" s="34">
        <v>45778</v>
      </c>
      <c r="G18" s="34">
        <v>45809</v>
      </c>
      <c r="H18" s="34">
        <v>45839</v>
      </c>
      <c r="I18" s="34">
        <v>45870</v>
      </c>
      <c r="J18" s="34">
        <v>45901</v>
      </c>
      <c r="K18" s="34">
        <v>45931</v>
      </c>
      <c r="L18" s="34">
        <v>45962</v>
      </c>
      <c r="M18" s="34">
        <v>45992</v>
      </c>
    </row>
    <row r="19" spans="1:13" ht="15" x14ac:dyDescent="0.2">
      <c r="A19" s="8" t="s">
        <v>110</v>
      </c>
      <c r="B19" s="42">
        <v>480000</v>
      </c>
      <c r="C19" s="42">
        <f t="shared" ref="C19:M19" si="3">B30</f>
        <v>680000</v>
      </c>
      <c r="D19" s="42">
        <f t="shared" si="3"/>
        <v>880000</v>
      </c>
      <c r="E19" s="42">
        <f t="shared" si="3"/>
        <v>1080000</v>
      </c>
      <c r="F19" s="42">
        <f t="shared" si="3"/>
        <v>1280000</v>
      </c>
      <c r="G19" s="42">
        <f t="shared" si="3"/>
        <v>1480000</v>
      </c>
      <c r="H19" s="42">
        <f t="shared" si="3"/>
        <v>1680000</v>
      </c>
      <c r="I19" s="42">
        <f t="shared" si="3"/>
        <v>1880000</v>
      </c>
      <c r="J19" s="42">
        <f t="shared" si="3"/>
        <v>2080000</v>
      </c>
      <c r="K19" s="42">
        <f t="shared" si="3"/>
        <v>2280000</v>
      </c>
      <c r="L19" s="42">
        <f t="shared" si="3"/>
        <v>2480000</v>
      </c>
      <c r="M19" s="42">
        <f t="shared" si="3"/>
        <v>2680000</v>
      </c>
    </row>
    <row r="20" spans="1:13" ht="15" x14ac:dyDescent="0.2">
      <c r="A20" s="8" t="s">
        <v>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>
        <v>100000</v>
      </c>
    </row>
    <row r="21" spans="1:13" ht="15" x14ac:dyDescent="0.2">
      <c r="A21" s="8" t="s">
        <v>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ht="15" x14ac:dyDescent="0.2">
      <c r="A22" s="8" t="s">
        <v>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ht="15" x14ac:dyDescent="0.2">
      <c r="A23" s="8" t="s">
        <v>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5" x14ac:dyDescent="0.2">
      <c r="A24" s="8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5" x14ac:dyDescent="0.2">
      <c r="A25" s="8" t="s">
        <v>74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5" x14ac:dyDescent="0.2">
      <c r="A26" s="8" t="s">
        <v>75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5" x14ac:dyDescent="0.2">
      <c r="A27" s="8" t="s">
        <v>5</v>
      </c>
      <c r="B27" s="42">
        <v>200000</v>
      </c>
      <c r="C27" s="42">
        <v>200000</v>
      </c>
      <c r="D27" s="42">
        <v>200000</v>
      </c>
      <c r="E27" s="42">
        <v>200000</v>
      </c>
      <c r="F27" s="42">
        <v>200000</v>
      </c>
      <c r="G27" s="42">
        <v>200000</v>
      </c>
      <c r="H27" s="42">
        <v>200000</v>
      </c>
      <c r="I27" s="42">
        <v>200000</v>
      </c>
      <c r="J27" s="42">
        <v>200000</v>
      </c>
      <c r="K27" s="42">
        <v>200000</v>
      </c>
      <c r="L27" s="42">
        <v>200000</v>
      </c>
      <c r="M27" s="42">
        <v>200000</v>
      </c>
    </row>
    <row r="28" spans="1:13" ht="15" x14ac:dyDescent="0.2">
      <c r="A28" s="8" t="s">
        <v>6</v>
      </c>
      <c r="B28" s="43">
        <f>SUM(B19:B27)</f>
        <v>680000</v>
      </c>
      <c r="C28" s="43">
        <f>SUM(C19:C27)</f>
        <v>880000</v>
      </c>
      <c r="D28" s="43">
        <f>SUM(D19:D27)</f>
        <v>1080000</v>
      </c>
      <c r="E28" s="43">
        <f>SUM(E19:E27)</f>
        <v>1280000</v>
      </c>
      <c r="F28" s="43">
        <f t="shared" ref="F28:M28" si="4">SUM(F19:F27)</f>
        <v>1480000</v>
      </c>
      <c r="G28" s="43">
        <f t="shared" si="4"/>
        <v>1680000</v>
      </c>
      <c r="H28" s="43">
        <f t="shared" si="4"/>
        <v>1880000</v>
      </c>
      <c r="I28" s="43">
        <f t="shared" si="4"/>
        <v>2080000</v>
      </c>
      <c r="J28" s="43">
        <f t="shared" si="4"/>
        <v>2280000</v>
      </c>
      <c r="K28" s="43">
        <f t="shared" si="4"/>
        <v>2480000</v>
      </c>
      <c r="L28" s="43">
        <f t="shared" si="4"/>
        <v>2680000</v>
      </c>
      <c r="M28" s="43">
        <f t="shared" si="4"/>
        <v>2980000</v>
      </c>
    </row>
    <row r="29" spans="1:13" ht="15.75" thickBot="1" x14ac:dyDescent="0.25">
      <c r="A29" s="8" t="s">
        <v>7</v>
      </c>
      <c r="B29" s="44"/>
      <c r="C29" s="44"/>
      <c r="D29" s="43"/>
      <c r="E29" s="44"/>
      <c r="F29" s="44"/>
      <c r="G29" s="44"/>
      <c r="H29" s="44"/>
      <c r="I29" s="44"/>
      <c r="J29" s="44"/>
      <c r="K29" s="44"/>
      <c r="L29" s="44"/>
      <c r="M29" s="44">
        <v>1500000</v>
      </c>
    </row>
    <row r="30" spans="1:13" ht="15.75" thickBot="1" x14ac:dyDescent="0.25">
      <c r="A30" s="8" t="s">
        <v>111</v>
      </c>
      <c r="B30" s="45">
        <f>B28-B29</f>
        <v>680000</v>
      </c>
      <c r="C30" s="46">
        <f>C28-C29</f>
        <v>880000</v>
      </c>
      <c r="D30" s="46">
        <f>D28-D29</f>
        <v>1080000</v>
      </c>
      <c r="E30" s="46">
        <f>E28-E29</f>
        <v>1280000</v>
      </c>
      <c r="F30" s="46">
        <f t="shared" ref="F30:M30" si="5">F28-F29</f>
        <v>1480000</v>
      </c>
      <c r="G30" s="46">
        <f t="shared" si="5"/>
        <v>1680000</v>
      </c>
      <c r="H30" s="46">
        <f t="shared" si="5"/>
        <v>1880000</v>
      </c>
      <c r="I30" s="46">
        <f t="shared" si="5"/>
        <v>2080000</v>
      </c>
      <c r="J30" s="46">
        <f t="shared" si="5"/>
        <v>2280000</v>
      </c>
      <c r="K30" s="46">
        <f t="shared" si="5"/>
        <v>2480000</v>
      </c>
      <c r="L30" s="46">
        <f t="shared" si="5"/>
        <v>2680000</v>
      </c>
      <c r="M30" s="46">
        <f t="shared" si="5"/>
        <v>1480000</v>
      </c>
    </row>
    <row r="31" spans="1:13" x14ac:dyDescent="0.2">
      <c r="G31" s="128">
        <v>45131</v>
      </c>
    </row>
    <row r="33" spans="1:13" ht="15.75" x14ac:dyDescent="0.25">
      <c r="A33" s="33"/>
      <c r="B33" s="34">
        <v>44562</v>
      </c>
      <c r="C33" s="34">
        <v>44593</v>
      </c>
      <c r="D33" s="34">
        <v>44621</v>
      </c>
      <c r="E33" s="34">
        <v>44652</v>
      </c>
      <c r="F33" s="34">
        <v>44682</v>
      </c>
      <c r="G33" s="34">
        <v>44713</v>
      </c>
      <c r="H33" s="34">
        <v>44743</v>
      </c>
      <c r="I33" s="34">
        <v>44774</v>
      </c>
      <c r="J33" s="34">
        <v>44805</v>
      </c>
      <c r="K33" s="34">
        <v>44835</v>
      </c>
      <c r="L33" s="34">
        <v>44866</v>
      </c>
      <c r="M33" s="34">
        <v>44896</v>
      </c>
    </row>
    <row r="34" spans="1:13" ht="15" x14ac:dyDescent="0.2">
      <c r="A34" s="8" t="s">
        <v>110</v>
      </c>
      <c r="B34" s="42">
        <v>-2000</v>
      </c>
      <c r="C34" s="42">
        <f t="shared" ref="C34:M34" si="6">B45</f>
        <v>8000</v>
      </c>
      <c r="D34" s="42">
        <f t="shared" si="6"/>
        <v>18000</v>
      </c>
      <c r="E34" s="42">
        <f t="shared" si="6"/>
        <v>28000</v>
      </c>
      <c r="F34" s="42">
        <f t="shared" si="6"/>
        <v>38000</v>
      </c>
      <c r="G34" s="42">
        <f t="shared" si="6"/>
        <v>48000</v>
      </c>
      <c r="H34" s="42">
        <f t="shared" si="6"/>
        <v>58000</v>
      </c>
      <c r="I34" s="42">
        <f t="shared" si="6"/>
        <v>68000</v>
      </c>
      <c r="J34" s="42">
        <f t="shared" si="6"/>
        <v>0</v>
      </c>
      <c r="K34" s="42">
        <f t="shared" si="6"/>
        <v>15000</v>
      </c>
      <c r="L34" s="42">
        <f t="shared" si="6"/>
        <v>30000</v>
      </c>
      <c r="M34" s="42">
        <f t="shared" si="6"/>
        <v>45000</v>
      </c>
    </row>
    <row r="35" spans="1:13" ht="15" x14ac:dyDescent="0.2">
      <c r="A35" s="8" t="s">
        <v>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ht="15" x14ac:dyDescent="0.2">
      <c r="A36" s="8" t="s">
        <v>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ht="15" x14ac:dyDescent="0.2">
      <c r="A37" s="8" t="s">
        <v>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ht="15" x14ac:dyDescent="0.2">
      <c r="A38" s="8" t="s">
        <v>9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5" x14ac:dyDescent="0.2">
      <c r="A39" s="8" t="s">
        <v>73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ht="15" x14ac:dyDescent="0.2">
      <c r="A40" s="8" t="s">
        <v>74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15" x14ac:dyDescent="0.2">
      <c r="A41" s="8" t="s">
        <v>75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ht="15" x14ac:dyDescent="0.2">
      <c r="A42" s="8" t="s">
        <v>5</v>
      </c>
      <c r="B42" s="42">
        <v>10000</v>
      </c>
      <c r="C42" s="42">
        <v>10000</v>
      </c>
      <c r="D42" s="42">
        <v>10000</v>
      </c>
      <c r="E42" s="42">
        <v>10000</v>
      </c>
      <c r="F42" s="42">
        <v>10000</v>
      </c>
      <c r="G42" s="42">
        <v>10000</v>
      </c>
      <c r="H42" s="42">
        <v>10000</v>
      </c>
      <c r="I42" s="42">
        <v>12000</v>
      </c>
      <c r="J42" s="42">
        <v>15000</v>
      </c>
      <c r="K42" s="42">
        <v>15000</v>
      </c>
      <c r="L42" s="42">
        <v>15000</v>
      </c>
      <c r="M42" s="42">
        <v>15000</v>
      </c>
    </row>
    <row r="43" spans="1:13" ht="15" x14ac:dyDescent="0.2">
      <c r="A43" s="8" t="s">
        <v>6</v>
      </c>
      <c r="B43" s="43">
        <f>SUM(B34:B42)</f>
        <v>8000</v>
      </c>
      <c r="C43" s="43">
        <f>SUM(C34:C42)</f>
        <v>18000</v>
      </c>
      <c r="D43" s="43">
        <f>SUM(D34:D42)</f>
        <v>28000</v>
      </c>
      <c r="E43" s="43">
        <f>SUM(E34:E42)</f>
        <v>38000</v>
      </c>
      <c r="F43" s="43">
        <f t="shared" ref="F43:M43" si="7">SUM(F34:F42)</f>
        <v>48000</v>
      </c>
      <c r="G43" s="43">
        <f t="shared" si="7"/>
        <v>58000</v>
      </c>
      <c r="H43" s="43">
        <f t="shared" si="7"/>
        <v>68000</v>
      </c>
      <c r="I43" s="43">
        <f t="shared" si="7"/>
        <v>80000</v>
      </c>
      <c r="J43" s="43">
        <f t="shared" si="7"/>
        <v>15000</v>
      </c>
      <c r="K43" s="43">
        <f t="shared" si="7"/>
        <v>30000</v>
      </c>
      <c r="L43" s="43">
        <f t="shared" si="7"/>
        <v>45000</v>
      </c>
      <c r="M43" s="43">
        <f t="shared" si="7"/>
        <v>60000</v>
      </c>
    </row>
    <row r="44" spans="1:13" ht="15.75" thickBot="1" x14ac:dyDescent="0.25">
      <c r="A44" s="8" t="s">
        <v>7</v>
      </c>
      <c r="B44" s="44"/>
      <c r="C44" s="44"/>
      <c r="D44" s="43"/>
      <c r="E44" s="44"/>
      <c r="F44" s="44"/>
      <c r="G44" s="44"/>
      <c r="H44" s="44"/>
      <c r="I44" s="44">
        <v>80000</v>
      </c>
      <c r="J44" s="44"/>
      <c r="K44" s="44"/>
      <c r="L44" s="44"/>
      <c r="M44" s="44"/>
    </row>
    <row r="45" spans="1:13" ht="15.75" thickBot="1" x14ac:dyDescent="0.25">
      <c r="A45" s="8" t="s">
        <v>111</v>
      </c>
      <c r="B45" s="45">
        <f>B43-B44</f>
        <v>8000</v>
      </c>
      <c r="C45" s="46">
        <f>C43-C44</f>
        <v>18000</v>
      </c>
      <c r="D45" s="46">
        <f>D43-D44</f>
        <v>28000</v>
      </c>
      <c r="E45" s="46">
        <f>E43-E44</f>
        <v>38000</v>
      </c>
      <c r="F45" s="46">
        <f t="shared" ref="F45:M45" si="8">F43-F44</f>
        <v>48000</v>
      </c>
      <c r="G45" s="46">
        <f t="shared" si="8"/>
        <v>58000</v>
      </c>
      <c r="H45" s="46">
        <f t="shared" si="8"/>
        <v>68000</v>
      </c>
      <c r="I45" s="46">
        <f t="shared" si="8"/>
        <v>0</v>
      </c>
      <c r="J45" s="46">
        <f t="shared" si="8"/>
        <v>15000</v>
      </c>
      <c r="K45" s="46">
        <f t="shared" si="8"/>
        <v>30000</v>
      </c>
      <c r="L45" s="46">
        <f t="shared" si="8"/>
        <v>45000</v>
      </c>
      <c r="M45" s="46">
        <f t="shared" si="8"/>
        <v>60000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8"/>
  <dimension ref="A4:M55"/>
  <sheetViews>
    <sheetView workbookViewId="0">
      <selection activeCell="M17" sqref="M17"/>
    </sheetView>
  </sheetViews>
  <sheetFormatPr baseColWidth="10" defaultRowHeight="12.75" x14ac:dyDescent="0.2"/>
  <cols>
    <col min="1" max="1" width="30" customWidth="1"/>
  </cols>
  <sheetData>
    <row r="4" spans="1:13" ht="15.75" x14ac:dyDescent="0.25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8"/>
      <c r="B5" s="79">
        <v>43101</v>
      </c>
      <c r="C5" s="79">
        <v>43132</v>
      </c>
      <c r="D5" s="79">
        <v>43160</v>
      </c>
      <c r="E5" s="79">
        <v>43191</v>
      </c>
      <c r="F5" s="79">
        <v>43221</v>
      </c>
      <c r="G5" s="79">
        <v>43252</v>
      </c>
      <c r="H5" s="79">
        <v>43282</v>
      </c>
      <c r="I5" s="79">
        <v>43313</v>
      </c>
      <c r="J5" s="79">
        <v>43344</v>
      </c>
      <c r="K5" s="79">
        <v>43374</v>
      </c>
      <c r="L5" s="79">
        <v>43405</v>
      </c>
      <c r="M5" s="79">
        <v>43435</v>
      </c>
    </row>
    <row r="6" spans="1:13" x14ac:dyDescent="0.2">
      <c r="A6" s="78" t="s">
        <v>110</v>
      </c>
      <c r="B6" s="42">
        <v>108000</v>
      </c>
      <c r="C6" s="42">
        <f>B17</f>
        <v>114000</v>
      </c>
      <c r="D6" s="42">
        <f t="shared" ref="D6:M6" si="0">C17</f>
        <v>120000</v>
      </c>
      <c r="E6" s="42">
        <f t="shared" si="0"/>
        <v>111000</v>
      </c>
      <c r="F6" s="42">
        <f t="shared" si="0"/>
        <v>117000</v>
      </c>
      <c r="G6" s="42">
        <f t="shared" si="0"/>
        <v>123000</v>
      </c>
      <c r="H6" s="42">
        <f t="shared" si="0"/>
        <v>129000</v>
      </c>
      <c r="I6" s="42">
        <f t="shared" si="0"/>
        <v>135000</v>
      </c>
      <c r="J6" s="42">
        <f t="shared" si="0"/>
        <v>141000</v>
      </c>
      <c r="K6" s="42">
        <f t="shared" si="0"/>
        <v>147000</v>
      </c>
      <c r="L6" s="42">
        <f t="shared" si="0"/>
        <v>153000</v>
      </c>
      <c r="M6" s="42">
        <f t="shared" si="0"/>
        <v>159000</v>
      </c>
    </row>
    <row r="7" spans="1:13" x14ac:dyDescent="0.2">
      <c r="A7" s="78" t="s">
        <v>76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2">
      <c r="A8" s="78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2">
      <c r="A9" s="78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">
      <c r="A10" s="78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2">
      <c r="A11" s="78" t="s">
        <v>73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78" t="s">
        <v>74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5</v>
      </c>
      <c r="B14" s="42">
        <v>6000</v>
      </c>
      <c r="C14" s="42">
        <v>6000</v>
      </c>
      <c r="D14" s="42">
        <v>6000</v>
      </c>
      <c r="E14" s="42">
        <v>6000</v>
      </c>
      <c r="F14" s="42">
        <v>6000</v>
      </c>
      <c r="G14" s="42">
        <v>6000</v>
      </c>
      <c r="H14" s="42">
        <v>6000</v>
      </c>
      <c r="I14" s="42">
        <v>6000</v>
      </c>
      <c r="J14" s="42">
        <v>6000</v>
      </c>
      <c r="K14" s="42">
        <v>6000</v>
      </c>
      <c r="L14" s="42">
        <v>6000</v>
      </c>
      <c r="M14" s="42">
        <v>6000</v>
      </c>
    </row>
    <row r="15" spans="1:13" x14ac:dyDescent="0.2">
      <c r="A15" s="78" t="s">
        <v>6</v>
      </c>
      <c r="B15" s="43">
        <f>SUM(B6:B14)</f>
        <v>114000</v>
      </c>
      <c r="C15" s="43">
        <f t="shared" ref="C15:M15" si="1">SUM(C6:C14)</f>
        <v>120000</v>
      </c>
      <c r="D15" s="43">
        <f t="shared" si="1"/>
        <v>126000</v>
      </c>
      <c r="E15" s="43">
        <f t="shared" si="1"/>
        <v>117000</v>
      </c>
      <c r="F15" s="43">
        <f t="shared" si="1"/>
        <v>123000</v>
      </c>
      <c r="G15" s="43">
        <f t="shared" si="1"/>
        <v>129000</v>
      </c>
      <c r="H15" s="43">
        <f t="shared" si="1"/>
        <v>135000</v>
      </c>
      <c r="I15" s="43">
        <f t="shared" si="1"/>
        <v>141000</v>
      </c>
      <c r="J15" s="43">
        <f t="shared" si="1"/>
        <v>147000</v>
      </c>
      <c r="K15" s="43">
        <f t="shared" si="1"/>
        <v>153000</v>
      </c>
      <c r="L15" s="43">
        <f t="shared" si="1"/>
        <v>159000</v>
      </c>
      <c r="M15" s="43">
        <f t="shared" si="1"/>
        <v>165000</v>
      </c>
    </row>
    <row r="16" spans="1:13" x14ac:dyDescent="0.2">
      <c r="A16" s="78" t="s">
        <v>7</v>
      </c>
      <c r="B16" s="44"/>
      <c r="C16" s="44"/>
      <c r="D16" s="44">
        <v>15000</v>
      </c>
      <c r="E16" s="44"/>
      <c r="F16" s="44"/>
      <c r="G16" s="44"/>
      <c r="H16" s="44"/>
      <c r="I16" s="44"/>
      <c r="J16" s="44"/>
      <c r="K16" s="44"/>
      <c r="L16" s="44"/>
      <c r="M16" s="44">
        <f>79500+15000</f>
        <v>94500</v>
      </c>
    </row>
    <row r="17" spans="1:13" x14ac:dyDescent="0.2">
      <c r="A17" s="78" t="s">
        <v>111</v>
      </c>
      <c r="B17" s="43">
        <f>B15-B16</f>
        <v>114000</v>
      </c>
      <c r="C17" s="43">
        <f>C15-C16</f>
        <v>120000</v>
      </c>
      <c r="D17" s="43">
        <f t="shared" ref="D17:M17" si="2">D15-D16</f>
        <v>111000</v>
      </c>
      <c r="E17" s="43">
        <f t="shared" si="2"/>
        <v>117000</v>
      </c>
      <c r="F17" s="43">
        <f t="shared" si="2"/>
        <v>123000</v>
      </c>
      <c r="G17" s="43">
        <f t="shared" si="2"/>
        <v>129000</v>
      </c>
      <c r="H17" s="43">
        <f t="shared" si="2"/>
        <v>135000</v>
      </c>
      <c r="I17" s="43">
        <f t="shared" si="2"/>
        <v>141000</v>
      </c>
      <c r="J17" s="43">
        <f t="shared" si="2"/>
        <v>147000</v>
      </c>
      <c r="K17" s="43">
        <f t="shared" si="2"/>
        <v>153000</v>
      </c>
      <c r="L17" s="43">
        <f t="shared" si="2"/>
        <v>159000</v>
      </c>
      <c r="M17" s="43">
        <f t="shared" si="2"/>
        <v>70500</v>
      </c>
    </row>
    <row r="24" spans="1:13" ht="15.75" x14ac:dyDescent="0.25">
      <c r="A24" s="31" t="s">
        <v>0</v>
      </c>
      <c r="B24" s="31" t="s">
        <v>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2">
      <c r="A25" s="78"/>
      <c r="B25" s="79">
        <v>42736</v>
      </c>
      <c r="C25" s="79">
        <v>42767</v>
      </c>
      <c r="D25" s="79">
        <v>42795</v>
      </c>
      <c r="E25" s="79">
        <v>42826</v>
      </c>
      <c r="F25" s="79">
        <v>42856</v>
      </c>
      <c r="G25" s="79">
        <v>42887</v>
      </c>
      <c r="H25" s="79">
        <v>42917</v>
      </c>
      <c r="I25" s="79">
        <v>42948</v>
      </c>
      <c r="J25" s="79">
        <v>42979</v>
      </c>
      <c r="K25" s="79">
        <v>43009</v>
      </c>
      <c r="L25" s="79">
        <v>43040</v>
      </c>
      <c r="M25" s="79">
        <v>43070</v>
      </c>
    </row>
    <row r="26" spans="1:13" x14ac:dyDescent="0.2">
      <c r="A26" s="78" t="s">
        <v>110</v>
      </c>
      <c r="B26" s="42">
        <v>48000</v>
      </c>
      <c r="C26" s="42">
        <f t="shared" ref="C26:M26" si="3">B37</f>
        <v>53000</v>
      </c>
      <c r="D26" s="42">
        <f t="shared" si="3"/>
        <v>58000</v>
      </c>
      <c r="E26" s="42">
        <f t="shared" si="3"/>
        <v>63000</v>
      </c>
      <c r="F26" s="42">
        <f t="shared" si="3"/>
        <v>68000</v>
      </c>
      <c r="G26" s="42">
        <f t="shared" si="3"/>
        <v>73000</v>
      </c>
      <c r="H26" s="42">
        <f t="shared" si="3"/>
        <v>78000</v>
      </c>
      <c r="I26" s="42">
        <f t="shared" si="3"/>
        <v>83000</v>
      </c>
      <c r="J26" s="42">
        <f t="shared" si="3"/>
        <v>88000</v>
      </c>
      <c r="K26" s="42">
        <f t="shared" si="3"/>
        <v>93000</v>
      </c>
      <c r="L26" s="42">
        <f t="shared" si="3"/>
        <v>98000</v>
      </c>
      <c r="M26" s="42">
        <f t="shared" si="3"/>
        <v>103000</v>
      </c>
    </row>
    <row r="27" spans="1:13" x14ac:dyDescent="0.2">
      <c r="A27" s="78" t="s">
        <v>76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2">
      <c r="A28" s="78" t="s">
        <v>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2">
      <c r="A29" s="78" t="s">
        <v>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73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74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75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5</v>
      </c>
      <c r="B34" s="42">
        <v>5000</v>
      </c>
      <c r="C34" s="42">
        <v>5000</v>
      </c>
      <c r="D34" s="42">
        <v>5000</v>
      </c>
      <c r="E34" s="42">
        <v>5000</v>
      </c>
      <c r="F34" s="42">
        <v>5000</v>
      </c>
      <c r="G34" s="42">
        <v>5000</v>
      </c>
      <c r="H34" s="42">
        <v>5000</v>
      </c>
      <c r="I34" s="42">
        <v>5000</v>
      </c>
      <c r="J34" s="42">
        <v>5000</v>
      </c>
      <c r="K34" s="42">
        <v>5000</v>
      </c>
      <c r="L34" s="42">
        <v>5000</v>
      </c>
      <c r="M34" s="42">
        <v>5000</v>
      </c>
    </row>
    <row r="35" spans="1:13" x14ac:dyDescent="0.2">
      <c r="A35" s="78" t="s">
        <v>6</v>
      </c>
      <c r="B35" s="43">
        <f>SUM(B26:B34)</f>
        <v>53000</v>
      </c>
      <c r="C35" s="43">
        <f t="shared" ref="C35:M35" si="4">SUM(C26:C34)</f>
        <v>58000</v>
      </c>
      <c r="D35" s="43">
        <f t="shared" si="4"/>
        <v>63000</v>
      </c>
      <c r="E35" s="43">
        <f t="shared" si="4"/>
        <v>68000</v>
      </c>
      <c r="F35" s="43">
        <f t="shared" si="4"/>
        <v>73000</v>
      </c>
      <c r="G35" s="43">
        <f t="shared" si="4"/>
        <v>78000</v>
      </c>
      <c r="H35" s="43">
        <f t="shared" si="4"/>
        <v>83000</v>
      </c>
      <c r="I35" s="43">
        <f t="shared" si="4"/>
        <v>88000</v>
      </c>
      <c r="J35" s="43">
        <f t="shared" si="4"/>
        <v>93000</v>
      </c>
      <c r="K35" s="43">
        <f t="shared" si="4"/>
        <v>98000</v>
      </c>
      <c r="L35" s="43">
        <f t="shared" si="4"/>
        <v>103000</v>
      </c>
      <c r="M35" s="43">
        <f t="shared" si="4"/>
        <v>108000</v>
      </c>
    </row>
    <row r="36" spans="1:13" x14ac:dyDescent="0.2">
      <c r="A36" s="78" t="s">
        <v>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1:13" x14ac:dyDescent="0.2">
      <c r="A37" s="78" t="s">
        <v>111</v>
      </c>
      <c r="B37" s="43">
        <f>B35-B36</f>
        <v>53000</v>
      </c>
      <c r="C37" s="43">
        <f>C35-C36</f>
        <v>58000</v>
      </c>
      <c r="D37" s="43">
        <f t="shared" ref="D37:M37" si="5">D35-D36</f>
        <v>63000</v>
      </c>
      <c r="E37" s="43">
        <f t="shared" si="5"/>
        <v>68000</v>
      </c>
      <c r="F37" s="43">
        <f t="shared" si="5"/>
        <v>73000</v>
      </c>
      <c r="G37" s="43">
        <f t="shared" si="5"/>
        <v>78000</v>
      </c>
      <c r="H37" s="43">
        <f t="shared" si="5"/>
        <v>83000</v>
      </c>
      <c r="I37" s="43">
        <f t="shared" si="5"/>
        <v>88000</v>
      </c>
      <c r="J37" s="43">
        <f t="shared" si="5"/>
        <v>93000</v>
      </c>
      <c r="K37" s="43">
        <f t="shared" si="5"/>
        <v>98000</v>
      </c>
      <c r="L37" s="43">
        <f t="shared" si="5"/>
        <v>103000</v>
      </c>
      <c r="M37" s="43">
        <f t="shared" si="5"/>
        <v>108000</v>
      </c>
    </row>
    <row r="42" spans="1:13" ht="15.75" x14ac:dyDescent="0.25">
      <c r="A42" s="31" t="s">
        <v>0</v>
      </c>
      <c r="B42" s="31" t="s">
        <v>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2">
      <c r="A43" s="78"/>
      <c r="B43" s="79">
        <v>42370</v>
      </c>
      <c r="C43" s="79">
        <v>42401</v>
      </c>
      <c r="D43" s="79">
        <v>42430</v>
      </c>
      <c r="E43" s="79">
        <v>42461</v>
      </c>
      <c r="F43" s="79">
        <v>42491</v>
      </c>
      <c r="G43" s="79">
        <v>42522</v>
      </c>
      <c r="H43" s="79">
        <v>42552</v>
      </c>
      <c r="I43" s="79">
        <v>42583</v>
      </c>
      <c r="J43" s="79">
        <v>42614</v>
      </c>
      <c r="K43" s="79">
        <v>42644</v>
      </c>
      <c r="L43" s="79">
        <v>42675</v>
      </c>
      <c r="M43" s="79">
        <v>42705</v>
      </c>
    </row>
    <row r="44" spans="1:13" x14ac:dyDescent="0.2">
      <c r="A44" s="78" t="s">
        <v>110</v>
      </c>
      <c r="B44" s="42"/>
      <c r="C44" s="42">
        <f t="shared" ref="C44:M44" si="6">B55</f>
        <v>4000</v>
      </c>
      <c r="D44" s="42">
        <f t="shared" si="6"/>
        <v>8000</v>
      </c>
      <c r="E44" s="42">
        <f t="shared" si="6"/>
        <v>12000</v>
      </c>
      <c r="F44" s="42">
        <f t="shared" si="6"/>
        <v>16000</v>
      </c>
      <c r="G44" s="42">
        <f t="shared" si="6"/>
        <v>20000</v>
      </c>
      <c r="H44" s="42">
        <f t="shared" si="6"/>
        <v>24000</v>
      </c>
      <c r="I44" s="42">
        <f t="shared" si="6"/>
        <v>28000</v>
      </c>
      <c r="J44" s="42">
        <f t="shared" si="6"/>
        <v>32000</v>
      </c>
      <c r="K44" s="42">
        <f t="shared" si="6"/>
        <v>36000</v>
      </c>
      <c r="L44" s="42">
        <f t="shared" si="6"/>
        <v>40000</v>
      </c>
      <c r="M44" s="42">
        <f t="shared" si="6"/>
        <v>44000</v>
      </c>
    </row>
    <row r="45" spans="1:13" x14ac:dyDescent="0.2">
      <c r="A45" s="78" t="s">
        <v>76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2">
      <c r="A46" s="78" t="s">
        <v>3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2">
      <c r="A47" s="78" t="s">
        <v>4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2">
      <c r="A48" s="78" t="s">
        <v>9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2">
      <c r="A49" s="78" t="s">
        <v>73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2">
      <c r="A50" s="78" t="s">
        <v>74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2">
      <c r="A51" s="78" t="s">
        <v>75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2">
      <c r="A52" s="78" t="s">
        <v>5</v>
      </c>
      <c r="B52" s="42">
        <v>4000</v>
      </c>
      <c r="C52" s="42">
        <v>4000</v>
      </c>
      <c r="D52" s="42">
        <v>4000</v>
      </c>
      <c r="E52" s="42">
        <v>4000</v>
      </c>
      <c r="F52" s="42">
        <v>4000</v>
      </c>
      <c r="G52" s="42">
        <v>4000</v>
      </c>
      <c r="H52" s="42">
        <v>4000</v>
      </c>
      <c r="I52" s="42">
        <v>4000</v>
      </c>
      <c r="J52" s="42">
        <v>4000</v>
      </c>
      <c r="K52" s="42">
        <v>4000</v>
      </c>
      <c r="L52" s="42">
        <v>4000</v>
      </c>
      <c r="M52" s="42">
        <v>4000</v>
      </c>
    </row>
    <row r="53" spans="1:13" x14ac:dyDescent="0.2">
      <c r="A53" s="78" t="s">
        <v>6</v>
      </c>
      <c r="B53" s="43">
        <f>SUM(B44:B52)</f>
        <v>4000</v>
      </c>
      <c r="C53" s="43">
        <f t="shared" ref="C53:M53" si="7">SUM(C44:C52)</f>
        <v>8000</v>
      </c>
      <c r="D53" s="43">
        <f t="shared" si="7"/>
        <v>12000</v>
      </c>
      <c r="E53" s="43">
        <f t="shared" si="7"/>
        <v>16000</v>
      </c>
      <c r="F53" s="43">
        <f t="shared" si="7"/>
        <v>20000</v>
      </c>
      <c r="G53" s="43">
        <f t="shared" si="7"/>
        <v>24000</v>
      </c>
      <c r="H53" s="43">
        <f t="shared" si="7"/>
        <v>28000</v>
      </c>
      <c r="I53" s="43">
        <f t="shared" si="7"/>
        <v>32000</v>
      </c>
      <c r="J53" s="43">
        <f t="shared" si="7"/>
        <v>36000</v>
      </c>
      <c r="K53" s="43">
        <f t="shared" si="7"/>
        <v>40000</v>
      </c>
      <c r="L53" s="43">
        <f t="shared" si="7"/>
        <v>44000</v>
      </c>
      <c r="M53" s="43">
        <f t="shared" si="7"/>
        <v>48000</v>
      </c>
    </row>
    <row r="54" spans="1:13" x14ac:dyDescent="0.2">
      <c r="A54" s="78" t="s">
        <v>7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3" x14ac:dyDescent="0.2">
      <c r="A55" s="78" t="s">
        <v>111</v>
      </c>
      <c r="B55" s="43">
        <f>B53-B54</f>
        <v>4000</v>
      </c>
      <c r="C55" s="43">
        <f>C53-C54</f>
        <v>8000</v>
      </c>
      <c r="D55" s="43">
        <f t="shared" ref="D55:M55" si="8">D53-D54</f>
        <v>12000</v>
      </c>
      <c r="E55" s="43">
        <f t="shared" si="8"/>
        <v>16000</v>
      </c>
      <c r="F55" s="43">
        <f t="shared" si="8"/>
        <v>20000</v>
      </c>
      <c r="G55" s="43">
        <f t="shared" si="8"/>
        <v>24000</v>
      </c>
      <c r="H55" s="43">
        <f t="shared" si="8"/>
        <v>28000</v>
      </c>
      <c r="I55" s="43">
        <f t="shared" si="8"/>
        <v>32000</v>
      </c>
      <c r="J55" s="43">
        <f t="shared" si="8"/>
        <v>36000</v>
      </c>
      <c r="K55" s="43">
        <f t="shared" si="8"/>
        <v>40000</v>
      </c>
      <c r="L55" s="43">
        <f t="shared" si="8"/>
        <v>44000</v>
      </c>
      <c r="M55" s="43">
        <f t="shared" si="8"/>
        <v>48000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9"/>
  <dimension ref="A3:M42"/>
  <sheetViews>
    <sheetView topLeftCell="A4" workbookViewId="0">
      <selection activeCell="C36" sqref="C36"/>
    </sheetView>
  </sheetViews>
  <sheetFormatPr baseColWidth="10" defaultRowHeight="12.75" x14ac:dyDescent="0.2"/>
  <cols>
    <col min="1" max="1" width="27.85546875" customWidth="1"/>
  </cols>
  <sheetData>
    <row r="3" spans="1:13" x14ac:dyDescent="0.2">
      <c r="A3" t="s">
        <v>214</v>
      </c>
    </row>
    <row r="4" spans="1:13" x14ac:dyDescent="0.2">
      <c r="A4" t="s">
        <v>215</v>
      </c>
    </row>
    <row r="5" spans="1:13" x14ac:dyDescent="0.2">
      <c r="A5" t="s">
        <v>216</v>
      </c>
    </row>
    <row r="9" spans="1:13" ht="15.75" x14ac:dyDescent="0.25">
      <c r="A9" s="31" t="s">
        <v>0</v>
      </c>
      <c r="B9" s="31" t="s">
        <v>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">
      <c r="A10" s="78"/>
      <c r="B10" s="79">
        <v>42736</v>
      </c>
      <c r="C10" s="79">
        <v>42767</v>
      </c>
      <c r="D10" s="79">
        <v>42795</v>
      </c>
      <c r="E10" s="79">
        <v>42826</v>
      </c>
      <c r="F10" s="79">
        <v>42856</v>
      </c>
      <c r="G10" s="79">
        <v>42887</v>
      </c>
      <c r="H10" s="79">
        <v>42917</v>
      </c>
      <c r="I10" s="79">
        <v>42948</v>
      </c>
      <c r="J10" s="79">
        <v>42979</v>
      </c>
      <c r="K10" s="79">
        <v>43009</v>
      </c>
      <c r="L10" s="79">
        <v>43040</v>
      </c>
      <c r="M10" s="79">
        <v>43070</v>
      </c>
    </row>
    <row r="11" spans="1:13" x14ac:dyDescent="0.2">
      <c r="A11" s="78" t="s">
        <v>110</v>
      </c>
      <c r="B11" s="42"/>
      <c r="C11" s="42">
        <f>B22</f>
        <v>7000</v>
      </c>
      <c r="D11" s="42">
        <f t="shared" ref="D11:M11" si="0">C22</f>
        <v>14000</v>
      </c>
      <c r="E11" s="42">
        <f t="shared" si="0"/>
        <v>21000</v>
      </c>
      <c r="F11" s="42">
        <f t="shared" si="0"/>
        <v>28000</v>
      </c>
      <c r="G11" s="42">
        <f t="shared" si="0"/>
        <v>35000</v>
      </c>
      <c r="H11" s="42">
        <f t="shared" si="0"/>
        <v>42000</v>
      </c>
      <c r="I11" s="42">
        <f t="shared" si="0"/>
        <v>49000</v>
      </c>
      <c r="J11" s="42">
        <f t="shared" si="0"/>
        <v>56000</v>
      </c>
      <c r="K11" s="42">
        <f t="shared" si="0"/>
        <v>63000</v>
      </c>
      <c r="L11" s="42">
        <f t="shared" si="0"/>
        <v>70000</v>
      </c>
      <c r="M11" s="42">
        <f t="shared" si="0"/>
        <v>77000</v>
      </c>
    </row>
    <row r="12" spans="1:13" x14ac:dyDescent="0.2">
      <c r="A12" s="78" t="s">
        <v>76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">
      <c r="A13" s="78" t="s">
        <v>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2">
      <c r="A14" s="78" t="s">
        <v>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2">
      <c r="A15" s="78" t="s">
        <v>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2">
      <c r="A16" s="78" t="s">
        <v>73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2">
      <c r="A17" s="78" t="s">
        <v>74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x14ac:dyDescent="0.2">
      <c r="A18" s="78" t="s">
        <v>75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2">
      <c r="A19" s="78" t="s">
        <v>5</v>
      </c>
      <c r="B19" s="42">
        <v>7000</v>
      </c>
      <c r="C19" s="42">
        <v>7000</v>
      </c>
      <c r="D19" s="42">
        <v>7000</v>
      </c>
      <c r="E19" s="42">
        <v>7000</v>
      </c>
      <c r="F19" s="42">
        <v>7000</v>
      </c>
      <c r="G19" s="42">
        <v>7000</v>
      </c>
      <c r="H19" s="42">
        <v>7000</v>
      </c>
      <c r="I19" s="42">
        <v>7000</v>
      </c>
      <c r="J19" s="42">
        <v>7000</v>
      </c>
      <c r="K19" s="42">
        <v>7000</v>
      </c>
      <c r="L19" s="42">
        <v>7000</v>
      </c>
      <c r="M19" s="42">
        <v>7000</v>
      </c>
    </row>
    <row r="20" spans="1:13" x14ac:dyDescent="0.2">
      <c r="A20" s="78" t="s">
        <v>6</v>
      </c>
      <c r="B20" s="43">
        <f>SUM(B11:B19)</f>
        <v>7000</v>
      </c>
      <c r="C20" s="43">
        <f t="shared" ref="C20:M20" si="1">SUM(C11:C19)</f>
        <v>14000</v>
      </c>
      <c r="D20" s="43">
        <f t="shared" si="1"/>
        <v>21000</v>
      </c>
      <c r="E20" s="43">
        <f t="shared" si="1"/>
        <v>28000</v>
      </c>
      <c r="F20" s="43">
        <f t="shared" si="1"/>
        <v>35000</v>
      </c>
      <c r="G20" s="43">
        <f t="shared" si="1"/>
        <v>42000</v>
      </c>
      <c r="H20" s="43">
        <f t="shared" si="1"/>
        <v>49000</v>
      </c>
      <c r="I20" s="43">
        <f t="shared" si="1"/>
        <v>56000</v>
      </c>
      <c r="J20" s="43">
        <f t="shared" si="1"/>
        <v>63000</v>
      </c>
      <c r="K20" s="43">
        <f t="shared" si="1"/>
        <v>70000</v>
      </c>
      <c r="L20" s="43">
        <f t="shared" si="1"/>
        <v>77000</v>
      </c>
      <c r="M20" s="43">
        <f t="shared" si="1"/>
        <v>84000</v>
      </c>
    </row>
    <row r="21" spans="1:13" x14ac:dyDescent="0.2">
      <c r="A21" s="78" t="s">
        <v>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3" x14ac:dyDescent="0.2">
      <c r="A22" s="78" t="s">
        <v>111</v>
      </c>
      <c r="B22" s="43">
        <f>B20-B21</f>
        <v>7000</v>
      </c>
      <c r="C22" s="43">
        <f>C20-C21</f>
        <v>14000</v>
      </c>
      <c r="D22" s="43">
        <f t="shared" ref="D22:M22" si="2">D20-D21</f>
        <v>21000</v>
      </c>
      <c r="E22" s="43">
        <f t="shared" si="2"/>
        <v>28000</v>
      </c>
      <c r="F22" s="43">
        <f t="shared" si="2"/>
        <v>35000</v>
      </c>
      <c r="G22" s="43">
        <f t="shared" si="2"/>
        <v>42000</v>
      </c>
      <c r="H22" s="43">
        <f t="shared" si="2"/>
        <v>49000</v>
      </c>
      <c r="I22" s="43">
        <f t="shared" si="2"/>
        <v>56000</v>
      </c>
      <c r="J22" s="43">
        <f t="shared" si="2"/>
        <v>63000</v>
      </c>
      <c r="K22" s="43">
        <f t="shared" si="2"/>
        <v>70000</v>
      </c>
      <c r="L22" s="43">
        <f t="shared" si="2"/>
        <v>77000</v>
      </c>
      <c r="M22" s="43">
        <f t="shared" si="2"/>
        <v>84000</v>
      </c>
    </row>
    <row r="23" spans="1:13" ht="20.2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6" spans="1:13" ht="15.75" x14ac:dyDescent="0.25">
      <c r="A26" s="31" t="s">
        <v>0</v>
      </c>
      <c r="B26" s="31" t="s">
        <v>1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2">
      <c r="A27" s="78"/>
      <c r="B27" s="79">
        <v>43101</v>
      </c>
      <c r="C27" s="79">
        <v>43132</v>
      </c>
      <c r="D27" s="79">
        <v>43160</v>
      </c>
      <c r="E27" s="79">
        <v>43191</v>
      </c>
      <c r="F27" s="79">
        <v>43221</v>
      </c>
      <c r="G27" s="79">
        <v>43252</v>
      </c>
      <c r="H27" s="79">
        <v>43282</v>
      </c>
      <c r="I27" s="79">
        <v>43313</v>
      </c>
      <c r="J27" s="79">
        <v>43344</v>
      </c>
      <c r="K27" s="79">
        <v>43374</v>
      </c>
      <c r="L27" s="79">
        <v>43405</v>
      </c>
      <c r="M27" s="79">
        <v>43435</v>
      </c>
    </row>
    <row r="28" spans="1:13" x14ac:dyDescent="0.2">
      <c r="A28" s="78" t="s">
        <v>110</v>
      </c>
      <c r="B28" s="42">
        <v>84000</v>
      </c>
      <c r="C28" s="42">
        <f t="shared" ref="C28:M28" si="3">B39</f>
        <v>91000</v>
      </c>
      <c r="D28" s="42">
        <f t="shared" si="3"/>
        <v>98000</v>
      </c>
      <c r="E28" s="42">
        <f t="shared" si="3"/>
        <v>105000</v>
      </c>
      <c r="F28" s="42">
        <f t="shared" si="3"/>
        <v>101000</v>
      </c>
      <c r="G28" s="42">
        <f t="shared" si="3"/>
        <v>109000</v>
      </c>
      <c r="H28" s="42">
        <f t="shared" si="3"/>
        <v>117000</v>
      </c>
      <c r="I28" s="42">
        <f t="shared" si="3"/>
        <v>125000</v>
      </c>
      <c r="J28" s="42">
        <f t="shared" si="3"/>
        <v>133000</v>
      </c>
      <c r="K28" s="42">
        <f t="shared" si="3"/>
        <v>141000</v>
      </c>
      <c r="L28" s="42">
        <f t="shared" si="3"/>
        <v>149000</v>
      </c>
      <c r="M28" s="42">
        <f t="shared" si="3"/>
        <v>157000</v>
      </c>
    </row>
    <row r="29" spans="1:13" x14ac:dyDescent="0.2">
      <c r="A29" s="78" t="s">
        <v>76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2">
      <c r="A30" s="78" t="s">
        <v>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2">
      <c r="A31" s="78" t="s">
        <v>4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2">
      <c r="A32" s="78" t="s">
        <v>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2">
      <c r="A33" s="78" t="s">
        <v>73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2">
      <c r="A34" s="78" t="s">
        <v>74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2">
      <c r="A35" s="78" t="s">
        <v>75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x14ac:dyDescent="0.2">
      <c r="A36" s="78" t="s">
        <v>5</v>
      </c>
      <c r="B36" s="42">
        <v>7000</v>
      </c>
      <c r="C36" s="42">
        <v>7000</v>
      </c>
      <c r="D36" s="42">
        <v>7000</v>
      </c>
      <c r="E36" s="42">
        <v>8000</v>
      </c>
      <c r="F36" s="42">
        <v>8000</v>
      </c>
      <c r="G36" s="42">
        <v>8000</v>
      </c>
      <c r="H36" s="42">
        <v>8000</v>
      </c>
      <c r="I36" s="42">
        <v>8000</v>
      </c>
      <c r="J36" s="42">
        <v>8000</v>
      </c>
      <c r="K36" s="42">
        <v>8000</v>
      </c>
      <c r="L36" s="42">
        <v>8000</v>
      </c>
      <c r="M36" s="42">
        <v>8000</v>
      </c>
    </row>
    <row r="37" spans="1:13" x14ac:dyDescent="0.2">
      <c r="A37" s="78" t="s">
        <v>6</v>
      </c>
      <c r="B37" s="43">
        <f>SUM(B28:B36)</f>
        <v>91000</v>
      </c>
      <c r="C37" s="43">
        <f t="shared" ref="C37:M37" si="4">SUM(C28:C36)</f>
        <v>98000</v>
      </c>
      <c r="D37" s="43">
        <f t="shared" si="4"/>
        <v>105000</v>
      </c>
      <c r="E37" s="43">
        <f t="shared" si="4"/>
        <v>113000</v>
      </c>
      <c r="F37" s="43">
        <f t="shared" si="4"/>
        <v>109000</v>
      </c>
      <c r="G37" s="43">
        <f t="shared" si="4"/>
        <v>117000</v>
      </c>
      <c r="H37" s="43">
        <f t="shared" si="4"/>
        <v>125000</v>
      </c>
      <c r="I37" s="43">
        <f t="shared" si="4"/>
        <v>133000</v>
      </c>
      <c r="J37" s="43">
        <f t="shared" si="4"/>
        <v>141000</v>
      </c>
      <c r="K37" s="43">
        <f t="shared" si="4"/>
        <v>149000</v>
      </c>
      <c r="L37" s="43">
        <f t="shared" si="4"/>
        <v>157000</v>
      </c>
      <c r="M37" s="43">
        <f t="shared" si="4"/>
        <v>165000</v>
      </c>
    </row>
    <row r="38" spans="1:13" x14ac:dyDescent="0.2">
      <c r="A38" s="78" t="s">
        <v>7</v>
      </c>
      <c r="B38" s="44"/>
      <c r="C38" s="44"/>
      <c r="D38" s="44"/>
      <c r="E38" s="44">
        <v>12000</v>
      </c>
      <c r="F38" s="44"/>
      <c r="G38" s="44"/>
      <c r="H38" s="44"/>
      <c r="I38" s="44"/>
      <c r="J38" s="44"/>
      <c r="K38" s="44"/>
      <c r="L38" s="44"/>
      <c r="M38" s="44">
        <v>94500</v>
      </c>
    </row>
    <row r="39" spans="1:13" x14ac:dyDescent="0.2">
      <c r="A39" s="78" t="s">
        <v>111</v>
      </c>
      <c r="B39" s="43">
        <f>B37-B38</f>
        <v>91000</v>
      </c>
      <c r="C39" s="43">
        <f>C37-C38</f>
        <v>98000</v>
      </c>
      <c r="D39" s="43">
        <f t="shared" ref="D39:M39" si="5">D37-D38</f>
        <v>105000</v>
      </c>
      <c r="E39" s="43">
        <f t="shared" si="5"/>
        <v>101000</v>
      </c>
      <c r="F39" s="43">
        <f t="shared" si="5"/>
        <v>109000</v>
      </c>
      <c r="G39" s="43">
        <f t="shared" si="5"/>
        <v>117000</v>
      </c>
      <c r="H39" s="43">
        <f t="shared" si="5"/>
        <v>125000</v>
      </c>
      <c r="I39" s="43">
        <f t="shared" si="5"/>
        <v>133000</v>
      </c>
      <c r="J39" s="43">
        <f t="shared" si="5"/>
        <v>141000</v>
      </c>
      <c r="K39" s="43">
        <f t="shared" si="5"/>
        <v>149000</v>
      </c>
      <c r="L39" s="43">
        <f t="shared" si="5"/>
        <v>157000</v>
      </c>
      <c r="M39" s="43">
        <f t="shared" si="5"/>
        <v>70500</v>
      </c>
    </row>
    <row r="42" spans="1:13" x14ac:dyDescent="0.2">
      <c r="A42" t="s">
        <v>411</v>
      </c>
    </row>
  </sheetData>
  <phoneticPr fontId="4" type="noConversion"/>
  <pageMargins left="0.75" right="0.75" top="1" bottom="1" header="0" footer="0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0"/>
  <dimension ref="A1:M73"/>
  <sheetViews>
    <sheetView showGridLines="0" zoomScaleNormal="100" workbookViewId="0">
      <selection activeCell="D6" sqref="D6"/>
    </sheetView>
  </sheetViews>
  <sheetFormatPr baseColWidth="10" defaultRowHeight="20.25" x14ac:dyDescent="0.3"/>
  <cols>
    <col min="1" max="1" width="25.42578125" style="2" customWidth="1"/>
    <col min="2" max="2" width="12.5703125" style="2" customWidth="1"/>
    <col min="3" max="3" width="12.140625" style="2" bestFit="1" customWidth="1"/>
    <col min="4" max="4" width="13" style="2" customWidth="1"/>
    <col min="5" max="5" width="12.7109375" style="2" customWidth="1"/>
    <col min="6" max="6" width="16.7109375" style="2" bestFit="1" customWidth="1"/>
    <col min="7" max="7" width="12.7109375" style="2" customWidth="1"/>
    <col min="8" max="9" width="13" style="2" customWidth="1"/>
    <col min="10" max="10" width="13.28515625" style="2" customWidth="1"/>
    <col min="11" max="11" width="13.7109375" style="2" customWidth="1"/>
    <col min="12" max="12" width="12.7109375" style="2" customWidth="1"/>
    <col min="13" max="13" width="13.42578125" style="2" customWidth="1"/>
    <col min="14" max="16384" width="11.42578125" style="2"/>
  </cols>
  <sheetData>
    <row r="1" spans="1:13" ht="27" x14ac:dyDescent="0.35">
      <c r="A1" s="7"/>
    </row>
    <row r="2" spans="1:13" x14ac:dyDescent="0.3">
      <c r="A2" s="11" t="s">
        <v>11</v>
      </c>
      <c r="B2" s="216" t="s">
        <v>155</v>
      </c>
      <c r="C2" s="216"/>
      <c r="D2" s="216"/>
      <c r="E2" s="216"/>
      <c r="F2" s="216"/>
      <c r="G2" s="216"/>
    </row>
    <row r="4" spans="1:13" x14ac:dyDescent="0.3">
      <c r="A4" s="31" t="s">
        <v>0</v>
      </c>
      <c r="B4" s="31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65"/>
      <c r="B5" s="68">
        <v>45658</v>
      </c>
      <c r="C5" s="68">
        <v>45689</v>
      </c>
      <c r="D5" s="68">
        <v>45717</v>
      </c>
      <c r="E5" s="68">
        <v>45748</v>
      </c>
      <c r="F5" s="68">
        <v>45778</v>
      </c>
      <c r="G5" s="68">
        <v>45809</v>
      </c>
      <c r="H5" s="68">
        <v>45839</v>
      </c>
      <c r="I5" s="68">
        <v>45870</v>
      </c>
      <c r="J5" s="68">
        <v>45901</v>
      </c>
      <c r="K5" s="68">
        <v>45931</v>
      </c>
      <c r="L5" s="68">
        <v>45962</v>
      </c>
      <c r="M5" s="68">
        <v>45992</v>
      </c>
    </row>
    <row r="6" spans="1:13" x14ac:dyDescent="0.3">
      <c r="A6" s="65" t="s">
        <v>110</v>
      </c>
      <c r="B6" s="69"/>
      <c r="C6" s="69">
        <f>B17</f>
        <v>300000</v>
      </c>
      <c r="D6" s="69">
        <f t="shared" ref="D6:M6" si="0">C17</f>
        <v>600000</v>
      </c>
      <c r="E6" s="69">
        <f t="shared" si="0"/>
        <v>900000</v>
      </c>
      <c r="F6" s="69">
        <f t="shared" si="0"/>
        <v>1245500</v>
      </c>
      <c r="G6" s="69">
        <f t="shared" si="0"/>
        <v>1570800</v>
      </c>
      <c r="H6" s="69">
        <f t="shared" si="0"/>
        <v>1870800</v>
      </c>
      <c r="I6" s="69">
        <f t="shared" si="0"/>
        <v>2170800</v>
      </c>
      <c r="J6" s="69">
        <f t="shared" si="0"/>
        <v>2470800</v>
      </c>
      <c r="K6" s="69">
        <f t="shared" si="0"/>
        <v>2770800</v>
      </c>
      <c r="L6" s="69">
        <f t="shared" si="0"/>
        <v>3070800</v>
      </c>
      <c r="M6" s="69">
        <f t="shared" si="0"/>
        <v>3370800</v>
      </c>
    </row>
    <row r="7" spans="1:13" x14ac:dyDescent="0.3">
      <c r="A7" s="65" t="s">
        <v>76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x14ac:dyDescent="0.3">
      <c r="A8" s="65" t="s">
        <v>3</v>
      </c>
      <c r="B8" s="69"/>
      <c r="C8" s="69"/>
      <c r="D8" s="69"/>
      <c r="E8" s="69">
        <v>45500</v>
      </c>
      <c r="F8" s="69">
        <v>25300</v>
      </c>
      <c r="G8" s="69"/>
      <c r="H8" s="69"/>
      <c r="I8" s="69"/>
      <c r="J8" s="69"/>
      <c r="K8" s="69"/>
      <c r="L8" s="69"/>
      <c r="M8" s="69"/>
    </row>
    <row r="9" spans="1:13" x14ac:dyDescent="0.3">
      <c r="A9" s="65" t="s">
        <v>623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</row>
    <row r="10" spans="1:13" x14ac:dyDescent="0.3">
      <c r="A10" s="65" t="s">
        <v>9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x14ac:dyDescent="0.3">
      <c r="A11" s="65" t="s">
        <v>73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x14ac:dyDescent="0.3">
      <c r="A12" s="65" t="s">
        <v>593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spans="1:13" x14ac:dyDescent="0.3">
      <c r="A13" s="65" t="s">
        <v>539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1:13" x14ac:dyDescent="0.3">
      <c r="A14" s="65" t="s">
        <v>5</v>
      </c>
      <c r="B14" s="69">
        <v>300000</v>
      </c>
      <c r="C14" s="69">
        <v>300000</v>
      </c>
      <c r="D14" s="69">
        <v>300000</v>
      </c>
      <c r="E14" s="69">
        <v>300000</v>
      </c>
      <c r="F14" s="69">
        <v>300000</v>
      </c>
      <c r="G14" s="69">
        <v>300000</v>
      </c>
      <c r="H14" s="69">
        <v>300000</v>
      </c>
      <c r="I14" s="69">
        <v>300000</v>
      </c>
      <c r="J14" s="69">
        <v>300000</v>
      </c>
      <c r="K14" s="69">
        <v>300000</v>
      </c>
      <c r="L14" s="69">
        <v>300000</v>
      </c>
      <c r="M14" s="69">
        <v>300000</v>
      </c>
    </row>
    <row r="15" spans="1:13" x14ac:dyDescent="0.3">
      <c r="A15" s="65" t="s">
        <v>6</v>
      </c>
      <c r="B15" s="70">
        <f>SUM(B6:B14)</f>
        <v>300000</v>
      </c>
      <c r="C15" s="70">
        <f t="shared" ref="C15:M15" si="1">SUM(C6:C14)</f>
        <v>600000</v>
      </c>
      <c r="D15" s="70">
        <f t="shared" si="1"/>
        <v>900000</v>
      </c>
      <c r="E15" s="70">
        <f t="shared" si="1"/>
        <v>1245500</v>
      </c>
      <c r="F15" s="70">
        <f t="shared" si="1"/>
        <v>1570800</v>
      </c>
      <c r="G15" s="70">
        <f t="shared" si="1"/>
        <v>1870800</v>
      </c>
      <c r="H15" s="70">
        <f t="shared" si="1"/>
        <v>2170800</v>
      </c>
      <c r="I15" s="70">
        <f t="shared" si="1"/>
        <v>2470800</v>
      </c>
      <c r="J15" s="70">
        <f t="shared" si="1"/>
        <v>2770800</v>
      </c>
      <c r="K15" s="70">
        <f t="shared" si="1"/>
        <v>3070800</v>
      </c>
      <c r="L15" s="70">
        <f t="shared" si="1"/>
        <v>3370800</v>
      </c>
      <c r="M15" s="70">
        <f t="shared" si="1"/>
        <v>3670800</v>
      </c>
    </row>
    <row r="16" spans="1:13" x14ac:dyDescent="0.3">
      <c r="A16" s="78" t="s">
        <v>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x14ac:dyDescent="0.3">
      <c r="A17" s="78" t="s">
        <v>111</v>
      </c>
      <c r="B17" s="43">
        <f>B15-B16</f>
        <v>300000</v>
      </c>
      <c r="C17" s="43">
        <f>C15-C16</f>
        <v>600000</v>
      </c>
      <c r="D17" s="43">
        <f t="shared" ref="D17:M17" si="2">D15-D16</f>
        <v>900000</v>
      </c>
      <c r="E17" s="43">
        <f t="shared" si="2"/>
        <v>1245500</v>
      </c>
      <c r="F17" s="43">
        <f t="shared" si="2"/>
        <v>1570800</v>
      </c>
      <c r="G17" s="43">
        <f t="shared" si="2"/>
        <v>1870800</v>
      </c>
      <c r="H17" s="43">
        <f t="shared" si="2"/>
        <v>2170800</v>
      </c>
      <c r="I17" s="43">
        <f t="shared" si="2"/>
        <v>2470800</v>
      </c>
      <c r="J17" s="43">
        <f t="shared" si="2"/>
        <v>2770800</v>
      </c>
      <c r="K17" s="43">
        <f t="shared" si="2"/>
        <v>3070800</v>
      </c>
      <c r="L17" s="43">
        <f t="shared" si="2"/>
        <v>3370800</v>
      </c>
      <c r="M17" s="43">
        <f t="shared" si="2"/>
        <v>3670800</v>
      </c>
    </row>
    <row r="20" spans="1:13" x14ac:dyDescent="0.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3">
      <c r="A21" s="73"/>
      <c r="B21" s="74">
        <v>46023</v>
      </c>
      <c r="C21" s="74">
        <v>46054</v>
      </c>
      <c r="D21" s="74">
        <v>46082</v>
      </c>
      <c r="E21" s="74">
        <v>46113</v>
      </c>
      <c r="F21" s="74">
        <v>46143</v>
      </c>
      <c r="G21" s="74">
        <v>46174</v>
      </c>
      <c r="H21" s="74">
        <v>46204</v>
      </c>
      <c r="I21" s="74">
        <v>46235</v>
      </c>
      <c r="J21" s="74">
        <v>46266</v>
      </c>
      <c r="K21" s="74">
        <v>46296</v>
      </c>
      <c r="L21" s="74">
        <v>46327</v>
      </c>
      <c r="M21" s="74">
        <v>46357</v>
      </c>
    </row>
    <row r="22" spans="1:13" x14ac:dyDescent="0.3">
      <c r="A22" s="65" t="s">
        <v>110</v>
      </c>
      <c r="B22" s="69"/>
      <c r="C22" s="69">
        <f t="shared" ref="C22:M22" si="3">B33</f>
        <v>200000</v>
      </c>
      <c r="D22" s="69">
        <f t="shared" si="3"/>
        <v>400000</v>
      </c>
      <c r="E22" s="69">
        <f t="shared" si="3"/>
        <v>600000</v>
      </c>
      <c r="F22" s="69">
        <f t="shared" si="3"/>
        <v>800000</v>
      </c>
      <c r="G22" s="69">
        <f t="shared" si="3"/>
        <v>1000000</v>
      </c>
      <c r="H22" s="69">
        <f t="shared" si="3"/>
        <v>1200000</v>
      </c>
      <c r="I22" s="69">
        <f t="shared" si="3"/>
        <v>1400000</v>
      </c>
      <c r="J22" s="69">
        <f t="shared" si="3"/>
        <v>1600000</v>
      </c>
      <c r="K22" s="69">
        <f t="shared" si="3"/>
        <v>1800000</v>
      </c>
      <c r="L22" s="69">
        <f t="shared" si="3"/>
        <v>2000000</v>
      </c>
      <c r="M22" s="69">
        <f t="shared" si="3"/>
        <v>2200000</v>
      </c>
    </row>
    <row r="23" spans="1:13" x14ac:dyDescent="0.3">
      <c r="A23" s="65" t="s">
        <v>76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3" x14ac:dyDescent="0.3">
      <c r="A24" s="65" t="s">
        <v>3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x14ac:dyDescent="0.3">
      <c r="A25" s="65" t="s">
        <v>4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 x14ac:dyDescent="0.3">
      <c r="A26" s="65" t="s">
        <v>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x14ac:dyDescent="0.3">
      <c r="A27" s="65" t="s">
        <v>73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x14ac:dyDescent="0.3">
      <c r="A28" s="65" t="s">
        <v>74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</row>
    <row r="29" spans="1:13" x14ac:dyDescent="0.3">
      <c r="A29" s="65" t="s">
        <v>156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>
        <v>116300</v>
      </c>
    </row>
    <row r="30" spans="1:13" x14ac:dyDescent="0.3">
      <c r="A30" s="65" t="s">
        <v>5</v>
      </c>
      <c r="B30" s="69">
        <v>200000</v>
      </c>
      <c r="C30" s="69">
        <v>200000</v>
      </c>
      <c r="D30" s="69">
        <v>200000</v>
      </c>
      <c r="E30" s="69">
        <v>200000</v>
      </c>
      <c r="F30" s="69">
        <v>200000</v>
      </c>
      <c r="G30" s="69">
        <v>200000</v>
      </c>
      <c r="H30" s="69">
        <v>200000</v>
      </c>
      <c r="I30" s="69">
        <v>200000</v>
      </c>
      <c r="J30" s="69">
        <v>200000</v>
      </c>
      <c r="K30" s="69">
        <v>200000</v>
      </c>
      <c r="L30" s="69">
        <v>200000</v>
      </c>
      <c r="M30" s="69">
        <v>200000</v>
      </c>
    </row>
    <row r="31" spans="1:13" x14ac:dyDescent="0.3">
      <c r="A31" s="65" t="s">
        <v>6</v>
      </c>
      <c r="B31" s="70">
        <f t="shared" ref="B31:M31" si="4">SUM(B22:B30)</f>
        <v>200000</v>
      </c>
      <c r="C31" s="70">
        <f t="shared" si="4"/>
        <v>400000</v>
      </c>
      <c r="D31" s="70">
        <f t="shared" si="4"/>
        <v>600000</v>
      </c>
      <c r="E31" s="70">
        <f t="shared" si="4"/>
        <v>800000</v>
      </c>
      <c r="F31" s="70">
        <f t="shared" si="4"/>
        <v>1000000</v>
      </c>
      <c r="G31" s="70">
        <f t="shared" si="4"/>
        <v>1200000</v>
      </c>
      <c r="H31" s="70">
        <f t="shared" si="4"/>
        <v>1400000</v>
      </c>
      <c r="I31" s="70">
        <f t="shared" si="4"/>
        <v>1600000</v>
      </c>
      <c r="J31" s="70">
        <f t="shared" si="4"/>
        <v>1800000</v>
      </c>
      <c r="K31" s="70">
        <f t="shared" si="4"/>
        <v>2000000</v>
      </c>
      <c r="L31" s="70">
        <f t="shared" si="4"/>
        <v>2200000</v>
      </c>
      <c r="M31" s="70">
        <f t="shared" si="4"/>
        <v>2516300</v>
      </c>
    </row>
    <row r="32" spans="1:13" ht="21" thickBot="1" x14ac:dyDescent="0.35">
      <c r="A32" s="65" t="s">
        <v>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>
        <v>2784000</v>
      </c>
    </row>
    <row r="33" spans="1:13" ht="21" thickBot="1" x14ac:dyDescent="0.35">
      <c r="A33" s="65" t="s">
        <v>111</v>
      </c>
      <c r="B33" s="75">
        <f t="shared" ref="B33:M33" si="5">B31-B32</f>
        <v>200000</v>
      </c>
      <c r="C33" s="76">
        <f t="shared" si="5"/>
        <v>400000</v>
      </c>
      <c r="D33" s="76">
        <f t="shared" si="5"/>
        <v>600000</v>
      </c>
      <c r="E33" s="76">
        <f t="shared" si="5"/>
        <v>800000</v>
      </c>
      <c r="F33" s="76">
        <f t="shared" si="5"/>
        <v>1000000</v>
      </c>
      <c r="G33" s="76">
        <f t="shared" si="5"/>
        <v>1200000</v>
      </c>
      <c r="H33" s="76">
        <f t="shared" si="5"/>
        <v>1400000</v>
      </c>
      <c r="I33" s="76">
        <f t="shared" si="5"/>
        <v>1600000</v>
      </c>
      <c r="J33" s="76">
        <f t="shared" si="5"/>
        <v>1800000</v>
      </c>
      <c r="K33" s="76">
        <f t="shared" si="5"/>
        <v>2000000</v>
      </c>
      <c r="L33" s="76">
        <f t="shared" si="5"/>
        <v>2200000</v>
      </c>
      <c r="M33" s="77">
        <f t="shared" si="5"/>
        <v>-267700</v>
      </c>
    </row>
    <row r="38" spans="1:13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3">
      <c r="A39" s="33"/>
      <c r="B39" s="34">
        <v>44562</v>
      </c>
      <c r="C39" s="34">
        <v>44593</v>
      </c>
      <c r="D39" s="34">
        <v>44621</v>
      </c>
      <c r="E39" s="34">
        <v>44652</v>
      </c>
      <c r="F39" s="34">
        <v>44682</v>
      </c>
      <c r="G39" s="34">
        <v>44713</v>
      </c>
      <c r="H39" s="34">
        <v>44743</v>
      </c>
      <c r="I39" s="34">
        <v>44774</v>
      </c>
      <c r="J39" s="34">
        <v>44805</v>
      </c>
      <c r="K39" s="34">
        <v>44835</v>
      </c>
      <c r="L39" s="34">
        <v>44866</v>
      </c>
      <c r="M39" s="34">
        <v>44896</v>
      </c>
    </row>
    <row r="40" spans="1:13" x14ac:dyDescent="0.3">
      <c r="A40" s="8" t="s">
        <v>110</v>
      </c>
      <c r="B40" s="42"/>
      <c r="C40" s="42">
        <f t="shared" ref="C40:M40" si="6">B51</f>
        <v>8700</v>
      </c>
      <c r="D40" s="42">
        <f t="shared" si="6"/>
        <v>0</v>
      </c>
      <c r="E40" s="42">
        <f t="shared" si="6"/>
        <v>8700</v>
      </c>
      <c r="F40" s="42">
        <f t="shared" si="6"/>
        <v>0</v>
      </c>
      <c r="G40" s="42">
        <f t="shared" si="6"/>
        <v>8700</v>
      </c>
      <c r="H40" s="42">
        <f t="shared" si="6"/>
        <v>17400</v>
      </c>
      <c r="I40" s="42">
        <f t="shared" si="6"/>
        <v>0</v>
      </c>
      <c r="J40" s="42">
        <f t="shared" si="6"/>
        <v>0</v>
      </c>
      <c r="K40" s="42">
        <f t="shared" si="6"/>
        <v>8700</v>
      </c>
      <c r="L40" s="42">
        <f t="shared" si="6"/>
        <v>18000</v>
      </c>
      <c r="M40" s="42">
        <f t="shared" si="6"/>
        <v>0</v>
      </c>
    </row>
    <row r="41" spans="1:13" x14ac:dyDescent="0.3">
      <c r="A41" s="8" t="s">
        <v>76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3">
      <c r="A42" s="8" t="s">
        <v>3</v>
      </c>
      <c r="B42" s="42"/>
      <c r="C42" s="42">
        <v>51000</v>
      </c>
      <c r="D42" s="42"/>
      <c r="E42" s="42">
        <v>9147</v>
      </c>
      <c r="F42" s="42"/>
      <c r="G42" s="42"/>
      <c r="H42" s="42"/>
      <c r="I42" s="42"/>
      <c r="J42" s="42"/>
      <c r="K42" s="42">
        <v>73000</v>
      </c>
      <c r="L42" s="42">
        <v>30000</v>
      </c>
      <c r="M42" s="42"/>
    </row>
    <row r="43" spans="1:13" x14ac:dyDescent="0.3">
      <c r="A43" s="8" t="s">
        <v>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3">
      <c r="A44" s="8" t="s">
        <v>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8" t="s">
        <v>73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8" t="s">
        <v>74</v>
      </c>
      <c r="B46" s="42"/>
      <c r="C46" s="42"/>
      <c r="D46" s="42"/>
      <c r="E46" s="42"/>
      <c r="F46" s="42"/>
      <c r="G46" s="42"/>
      <c r="H46" s="42">
        <v>2500</v>
      </c>
      <c r="I46" s="42"/>
      <c r="J46" s="42"/>
      <c r="K46" s="42"/>
      <c r="L46" s="42"/>
      <c r="M46" s="42"/>
    </row>
    <row r="47" spans="1:13" x14ac:dyDescent="0.3">
      <c r="A47" s="8" t="s">
        <v>568</v>
      </c>
      <c r="B47" s="42">
        <v>8700</v>
      </c>
      <c r="C47" s="42">
        <v>8700</v>
      </c>
      <c r="D47" s="42">
        <v>8700</v>
      </c>
      <c r="E47" s="42">
        <v>8700</v>
      </c>
      <c r="F47" s="42">
        <v>8700</v>
      </c>
      <c r="G47" s="42">
        <v>8700</v>
      </c>
      <c r="H47" s="42">
        <v>8700</v>
      </c>
      <c r="I47" s="42">
        <v>8700</v>
      </c>
      <c r="J47" s="42">
        <v>8700</v>
      </c>
      <c r="K47" s="42">
        <f>8800+18000</f>
        <v>26800</v>
      </c>
      <c r="L47" s="42">
        <f>8800+18000</f>
        <v>26800</v>
      </c>
      <c r="M47" s="42">
        <v>26800</v>
      </c>
    </row>
    <row r="48" spans="1:13" x14ac:dyDescent="0.3">
      <c r="A48" s="8" t="s">
        <v>5</v>
      </c>
      <c r="B48" s="42"/>
      <c r="C48" s="42"/>
      <c r="D48" s="42"/>
      <c r="E48" s="42"/>
      <c r="F48" s="42"/>
      <c r="G48" s="42"/>
      <c r="H48" s="42"/>
      <c r="I48" s="42">
        <v>14570</v>
      </c>
      <c r="J48" s="42"/>
      <c r="K48" s="42"/>
      <c r="L48" s="42"/>
      <c r="M48" s="42"/>
    </row>
    <row r="49" spans="1:13" x14ac:dyDescent="0.3">
      <c r="A49" s="8" t="s">
        <v>6</v>
      </c>
      <c r="B49" s="43">
        <f t="shared" ref="B49:M49" si="7">SUM(B40:B48)</f>
        <v>8700</v>
      </c>
      <c r="C49" s="43">
        <f t="shared" si="7"/>
        <v>68400</v>
      </c>
      <c r="D49" s="43">
        <f t="shared" si="7"/>
        <v>8700</v>
      </c>
      <c r="E49" s="43">
        <f t="shared" si="7"/>
        <v>26547</v>
      </c>
      <c r="F49" s="43">
        <f t="shared" si="7"/>
        <v>8700</v>
      </c>
      <c r="G49" s="43">
        <f t="shared" si="7"/>
        <v>17400</v>
      </c>
      <c r="H49" s="43">
        <f t="shared" si="7"/>
        <v>28600</v>
      </c>
      <c r="I49" s="43">
        <f t="shared" si="7"/>
        <v>23270</v>
      </c>
      <c r="J49" s="43">
        <f t="shared" si="7"/>
        <v>8700</v>
      </c>
      <c r="K49" s="43">
        <f t="shared" si="7"/>
        <v>108500</v>
      </c>
      <c r="L49" s="43">
        <f t="shared" si="7"/>
        <v>74800</v>
      </c>
      <c r="M49" s="43">
        <f t="shared" si="7"/>
        <v>26800</v>
      </c>
    </row>
    <row r="50" spans="1:13" ht="21" thickBot="1" x14ac:dyDescent="0.35">
      <c r="A50" s="8" t="s">
        <v>7</v>
      </c>
      <c r="B50" s="44"/>
      <c r="C50" s="44">
        <v>68400</v>
      </c>
      <c r="D50" s="44"/>
      <c r="E50" s="44">
        <v>26547</v>
      </c>
      <c r="F50" s="44"/>
      <c r="G50" s="44"/>
      <c r="H50" s="44">
        <v>28600</v>
      </c>
      <c r="I50" s="44">
        <f>14570+8700</f>
        <v>23270</v>
      </c>
      <c r="J50" s="44"/>
      <c r="K50" s="44">
        <v>90500</v>
      </c>
      <c r="L50" s="44">
        <v>74800</v>
      </c>
      <c r="M50" s="44"/>
    </row>
    <row r="51" spans="1:13" ht="21" thickBot="1" x14ac:dyDescent="0.35">
      <c r="A51" s="8" t="s">
        <v>111</v>
      </c>
      <c r="B51" s="45">
        <f t="shared" ref="B51:M51" si="8">B49-B50</f>
        <v>8700</v>
      </c>
      <c r="C51" s="46">
        <f t="shared" si="8"/>
        <v>0</v>
      </c>
      <c r="D51" s="46">
        <f t="shared" si="8"/>
        <v>8700</v>
      </c>
      <c r="E51" s="46">
        <f t="shared" si="8"/>
        <v>0</v>
      </c>
      <c r="F51" s="46">
        <f t="shared" si="8"/>
        <v>8700</v>
      </c>
      <c r="G51" s="46">
        <f t="shared" si="8"/>
        <v>17400</v>
      </c>
      <c r="H51" s="46">
        <f t="shared" si="8"/>
        <v>0</v>
      </c>
      <c r="I51" s="46">
        <f t="shared" si="8"/>
        <v>0</v>
      </c>
      <c r="J51" s="46">
        <f t="shared" si="8"/>
        <v>8700</v>
      </c>
      <c r="K51" s="46">
        <f t="shared" si="8"/>
        <v>18000</v>
      </c>
      <c r="L51" s="46">
        <f t="shared" si="8"/>
        <v>0</v>
      </c>
      <c r="M51" s="47">
        <f t="shared" si="8"/>
        <v>26800</v>
      </c>
    </row>
    <row r="53" spans="1:13" x14ac:dyDescent="0.3">
      <c r="A53" s="2" t="s">
        <v>186</v>
      </c>
      <c r="B53" s="52">
        <v>1574.8</v>
      </c>
      <c r="C53" s="2" t="s">
        <v>189</v>
      </c>
    </row>
    <row r="54" spans="1:13" x14ac:dyDescent="0.3">
      <c r="A54" s="2" t="s">
        <v>187</v>
      </c>
      <c r="B54" s="52">
        <v>1428.65</v>
      </c>
      <c r="C54" s="2" t="s">
        <v>190</v>
      </c>
      <c r="D54" s="52">
        <f>B54</f>
        <v>1428.65</v>
      </c>
    </row>
    <row r="55" spans="1:13" x14ac:dyDescent="0.3">
      <c r="A55" s="2" t="s">
        <v>188</v>
      </c>
      <c r="B55" s="52">
        <v>1000</v>
      </c>
      <c r="D55" s="52">
        <f>B55</f>
        <v>1000</v>
      </c>
    </row>
    <row r="56" spans="1:13" ht="21" thickBot="1" x14ac:dyDescent="0.35">
      <c r="B56" s="53">
        <f>B53+B54+B55</f>
        <v>4003.45</v>
      </c>
      <c r="D56" s="53">
        <f>D54+D55</f>
        <v>2428.65</v>
      </c>
    </row>
    <row r="57" spans="1:13" ht="21" thickTop="1" x14ac:dyDescent="0.3"/>
    <row r="61" spans="1:13" x14ac:dyDescent="0.3">
      <c r="D61" s="52">
        <v>6367.77</v>
      </c>
    </row>
    <row r="62" spans="1:13" x14ac:dyDescent="0.3">
      <c r="B62" s="52">
        <v>16112.58</v>
      </c>
      <c r="D62" s="52">
        <v>4087.31</v>
      </c>
    </row>
    <row r="63" spans="1:13" x14ac:dyDescent="0.3">
      <c r="B63" s="52">
        <v>90741.81</v>
      </c>
      <c r="D63" s="52">
        <v>25058.880000000001</v>
      </c>
    </row>
    <row r="64" spans="1:13" x14ac:dyDescent="0.3">
      <c r="B64" s="52">
        <v>83941.05</v>
      </c>
      <c r="D64" s="52">
        <v>84946.93</v>
      </c>
    </row>
    <row r="65" spans="2:4" x14ac:dyDescent="0.3">
      <c r="B65" s="52">
        <v>59309.29</v>
      </c>
      <c r="D65" s="52">
        <v>49009.48</v>
      </c>
    </row>
    <row r="66" spans="2:4" x14ac:dyDescent="0.3">
      <c r="B66" s="52">
        <v>36605.06</v>
      </c>
      <c r="D66" s="52">
        <v>30135.29</v>
      </c>
    </row>
    <row r="67" spans="2:4" x14ac:dyDescent="0.3">
      <c r="B67" s="52">
        <v>40479.33</v>
      </c>
      <c r="D67" s="52">
        <v>17016.66</v>
      </c>
    </row>
    <row r="68" spans="2:4" x14ac:dyDescent="0.3">
      <c r="B68" s="52">
        <v>119262.27</v>
      </c>
      <c r="D68" s="52">
        <v>20661</v>
      </c>
    </row>
    <row r="69" spans="2:4" x14ac:dyDescent="0.3">
      <c r="B69" s="52">
        <v>20193</v>
      </c>
      <c r="D69" s="52">
        <v>43500.71</v>
      </c>
    </row>
    <row r="70" spans="2:4" x14ac:dyDescent="0.3">
      <c r="B70" s="52">
        <v>92900</v>
      </c>
      <c r="D70" s="52">
        <v>6574.82</v>
      </c>
    </row>
    <row r="71" spans="2:4" x14ac:dyDescent="0.3">
      <c r="B71" s="197">
        <f>SUM(B62:B70)</f>
        <v>559544.39000000013</v>
      </c>
      <c r="D71" s="52">
        <v>18428.580000000002</v>
      </c>
    </row>
    <row r="72" spans="2:4" x14ac:dyDescent="0.3">
      <c r="D72" s="52">
        <v>16796.63</v>
      </c>
    </row>
    <row r="73" spans="2:4" x14ac:dyDescent="0.3">
      <c r="D73" s="197">
        <f>SUM(D61:D72)</f>
        <v>322584.06000000006</v>
      </c>
    </row>
  </sheetData>
  <mergeCells count="1">
    <mergeCell ref="B2:G2"/>
  </mergeCells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1"/>
  <dimension ref="A1:G32"/>
  <sheetViews>
    <sheetView workbookViewId="0">
      <selection activeCell="C33" sqref="C33"/>
    </sheetView>
  </sheetViews>
  <sheetFormatPr baseColWidth="10" defaultRowHeight="12.75" x14ac:dyDescent="0.2"/>
  <cols>
    <col min="1" max="1" width="23.140625" customWidth="1"/>
    <col min="2" max="2" width="13.28515625" customWidth="1"/>
    <col min="4" max="4" width="14" customWidth="1"/>
    <col min="5" max="5" width="5.42578125" customWidth="1"/>
    <col min="7" max="7" width="14.85546875" customWidth="1"/>
    <col min="8" max="8" width="7.28515625" customWidth="1"/>
    <col min="9" max="9" width="10.28515625" customWidth="1"/>
    <col min="10" max="10" width="14.28515625" customWidth="1"/>
    <col min="11" max="11" width="3.85546875" customWidth="1"/>
  </cols>
  <sheetData>
    <row r="1" spans="1:6" x14ac:dyDescent="0.2">
      <c r="A1" s="59"/>
    </row>
    <row r="2" spans="1:6" x14ac:dyDescent="0.2">
      <c r="B2" t="s">
        <v>238</v>
      </c>
      <c r="C2" t="s">
        <v>239</v>
      </c>
      <c r="D2" s="84" t="s">
        <v>274</v>
      </c>
      <c r="F2" t="s">
        <v>278</v>
      </c>
    </row>
    <row r="3" spans="1:6" x14ac:dyDescent="0.2">
      <c r="A3" t="s">
        <v>236</v>
      </c>
      <c r="B3">
        <v>1000</v>
      </c>
      <c r="C3">
        <v>1000</v>
      </c>
      <c r="D3">
        <v>500</v>
      </c>
    </row>
    <row r="4" spans="1:6" x14ac:dyDescent="0.2">
      <c r="A4" t="s">
        <v>262</v>
      </c>
      <c r="B4">
        <v>600</v>
      </c>
      <c r="F4">
        <v>300</v>
      </c>
    </row>
    <row r="5" spans="1:6" x14ac:dyDescent="0.2">
      <c r="A5" t="s">
        <v>78</v>
      </c>
      <c r="B5">
        <v>600</v>
      </c>
      <c r="F5">
        <v>300</v>
      </c>
    </row>
    <row r="6" spans="1:6" x14ac:dyDescent="0.2">
      <c r="A6" t="s">
        <v>263</v>
      </c>
      <c r="B6">
        <v>600</v>
      </c>
      <c r="F6">
        <v>300</v>
      </c>
    </row>
    <row r="7" spans="1:6" x14ac:dyDescent="0.2">
      <c r="A7" t="s">
        <v>237</v>
      </c>
    </row>
    <row r="8" spans="1:6" x14ac:dyDescent="0.2">
      <c r="A8" t="s">
        <v>257</v>
      </c>
      <c r="B8">
        <v>800</v>
      </c>
      <c r="F8">
        <v>400</v>
      </c>
    </row>
    <row r="9" spans="1:6" x14ac:dyDescent="0.2">
      <c r="A9" t="s">
        <v>90</v>
      </c>
    </row>
    <row r="10" spans="1:6" x14ac:dyDescent="0.2">
      <c r="A10" t="s">
        <v>264</v>
      </c>
      <c r="B10">
        <v>1000</v>
      </c>
      <c r="C10">
        <v>1000</v>
      </c>
      <c r="D10">
        <v>500</v>
      </c>
    </row>
    <row r="11" spans="1:6" x14ac:dyDescent="0.2">
      <c r="A11" t="s">
        <v>265</v>
      </c>
      <c r="B11">
        <v>600</v>
      </c>
      <c r="C11">
        <v>600</v>
      </c>
      <c r="D11">
        <v>300</v>
      </c>
    </row>
    <row r="12" spans="1:6" x14ac:dyDescent="0.2">
      <c r="A12" t="s">
        <v>266</v>
      </c>
      <c r="B12">
        <v>1000</v>
      </c>
      <c r="F12">
        <v>500</v>
      </c>
    </row>
    <row r="13" spans="1:6" x14ac:dyDescent="0.2">
      <c r="A13" t="s">
        <v>267</v>
      </c>
      <c r="B13">
        <v>800</v>
      </c>
      <c r="C13">
        <v>800</v>
      </c>
      <c r="D13">
        <v>400</v>
      </c>
    </row>
    <row r="14" spans="1:6" x14ac:dyDescent="0.2">
      <c r="A14" t="s">
        <v>269</v>
      </c>
      <c r="B14">
        <v>600</v>
      </c>
      <c r="C14">
        <v>600</v>
      </c>
      <c r="D14">
        <v>300</v>
      </c>
    </row>
    <row r="15" spans="1:6" x14ac:dyDescent="0.2">
      <c r="A15" t="s">
        <v>49</v>
      </c>
      <c r="B15">
        <v>600</v>
      </c>
      <c r="C15">
        <v>600</v>
      </c>
      <c r="D15">
        <v>300</v>
      </c>
    </row>
    <row r="16" spans="1:6" x14ac:dyDescent="0.2">
      <c r="A16" t="s">
        <v>268</v>
      </c>
      <c r="B16">
        <v>600</v>
      </c>
      <c r="C16">
        <v>600</v>
      </c>
      <c r="D16">
        <v>300</v>
      </c>
    </row>
    <row r="17" spans="1:7" x14ac:dyDescent="0.2">
      <c r="A17" t="s">
        <v>270</v>
      </c>
      <c r="B17">
        <v>600</v>
      </c>
      <c r="C17">
        <v>600</v>
      </c>
      <c r="D17">
        <v>300</v>
      </c>
    </row>
    <row r="18" spans="1:7" x14ac:dyDescent="0.2">
      <c r="A18" t="s">
        <v>271</v>
      </c>
      <c r="B18">
        <v>600</v>
      </c>
      <c r="F18">
        <v>300</v>
      </c>
    </row>
    <row r="19" spans="1:7" x14ac:dyDescent="0.2">
      <c r="A19" t="s">
        <v>272</v>
      </c>
      <c r="B19">
        <v>800</v>
      </c>
      <c r="C19">
        <v>800</v>
      </c>
      <c r="D19">
        <v>400</v>
      </c>
    </row>
    <row r="20" spans="1:7" x14ac:dyDescent="0.2">
      <c r="A20" t="s">
        <v>273</v>
      </c>
      <c r="B20">
        <v>600</v>
      </c>
    </row>
    <row r="21" spans="1:7" x14ac:dyDescent="0.2">
      <c r="A21" t="s">
        <v>275</v>
      </c>
    </row>
    <row r="22" spans="1:7" x14ac:dyDescent="0.2">
      <c r="A22" t="s">
        <v>277</v>
      </c>
      <c r="B22">
        <v>800</v>
      </c>
      <c r="F22">
        <v>400</v>
      </c>
    </row>
    <row r="23" spans="1:7" x14ac:dyDescent="0.2">
      <c r="A23" t="s">
        <v>279</v>
      </c>
      <c r="B23">
        <v>800</v>
      </c>
      <c r="F23">
        <v>400</v>
      </c>
    </row>
    <row r="24" spans="1:7" x14ac:dyDescent="0.2">
      <c r="A24" t="s">
        <v>280</v>
      </c>
    </row>
    <row r="25" spans="1:7" x14ac:dyDescent="0.2">
      <c r="A25" t="s">
        <v>282</v>
      </c>
    </row>
    <row r="26" spans="1:7" x14ac:dyDescent="0.2">
      <c r="A26" t="s">
        <v>283</v>
      </c>
      <c r="B26">
        <v>600</v>
      </c>
    </row>
    <row r="27" spans="1:7" x14ac:dyDescent="0.2">
      <c r="A27" t="s">
        <v>285</v>
      </c>
    </row>
    <row r="28" spans="1:7" x14ac:dyDescent="0.2">
      <c r="B28">
        <f>SUM(B3:B27)</f>
        <v>13600</v>
      </c>
      <c r="C28">
        <f>SUM(C3:C27)</f>
        <v>6600</v>
      </c>
      <c r="D28">
        <f>SUM(D3:D27)</f>
        <v>3300</v>
      </c>
      <c r="F28">
        <f>SUM(F3:F27)</f>
        <v>2900</v>
      </c>
      <c r="G28">
        <f>SUM(G3:G27)</f>
        <v>0</v>
      </c>
    </row>
    <row r="31" spans="1:7" x14ac:dyDescent="0.2">
      <c r="A31" t="s">
        <v>422</v>
      </c>
      <c r="B31" t="s">
        <v>423</v>
      </c>
      <c r="C31" t="s">
        <v>424</v>
      </c>
    </row>
    <row r="32" spans="1:7" x14ac:dyDescent="0.2">
      <c r="B32">
        <v>12500</v>
      </c>
      <c r="C32">
        <v>13200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232</vt:i4>
      </vt:variant>
    </vt:vector>
  </HeadingPairs>
  <TitlesOfParts>
    <vt:vector size="232" baseType="lpstr">
      <vt:lpstr>Clientes</vt:lpstr>
      <vt:lpstr>arcusin</vt:lpstr>
      <vt:lpstr>Alvarez V.</vt:lpstr>
      <vt:lpstr>ALDAZ MARLENE</vt:lpstr>
      <vt:lpstr>Alfaro</vt:lpstr>
      <vt:lpstr>Aizaga Florencia</vt:lpstr>
      <vt:lpstr>azcurrain yani</vt:lpstr>
      <vt:lpstr>Azcurrain Cesar</vt:lpstr>
      <vt:lpstr>ARANDA PEDRO</vt:lpstr>
      <vt:lpstr>ADELA BARRETO</vt:lpstr>
      <vt:lpstr>Azcurrain Mariano</vt:lpstr>
      <vt:lpstr>Azcurrain</vt:lpstr>
      <vt:lpstr>Batista</vt:lpstr>
      <vt:lpstr>Barreto Claudio</vt:lpstr>
      <vt:lpstr>BERRUEZO </vt:lpstr>
      <vt:lpstr>Bellingueri Elbio</vt:lpstr>
      <vt:lpstr>pitura cristina</vt:lpstr>
      <vt:lpstr>BECKER oscar</vt:lpstr>
      <vt:lpstr>Bentos Karen</vt:lpstr>
      <vt:lpstr>BENITEZ PABLO</vt:lpstr>
      <vt:lpstr>Boujon Tomas</vt:lpstr>
      <vt:lpstr>Hoja2</vt:lpstr>
      <vt:lpstr>Boujon D</vt:lpstr>
      <vt:lpstr>Cabrera Marcela</vt:lpstr>
      <vt:lpstr>chamillard</vt:lpstr>
      <vt:lpstr>Casares</vt:lpstr>
      <vt:lpstr>Canela</vt:lpstr>
      <vt:lpstr>cardozo roberto</vt:lpstr>
      <vt:lpstr>Cettour Silvia</vt:lpstr>
      <vt:lpstr>CARDOZO NATY</vt:lpstr>
      <vt:lpstr>Caballero Hector</vt:lpstr>
      <vt:lpstr>Cettour J.</vt:lpstr>
      <vt:lpstr>CARDOZO CARLOS</vt:lpstr>
      <vt:lpstr>Cicerone</vt:lpstr>
      <vt:lpstr>CHULE--VILLA</vt:lpstr>
      <vt:lpstr>CICOGNINI</vt:lpstr>
      <vt:lpstr>Corra</vt:lpstr>
      <vt:lpstr>Coronel</vt:lpstr>
      <vt:lpstr>Corales Alberto</vt:lpstr>
      <vt:lpstr>CRUZ LUCAS</vt:lpstr>
      <vt:lpstr>Cruz Diego</vt:lpstr>
      <vt:lpstr>Cruz</vt:lpstr>
      <vt:lpstr>DEBATSITA JANET</vt:lpstr>
      <vt:lpstr>DELFINO</vt:lpstr>
      <vt:lpstr>DE GRACIA</vt:lpstr>
      <vt:lpstr>DIAZ MARISA</vt:lpstr>
      <vt:lpstr>Dorn H</vt:lpstr>
      <vt:lpstr>DORN OMAR</vt:lpstr>
      <vt:lpstr>Dus R.</vt:lpstr>
      <vt:lpstr>ERBES SILVIO</vt:lpstr>
      <vt:lpstr>Ekert Aixa</vt:lpstr>
      <vt:lpstr>Hoja1</vt:lpstr>
      <vt:lpstr>Evequoz</vt:lpstr>
      <vt:lpstr>FAEL AMILCAR</vt:lpstr>
      <vt:lpstr>FLORES GRACIELA</vt:lpstr>
      <vt:lpstr>Flores Gisela</vt:lpstr>
      <vt:lpstr>FLEITA</vt:lpstr>
      <vt:lpstr>FORNERON</vt:lpstr>
      <vt:lpstr>Fredes Yemina</vt:lpstr>
      <vt:lpstr>fredes omar</vt:lpstr>
      <vt:lpstr>Fredes Francisco</vt:lpstr>
      <vt:lpstr>fredes Lelia</vt:lpstr>
      <vt:lpstr>FRIES</vt:lpstr>
      <vt:lpstr>Ferreyra</vt:lpstr>
      <vt:lpstr>Garcia</vt:lpstr>
      <vt:lpstr>Garrigue</vt:lpstr>
      <vt:lpstr>GEROSA</vt:lpstr>
      <vt:lpstr>Gerber Dante</vt:lpstr>
      <vt:lpstr>Gerber</vt:lpstr>
      <vt:lpstr>GOMEZ Matias</vt:lpstr>
      <vt:lpstr>Gonzalez A</vt:lpstr>
      <vt:lpstr>Grane Franco</vt:lpstr>
      <vt:lpstr>Yani gorelik</vt:lpstr>
      <vt:lpstr>Gorelik Enique</vt:lpstr>
      <vt:lpstr>Gonzalez Vivi</vt:lpstr>
      <vt:lpstr>HEER</vt:lpstr>
      <vt:lpstr>HAAS jose </vt:lpstr>
      <vt:lpstr>Hecker Laura y Rodriguez</vt:lpstr>
      <vt:lpstr>Hecker Sofi</vt:lpstr>
      <vt:lpstr>Hoja3</vt:lpstr>
      <vt:lpstr>Hecker M.</vt:lpstr>
      <vt:lpstr>HEIDEL CRISTHIAN</vt:lpstr>
      <vt:lpstr>Hernandez Alba</vt:lpstr>
      <vt:lpstr>HERMAN PATRY</vt:lpstr>
      <vt:lpstr>Herman S.</vt:lpstr>
      <vt:lpstr>Herman Agust</vt:lpstr>
      <vt:lpstr>Herman Ezequiel</vt:lpstr>
      <vt:lpstr>Heyde Milton</vt:lpstr>
      <vt:lpstr>HILDT FERNANDO</vt:lpstr>
      <vt:lpstr>Heyde Mario</vt:lpstr>
      <vt:lpstr>Hornus I.</vt:lpstr>
      <vt:lpstr>Hornus Juan Federico</vt:lpstr>
      <vt:lpstr>Hornus Ivan</vt:lpstr>
      <vt:lpstr>Hornus Javier R</vt:lpstr>
      <vt:lpstr>Hornus Pedro</vt:lpstr>
      <vt:lpstr>Hornus Jose</vt:lpstr>
      <vt:lpstr>Hornus Marcelo.</vt:lpstr>
      <vt:lpstr>HUCK EDUARDO</vt:lpstr>
      <vt:lpstr>Huck Ruben</vt:lpstr>
      <vt:lpstr>Huck Natan</vt:lpstr>
      <vt:lpstr>Huck O.J.</vt:lpstr>
      <vt:lpstr>HUCK Javier</vt:lpstr>
      <vt:lpstr>huck luciano y javier</vt:lpstr>
      <vt:lpstr>Huck Adrian</vt:lpstr>
      <vt:lpstr>Jacob joselo </vt:lpstr>
      <vt:lpstr>JAUCK CESAR</vt:lpstr>
      <vt:lpstr>Kinderk Mariela</vt:lpstr>
      <vt:lpstr>Kinderknech</vt:lpstr>
      <vt:lpstr>KLOSTER</vt:lpstr>
      <vt:lpstr>ISELLI</vt:lpstr>
      <vt:lpstr>LAPUCHESKY WALTER</vt:lpstr>
      <vt:lpstr>ledesma Griselda</vt:lpstr>
      <vt:lpstr>Ledesma Florencia</vt:lpstr>
      <vt:lpstr>Ledesma Norma</vt:lpstr>
      <vt:lpstr>LEDESMA BAUSINGER</vt:lpstr>
      <vt:lpstr>LENSISA</vt:lpstr>
      <vt:lpstr>LOZANO DARIO</vt:lpstr>
      <vt:lpstr>LOZANO PABLO</vt:lpstr>
      <vt:lpstr>Lenciza Daiana</vt:lpstr>
      <vt:lpstr>LEVITZKY ELIANA</vt:lpstr>
      <vt:lpstr>Lonardi Elias</vt:lpstr>
      <vt:lpstr>HORMIGA</vt:lpstr>
      <vt:lpstr>Nuñez Pichi</vt:lpstr>
      <vt:lpstr>Nuñez E.</vt:lpstr>
      <vt:lpstr>Naibert Yani</vt:lpstr>
      <vt:lpstr>Marchand</vt:lpstr>
      <vt:lpstr>MARCHESE</vt:lpstr>
      <vt:lpstr>MANTEGAZZA ILE</vt:lpstr>
      <vt:lpstr>Mantegazza dani</vt:lpstr>
      <vt:lpstr>Michel Hnos</vt:lpstr>
      <vt:lpstr>MICHEL DELIA</vt:lpstr>
      <vt:lpstr>MEDINA ANGEL</vt:lpstr>
      <vt:lpstr>Melita Hector</vt:lpstr>
      <vt:lpstr>Magno S.A.</vt:lpstr>
      <vt:lpstr>Moreno</vt:lpstr>
      <vt:lpstr>MUÑIZ MARIO</vt:lpstr>
      <vt:lpstr>Muñiz Julian</vt:lpstr>
      <vt:lpstr>Obispo Saul</vt:lpstr>
      <vt:lpstr>Obispo A</vt:lpstr>
      <vt:lpstr>Orcajo Pichay</vt:lpstr>
      <vt:lpstr>Obispo Lucas</vt:lpstr>
      <vt:lpstr>OBHOLZ</vt:lpstr>
      <vt:lpstr>Ovalle Diego</vt:lpstr>
      <vt:lpstr>Parodi Ezequiel</vt:lpstr>
      <vt:lpstr>Parodi Hnos</vt:lpstr>
      <vt:lpstr>parodi luis</vt:lpstr>
      <vt:lpstr>Peiretti</vt:lpstr>
      <vt:lpstr>PEREZ ALEJANDRO</vt:lpstr>
      <vt:lpstr>Perez Fabian</vt:lpstr>
      <vt:lpstr>Pena P.</vt:lpstr>
      <vt:lpstr>Perrochaud Alfredo</vt:lpstr>
      <vt:lpstr>Pena Carlos</vt:lpstr>
      <vt:lpstr>Pitura Raul y Milton</vt:lpstr>
      <vt:lpstr>pitura Gretel</vt:lpstr>
      <vt:lpstr>Pitura Juan</vt:lpstr>
      <vt:lpstr>pitman berta</vt:lpstr>
      <vt:lpstr>Pitura Miguel</vt:lpstr>
      <vt:lpstr>Pioli Pasion</vt:lpstr>
      <vt:lpstr>Pioli Lisandro</vt:lpstr>
      <vt:lpstr>PIRIZ GUSTAVO</vt:lpstr>
      <vt:lpstr>Pioli Hugo.</vt:lpstr>
      <vt:lpstr>Portillo J</vt:lpstr>
      <vt:lpstr>PONCE Uriel</vt:lpstr>
      <vt:lpstr>PREISZ Sergio</vt:lpstr>
      <vt:lpstr>Ramounat</vt:lpstr>
      <vt:lpstr>Ramos Maria Virg</vt:lpstr>
      <vt:lpstr>Raffo Charli</vt:lpstr>
      <vt:lpstr>repettur</vt:lpstr>
      <vt:lpstr>Reichel Silvia</vt:lpstr>
      <vt:lpstr>Ramirez Jorge</vt:lpstr>
      <vt:lpstr>Riedel W.</vt:lpstr>
      <vt:lpstr>Rielo</vt:lpstr>
      <vt:lpstr>Romero Eli</vt:lpstr>
      <vt:lpstr>Rodriguez A.</vt:lpstr>
      <vt:lpstr>Rossi Matias</vt:lpstr>
      <vt:lpstr>Rossi Oscar</vt:lpstr>
      <vt:lpstr>Rozich</vt:lpstr>
      <vt:lpstr>tomasini</vt:lpstr>
      <vt:lpstr>Terlecky</vt:lpstr>
      <vt:lpstr>Tomassi E.</vt:lpstr>
      <vt:lpstr>TOLEDO</vt:lpstr>
      <vt:lpstr>Saint paul gaston</vt:lpstr>
      <vt:lpstr>Sack ELIANA</vt:lpstr>
      <vt:lpstr>Sack Osvaldo</vt:lpstr>
      <vt:lpstr>Salvareza Carlos</vt:lpstr>
      <vt:lpstr>Salvatori</vt:lpstr>
      <vt:lpstr>Savornin Ofelia</vt:lpstr>
      <vt:lpstr>Savornin Josefina</vt:lpstr>
      <vt:lpstr>scolamieri peccin</vt:lpstr>
      <vt:lpstr>SCHAFF NELSON</vt:lpstr>
      <vt:lpstr>Scharton Hugo</vt:lpstr>
      <vt:lpstr>Scharton Enrique</vt:lpstr>
      <vt:lpstr>Scharton O.</vt:lpstr>
      <vt:lpstr>Schaton Leti</vt:lpstr>
      <vt:lpstr>Scharton R.</vt:lpstr>
      <vt:lpstr>SCHLEGEL Pablo</vt:lpstr>
      <vt:lpstr>SCHLEIN DANIEL</vt:lpstr>
      <vt:lpstr>SCHILD OMAR</vt:lpstr>
      <vt:lpstr>SCHILD Silvio</vt:lpstr>
      <vt:lpstr>Schild E.</vt:lpstr>
      <vt:lpstr>Schwarz Hnos </vt:lpstr>
      <vt:lpstr>Schwarz Ricardo</vt:lpstr>
      <vt:lpstr>ARIEL SCWARZ</vt:lpstr>
      <vt:lpstr>Schwab Victor</vt:lpstr>
      <vt:lpstr>Schwarzt Judit</vt:lpstr>
      <vt:lpstr>silva franco</vt:lpstr>
      <vt:lpstr>Silva Maria</vt:lpstr>
      <vt:lpstr>SOLANO JOSE</vt:lpstr>
      <vt:lpstr>SCHNAIMULLER MARIA</vt:lpstr>
      <vt:lpstr>vela Amadeo</vt:lpstr>
      <vt:lpstr>Vera Laura</vt:lpstr>
      <vt:lpstr>Van Bredan Heber</vt:lpstr>
      <vt:lpstr>vanlanker alejandra</vt:lpstr>
      <vt:lpstr>VELAZQUEZ ELSA</vt:lpstr>
      <vt:lpstr>Villarreal Laura</vt:lpstr>
      <vt:lpstr>QUIQUE</vt:lpstr>
      <vt:lpstr>VIÑEG</vt:lpstr>
      <vt:lpstr>Vannier y Cordoba</vt:lpstr>
      <vt:lpstr>Guillo</vt:lpstr>
      <vt:lpstr>Slootmans</vt:lpstr>
      <vt:lpstr>Soifer M</vt:lpstr>
      <vt:lpstr>soirifman</vt:lpstr>
      <vt:lpstr>SOIFER JOSE</vt:lpstr>
      <vt:lpstr>Strauch</vt:lpstr>
      <vt:lpstr>wagner adrian</vt:lpstr>
      <vt:lpstr>WILHEM</vt:lpstr>
      <vt:lpstr>Wagner N.</vt:lpstr>
      <vt:lpstr>Yaquemes</vt:lpstr>
      <vt:lpstr>Zitter</vt:lpstr>
      <vt:lpstr>Zitterkop</vt:lpstr>
      <vt:lpstr>Ziegler</vt:lpstr>
      <vt:lpstr>HONORARIOS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</dc:creator>
  <cp:lastModifiedBy>Omar</cp:lastModifiedBy>
  <cp:lastPrinted>2017-10-05T21:44:16Z</cp:lastPrinted>
  <dcterms:created xsi:type="dcterms:W3CDTF">2007-10-18T15:24:27Z</dcterms:created>
  <dcterms:modified xsi:type="dcterms:W3CDTF">2026-06-09T18:04:50Z</dcterms:modified>
</cp:coreProperties>
</file>